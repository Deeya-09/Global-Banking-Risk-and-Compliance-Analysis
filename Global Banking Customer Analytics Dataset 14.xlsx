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3244\EXCELCNV\ae90de4b-4d94-4a44-ab09-d7a1fe24fb4d\"/>
    </mc:Choice>
  </mc:AlternateContent>
  <xr:revisionPtr revIDLastSave="0" documentId="8_{72736223-9871-4025-817C-DA7911AB8F11}" xr6:coauthVersionLast="47" xr6:coauthVersionMax="47" xr10:uidLastSave="{00000000-0000-0000-0000-000000000000}"/>
  <bookViews>
    <workbookView xWindow="-60" yWindow="-60" windowWidth="15480" windowHeight="11640" firstSheet="3" activeTab="3" xr2:uid="{39E92F2C-A0DA-47E3-9AA1-C88A1BF698FA}"/>
  </bookViews>
  <sheets>
    <sheet name="Raw Data" sheetId="1" r:id="rId1"/>
    <sheet name="Data Table" sheetId="5" r:id="rId2"/>
    <sheet name="Pivot tables" sheetId="6" r:id="rId3"/>
    <sheet name="Dashboard" sheetId="7" r:id="rId4"/>
  </sheets>
  <definedNames>
    <definedName name="ExternalData_1" localSheetId="1" hidden="1">'Data Table'!$A$1:$S$1600</definedName>
    <definedName name="Slicer_Account_Type">#N/A</definedName>
    <definedName name="Slicer_KYC_Status">#N/A</definedName>
  </definedNames>
  <calcPr calcId="191028"/>
  <pivotCaches>
    <pivotCache cacheId="58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5" l="1"/>
  <c r="V2" i="5"/>
  <c r="AD2" i="7"/>
  <c r="Z2" i="7"/>
  <c r="V2" i="7"/>
  <c r="R2" i="7"/>
  <c r="N2" i="7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0EBD4-B36D-414D-A9DC-0B0E9E54D69E}" keepAlive="1" name="Query - Global Banking Customer Analytics Dataset 2" description="Connection to the 'Global Banking Customer Analytics Dataset 2' query in the workbook." type="5" refreshedVersion="8" background="1">
    <dbPr connection="Provider=Microsoft.Mashup.OleDb.1;Data Source=$Workbook$;Location=Global Banking Customer Analytics Dataset 2;Extended Properties=&quot;&quot;" command="SELECT * FROM [Global Banking Customer Analytics Dataset 2]"/>
  </connection>
</connections>
</file>

<file path=xl/sharedStrings.xml><?xml version="1.0" encoding="utf-8"?>
<sst xmlns="http://schemas.openxmlformats.org/spreadsheetml/2006/main" count="33764" uniqueCount="4463">
  <si>
    <t>Full Name</t>
  </si>
  <si>
    <t>Username</t>
  </si>
  <si>
    <t>Account Type</t>
  </si>
  <si>
    <t>Country</t>
  </si>
  <si>
    <t>City</t>
  </si>
  <si>
    <t>Age</t>
  </si>
  <si>
    <t>Gender</t>
  </si>
  <si>
    <t>Email</t>
  </si>
  <si>
    <t>Phone Number</t>
  </si>
  <si>
    <t>Account Creation Date</t>
  </si>
  <si>
    <t>Last Active Date</t>
  </si>
  <si>
    <t>Balance (USD)</t>
  </si>
  <si>
    <t>Debt (USD)</t>
  </si>
  <si>
    <t>Credit Score</t>
  </si>
  <si>
    <t>Income Level (USD Annual)</t>
  </si>
  <si>
    <t>Risk Category</t>
  </si>
  <si>
    <t>KYC Status</t>
  </si>
  <si>
    <t>Fraud Flag</t>
  </si>
  <si>
    <t>Account Status</t>
  </si>
  <si>
    <t>Carlos M. Rivera Jr.</t>
  </si>
  <si>
    <t>carlos_rivera23</t>
  </si>
  <si>
    <t>Premium</t>
  </si>
  <si>
    <t>US</t>
  </si>
  <si>
    <t>New York</t>
  </si>
  <si>
    <t>Male</t>
  </si>
  <si>
    <t>carlos.rivera23@email.com</t>
  </si>
  <si>
    <t>Medium</t>
  </si>
  <si>
    <t>Verified</t>
  </si>
  <si>
    <t>Active</t>
  </si>
  <si>
    <t>Aiko Tanaka</t>
  </si>
  <si>
    <t>aiko_tanaka</t>
  </si>
  <si>
    <t>Digital-Only</t>
  </si>
  <si>
    <t>Japan</t>
  </si>
  <si>
    <t>Tokyo</t>
  </si>
  <si>
    <t>Female</t>
  </si>
  <si>
    <t>aiko.tanaka@mail.jp</t>
  </si>
  <si>
    <t>Low</t>
  </si>
  <si>
    <t>Md. Rahim Uddin</t>
  </si>
  <si>
    <t>rahim_uddin</t>
  </si>
  <si>
    <t>Business</t>
  </si>
  <si>
    <t>India</t>
  </si>
  <si>
    <t>Mumbai</t>
  </si>
  <si>
    <t>rahim.uddin@business.in</t>
  </si>
  <si>
    <t>Pending</t>
  </si>
  <si>
    <t>Anna-Louise Clarke</t>
  </si>
  <si>
    <t>anna_clarke</t>
  </si>
  <si>
    <t>Joint</t>
  </si>
  <si>
    <t>UK</t>
  </si>
  <si>
    <t>London</t>
  </si>
  <si>
    <t>anna.clarke@email.co.uk</t>
  </si>
  <si>
    <t>John 'Jack' Thompson</t>
  </si>
  <si>
    <t>jack_thompson</t>
  </si>
  <si>
    <t>Savings</t>
  </si>
  <si>
    <t>Chicago</t>
  </si>
  <si>
    <t>jack.thompson@email.com</t>
  </si>
  <si>
    <t>Wei Zhang</t>
  </si>
  <si>
    <t>wei_zhang95</t>
  </si>
  <si>
    <t>Current</t>
  </si>
  <si>
    <t>China</t>
  </si>
  <si>
    <t>Shanghai</t>
  </si>
  <si>
    <t>wei.zhang@mail.cn</t>
  </si>
  <si>
    <t>Maria Silva Santos</t>
  </si>
  <si>
    <t>maria_silva</t>
  </si>
  <si>
    <t>Brazil</t>
  </si>
  <si>
    <t>SÃ£o Paulo</t>
  </si>
  <si>
    <t>maria.santos@email.com.br</t>
  </si>
  <si>
    <t>Chiamaka Okoro</t>
  </si>
  <si>
    <t>chiamaka_o</t>
  </si>
  <si>
    <t>Nigeria</t>
  </si>
  <si>
    <t>Lagos</t>
  </si>
  <si>
    <t>chiamaka.okoro@mail.ng</t>
  </si>
  <si>
    <t>Hans MÃ¼ller</t>
  </si>
  <si>
    <t>hans_muller</t>
  </si>
  <si>
    <t>Germany</t>
  </si>
  <si>
    <t>Berlin</t>
  </si>
  <si>
    <t>hans.muller@company.de</t>
  </si>
  <si>
    <t>High</t>
  </si>
  <si>
    <t>Fatima Al Mansouri</t>
  </si>
  <si>
    <t>fatima_alm</t>
  </si>
  <si>
    <t>UAE</t>
  </si>
  <si>
    <t>Dubai</t>
  </si>
  <si>
    <t>fatima.mansouri@email.ae</t>
  </si>
  <si>
    <t>James Wilson-Smith</t>
  </si>
  <si>
    <t>james_wilson</t>
  </si>
  <si>
    <t>Student</t>
  </si>
  <si>
    <t>Canada</t>
  </si>
  <si>
    <t>Toronto</t>
  </si>
  <si>
    <t>james.wilson@edu.ca</t>
  </si>
  <si>
    <t>Yuki Nakamura</t>
  </si>
  <si>
    <t>yuki_nakamura</t>
  </si>
  <si>
    <t>Osaka</t>
  </si>
  <si>
    <t>yuki.nakamura@mail.jp</t>
  </si>
  <si>
    <t>Rajesh Kumar Patel</t>
  </si>
  <si>
    <t>rajesh_patel</t>
  </si>
  <si>
    <t>Delhi</t>
  </si>
  <si>
    <t>rajesh.patel@email.in</t>
  </si>
  <si>
    <t>Sarah Johnson-Williams</t>
  </si>
  <si>
    <t>sarah_jw</t>
  </si>
  <si>
    <t>Manchester</t>
  </si>
  <si>
    <t>sarah.jw@email.co.uk</t>
  </si>
  <si>
    <t>Mohammed Hassan</t>
  </si>
  <si>
    <t>mohammed_h</t>
  </si>
  <si>
    <t>Abu Dhabi</t>
  </si>
  <si>
    <t>mohammed.hassan@business.ae</t>
  </si>
  <si>
    <t>Luciana Costa</t>
  </si>
  <si>
    <t>lucia_costa</t>
  </si>
  <si>
    <t>Rio de Janeiro</t>
  </si>
  <si>
    <t>luciana.costa@mail.br</t>
  </si>
  <si>
    <t>Kenji Sato</t>
  </si>
  <si>
    <t>kenji_sato</t>
  </si>
  <si>
    <t>Kyoto</t>
  </si>
  <si>
    <t>kenji.sato@company.jp</t>
  </si>
  <si>
    <t>Adebola Okafor</t>
  </si>
  <si>
    <t>adebola_o</t>
  </si>
  <si>
    <t>Abuja</t>
  </si>
  <si>
    <t>adebola.okafor@email.ng</t>
  </si>
  <si>
    <t>Emma-Rose Gallagher</t>
  </si>
  <si>
    <t>emma_rose</t>
  </si>
  <si>
    <t>Los Angeles</t>
  </si>
  <si>
    <t>emma.gallagher@edu.com</t>
  </si>
  <si>
    <t>Chen Wei</t>
  </si>
  <si>
    <t>chen_wei88</t>
  </si>
  <si>
    <t>Beijing</t>
  </si>
  <si>
    <t>chen.wei@mail.cn</t>
  </si>
  <si>
    <t>Sophie Schmidt</t>
  </si>
  <si>
    <t>sophie_schmidt</t>
  </si>
  <si>
    <t>Hamburg</t>
  </si>
  <si>
    <t>sophie.schmidt@email.de</t>
  </si>
  <si>
    <t>David Chen-Li</t>
  </si>
  <si>
    <t>david_chenli</t>
  </si>
  <si>
    <t>Vancouver</t>
  </si>
  <si>
    <t>david.chenli@email.ca</t>
  </si>
  <si>
    <t>Priya Sharma</t>
  </si>
  <si>
    <t>priya_sharma</t>
  </si>
  <si>
    <t>Bangalore</t>
  </si>
  <si>
    <t>priya.sharma@mail.in</t>
  </si>
  <si>
    <t>Ahmed Abdullah</t>
  </si>
  <si>
    <t>ahmed_abdullah</t>
  </si>
  <si>
    <t>Sharjah</t>
  </si>
  <si>
    <t>ahmed.abdullah@company.ae</t>
  </si>
  <si>
    <t>Isabella Rossi</t>
  </si>
  <si>
    <t>isabella_r</t>
  </si>
  <si>
    <t>isabella.rossi@email.com.br</t>
  </si>
  <si>
    <t>Takashi Yamamoto</t>
  </si>
  <si>
    <t>takashi_y</t>
  </si>
  <si>
    <t>takashi.yamamoto@mail.jp</t>
  </si>
  <si>
    <t>Chukwuma Eze</t>
  </si>
  <si>
    <t>chukwuma_e</t>
  </si>
  <si>
    <t>chukwuma.eze@email.ng</t>
  </si>
  <si>
    <t>Benjamin Taylor</t>
  </si>
  <si>
    <t>ben_taylor</t>
  </si>
  <si>
    <t>ben.taylor@edu.ac.uk</t>
  </si>
  <si>
    <t>Mei Lin</t>
  </si>
  <si>
    <t>mei_lin92</t>
  </si>
  <si>
    <t>Guangzhou</t>
  </si>
  <si>
    <t>mei.lin@mail.cn</t>
  </si>
  <si>
    <t>Klaus Weber</t>
  </si>
  <si>
    <t>klaus_weber</t>
  </si>
  <si>
    <t>Munich</t>
  </si>
  <si>
    <t>klaus.weber@firm.de</t>
  </si>
  <si>
    <t>Olivia Martin</t>
  </si>
  <si>
    <t>olivia_martin</t>
  </si>
  <si>
    <t>Montreal</t>
  </si>
  <si>
    <t>olivia.martin@email.ca</t>
  </si>
  <si>
    <t>Arjun Desai</t>
  </si>
  <si>
    <t>arjun_desai</t>
  </si>
  <si>
    <t>Chennai</t>
  </si>
  <si>
    <t>arjun.desai@email.in</t>
  </si>
  <si>
    <t>Layla Al Qasimi</t>
  </si>
  <si>
    <t>layla_alq</t>
  </si>
  <si>
    <t>layla.alqasimi@email.ae</t>
  </si>
  <si>
    <t>Ricardo Oliveira</t>
  </si>
  <si>
    <t>ricardo_o</t>
  </si>
  <si>
    <t>ricardo.oliveira@email.com.br</t>
  </si>
  <si>
    <t>Yumi Kobayashi</t>
  </si>
  <si>
    <t>yumi_k</t>
  </si>
  <si>
    <t>yumi.kobayashi@mail.jp</t>
  </si>
  <si>
    <t>Femi Balogun</t>
  </si>
  <si>
    <t>femi_balogun</t>
  </si>
  <si>
    <t>Port Harcourt</t>
  </si>
  <si>
    <t>femi.balogun@company.ng</t>
  </si>
  <si>
    <t>Charlotte Dubois</t>
  </si>
  <si>
    <t>charlotte_d</t>
  </si>
  <si>
    <t>France</t>
  </si>
  <si>
    <t>Paris</t>
  </si>
  <si>
    <t>charlotte.dubois@email.fr</t>
  </si>
  <si>
    <t>Michael Brown</t>
  </si>
  <si>
    <t>mike_brown</t>
  </si>
  <si>
    <t>Houston</t>
  </si>
  <si>
    <t>mike.brown@email.com</t>
  </si>
  <si>
    <t>Ananya Reddy</t>
  </si>
  <si>
    <t>ananya_reddy</t>
  </si>
  <si>
    <t>ananya.reddy@edu.in</t>
  </si>
  <si>
    <t>Liam O'Connor</t>
  </si>
  <si>
    <t>liam_oconnor</t>
  </si>
  <si>
    <t>Ireland</t>
  </si>
  <si>
    <t>Dublin</t>
  </si>
  <si>
    <t>liam.oconnor@email.ie</t>
  </si>
  <si>
    <t>Xiao Wang</t>
  </si>
  <si>
    <t>xiao_wang</t>
  </si>
  <si>
    <t>Shenzhen</t>
  </si>
  <si>
    <t>xiao.wang@company.cn</t>
  </si>
  <si>
    <t>Elena Petrova</t>
  </si>
  <si>
    <t>elena_p</t>
  </si>
  <si>
    <t>Russia</t>
  </si>
  <si>
    <t>Moscow</t>
  </si>
  <si>
    <t>elena.petrova@email.ru</t>
  </si>
  <si>
    <t>Juan Carlos Martinez</t>
  </si>
  <si>
    <t>juan_c_m</t>
  </si>
  <si>
    <t>Mexico</t>
  </si>
  <si>
    <t>Mexico City</t>
  </si>
  <si>
    <t>juan.martinez@mail.mx</t>
  </si>
  <si>
    <t>Sofia Garcia</t>
  </si>
  <si>
    <t>sofia_g</t>
  </si>
  <si>
    <t>Spain</t>
  </si>
  <si>
    <t>Madrid</t>
  </si>
  <si>
    <t>sofia.garcia@email.es</t>
  </si>
  <si>
    <t>Kwame Nkrumah</t>
  </si>
  <si>
    <t>kwame_n</t>
  </si>
  <si>
    <t>Ghana</t>
  </si>
  <si>
    <t>Accra</t>
  </si>
  <si>
    <t>kwame.nkrumah@email.gh</t>
  </si>
  <si>
    <t>Hiroshi Tanaka</t>
  </si>
  <si>
    <t>hiroshi_t</t>
  </si>
  <si>
    <t>Nagoya</t>
  </si>
  <si>
    <t>hiroshi.tanaka@mail.jp</t>
  </si>
  <si>
    <t>Aisha Mohammed</t>
  </si>
  <si>
    <t>aisha_m</t>
  </si>
  <si>
    <t>Kenya</t>
  </si>
  <si>
    <t>Nairobi</t>
  </si>
  <si>
    <t>aisha.mohammed@email.ke</t>
  </si>
  <si>
    <t>Daniel Kim</t>
  </si>
  <si>
    <t>daniel_kim</t>
  </si>
  <si>
    <t>South Korea</t>
  </si>
  <si>
    <t>Seoul</t>
  </si>
  <si>
    <t>daniel.kim@company.kr</t>
  </si>
  <si>
    <t>Lisa Schmidt</t>
  </si>
  <si>
    <t>lisa_schmidt</t>
  </si>
  <si>
    <t>lisa.schmidt@edu.de</t>
  </si>
  <si>
    <t>Marco Rossi</t>
  </si>
  <si>
    <t>marco_r</t>
  </si>
  <si>
    <t>Italy</t>
  </si>
  <si>
    <t>Rome</t>
  </si>
  <si>
    <t>marco.rossi@email.it</t>
  </si>
  <si>
    <t>Jennifer Lopez</t>
  </si>
  <si>
    <t>jen_lopez</t>
  </si>
  <si>
    <t>Phoenix</t>
  </si>
  <si>
    <t>jen.lopez@mail.com</t>
  </si>
  <si>
    <t>Rahul Mehta</t>
  </si>
  <si>
    <t>rahul_mehta</t>
  </si>
  <si>
    <t>Kolkata</t>
  </si>
  <si>
    <t>rahul.mehta@email.in</t>
  </si>
  <si>
    <t>Fatoumata Diallo</t>
  </si>
  <si>
    <t>fatou_d</t>
  </si>
  <si>
    <t>Senegal</t>
  </si>
  <si>
    <t>Dakar</t>
  </si>
  <si>
    <t>fatou.diallo@email.sn</t>
  </si>
  <si>
    <t>Alexander Petrov</t>
  </si>
  <si>
    <t>alex_p</t>
  </si>
  <si>
    <t>St. Petersburg</t>
  </si>
  <si>
    <t>alex.petrov@company.ru</t>
  </si>
  <si>
    <t>Ying Chen</t>
  </si>
  <si>
    <t>ying_chen</t>
  </si>
  <si>
    <t>ying.chen@mail.cn</t>
  </si>
  <si>
    <t>Samuel Johnson</t>
  </si>
  <si>
    <t>sam_johnson</t>
  </si>
  <si>
    <t>Birmingham</t>
  </si>
  <si>
    <t>sam.johnson@email.co.uk</t>
  </si>
  <si>
    <t>Ngozi Okonkwo</t>
  </si>
  <si>
    <t>ngozio</t>
  </si>
  <si>
    <t>ngozi.okonkwo@company.ng</t>
  </si>
  <si>
    <t>Pierre Moreau</t>
  </si>
  <si>
    <t>pierre_m</t>
  </si>
  <si>
    <t>Lyon</t>
  </si>
  <si>
    <t>pierre.moreau@email.fr</t>
  </si>
  <si>
    <t>Amina Hassan</t>
  </si>
  <si>
    <t>amina_h</t>
  </si>
  <si>
    <t>Egypt</t>
  </si>
  <si>
    <t>Cairo</t>
  </si>
  <si>
    <t>amina.hassan@mail.eg</t>
  </si>
  <si>
    <t>Thomas Anderson</t>
  </si>
  <si>
    <t>t_anderson</t>
  </si>
  <si>
    <t>Seattle</t>
  </si>
  <si>
    <t>thomas.anderson@email.com</t>
  </si>
  <si>
    <t>Siti Rahman</t>
  </si>
  <si>
    <t>siti_rahman</t>
  </si>
  <si>
    <t>Malaysia</t>
  </si>
  <si>
    <t>Kuala Lumpur</t>
  </si>
  <si>
    <t>siti.rahman@email.my</t>
  </si>
  <si>
    <t>Diego Ramirez</t>
  </si>
  <si>
    <t>diego_r</t>
  </si>
  <si>
    <t>Colombia</t>
  </si>
  <si>
    <t>BogotÃ¡</t>
  </si>
  <si>
    <t>diego.ramirez@email.co</t>
  </si>
  <si>
    <t>Hana Kim</t>
  </si>
  <si>
    <t>hana_k</t>
  </si>
  <si>
    <t>Busan</t>
  </si>
  <si>
    <t>hana.kim@mail.kr</t>
  </si>
  <si>
    <t>James O'Malley</t>
  </si>
  <si>
    <t>james_omalley</t>
  </si>
  <si>
    <t>Cork</t>
  </si>
  <si>
    <t>james.omalley@edu.ie</t>
  </si>
  <si>
    <t>Ling Wong</t>
  </si>
  <si>
    <t>ling_wong</t>
  </si>
  <si>
    <t>Singapore</t>
  </si>
  <si>
    <t>ling.wong@company.sg</t>
  </si>
  <si>
    <t>Maria Gonzalez</t>
  </si>
  <si>
    <t>maria_g</t>
  </si>
  <si>
    <t>Argentina</t>
  </si>
  <si>
    <t>Buenos Aires</t>
  </si>
  <si>
    <t>maria.gonzalez@email.ar</t>
  </si>
  <si>
    <t>Ahmed Khan</t>
  </si>
  <si>
    <t>ahmed_k</t>
  </si>
  <si>
    <t>Pakistan</t>
  </si>
  <si>
    <t>Karachi</t>
  </si>
  <si>
    <t>ahmed.khan@email.pk</t>
  </si>
  <si>
    <t>Yuki Sato</t>
  </si>
  <si>
    <t>yuki_s</t>
  </si>
  <si>
    <t>yuki.sato@mail.jp</t>
  </si>
  <si>
    <t>Robert Wilson</t>
  </si>
  <si>
    <t>rob_wilson</t>
  </si>
  <si>
    <t>Australia</t>
  </si>
  <si>
    <t>Sydney</t>
  </si>
  <si>
    <t>rob.wilson@email.au</t>
  </si>
  <si>
    <t>Fatima Zahra</t>
  </si>
  <si>
    <t>fatima_z</t>
  </si>
  <si>
    <t>Morocco</t>
  </si>
  <si>
    <t>Casablanca</t>
  </si>
  <si>
    <t>fatima.zahra@email.ma</t>
  </si>
  <si>
    <t>Miguel Santos</t>
  </si>
  <si>
    <t>miguel_s</t>
  </si>
  <si>
    <t>miguel.santos@company.br</t>
  </si>
  <si>
    <t>Sarah Chen</t>
  </si>
  <si>
    <t>sarah_chen</t>
  </si>
  <si>
    <t>sarah.chen@email.ca</t>
  </si>
  <si>
    <t>Ravi Shankar</t>
  </si>
  <si>
    <t>ravi_shankar</t>
  </si>
  <si>
    <t>ravi.shankar@email.in</t>
  </si>
  <si>
    <t>Emma van der Berg</t>
  </si>
  <si>
    <t>emma_vdb</t>
  </si>
  <si>
    <t>Netherlands</t>
  </si>
  <si>
    <t>Amsterdam</t>
  </si>
  <si>
    <t>emma.vanderberg@email.nl</t>
  </si>
  <si>
    <t>Omar Farooq</t>
  </si>
  <si>
    <t>omar_f</t>
  </si>
  <si>
    <t>Bangladesh</t>
  </si>
  <si>
    <t>Dhaka</t>
  </si>
  <si>
    <t>omar.farooq@company.bd</t>
  </si>
  <si>
    <t>Chloe Dubois</t>
  </si>
  <si>
    <t>chloe_d</t>
  </si>
  <si>
    <t>chloe.dubois@edu.fr</t>
  </si>
  <si>
    <t>Kenji Watanabe</t>
  </si>
  <si>
    <t>kenji_w</t>
  </si>
  <si>
    <t>kenji.watanabe@mail.jp</t>
  </si>
  <si>
    <t>Adeyemi Adebayo</t>
  </si>
  <si>
    <t>adeyemi_a</t>
  </si>
  <si>
    <t>Ibadan</t>
  </si>
  <si>
    <t>adeyemi.adebayo@email.ng</t>
  </si>
  <si>
    <t>Isabelle Laurent</t>
  </si>
  <si>
    <t>isabelle_l</t>
  </si>
  <si>
    <t>Switzerland</t>
  </si>
  <si>
    <t>Zurich</t>
  </si>
  <si>
    <t>isabelle.laurent@email.ch</t>
  </si>
  <si>
    <t>David Park</t>
  </si>
  <si>
    <t>david_park</t>
  </si>
  <si>
    <t>david.park@mail.kr</t>
  </si>
  <si>
    <t>Samantha Jones</t>
  </si>
  <si>
    <t>sam_jones</t>
  </si>
  <si>
    <t>samantha.jones@email.co.uk</t>
  </si>
  <si>
    <t>Mohammad Ali</t>
  </si>
  <si>
    <t>m_ali</t>
  </si>
  <si>
    <t>Saudi Arabia</t>
  </si>
  <si>
    <t>Riyadh</t>
  </si>
  <si>
    <t>mohammad.ali@company.sa</t>
  </si>
  <si>
    <t>Lina Nguyen</t>
  </si>
  <si>
    <t>lina_nguyen</t>
  </si>
  <si>
    <t>Vietnam</t>
  </si>
  <si>
    <t>Hanoi</t>
  </si>
  <si>
    <t>lina.nguyen@email.vn</t>
  </si>
  <si>
    <t>Brian Taylor</t>
  </si>
  <si>
    <t>brian_t</t>
  </si>
  <si>
    <t>San Francisco</t>
  </si>
  <si>
    <t>brian.taylor@email.com</t>
  </si>
  <si>
    <t>Zara Khan</t>
  </si>
  <si>
    <t>zara_k</t>
  </si>
  <si>
    <t>Lahore</t>
  </si>
  <si>
    <t>zara.khan@edu.pk</t>
  </si>
  <si>
    <t>Giuseppe Romano</t>
  </si>
  <si>
    <t>giuseppe_r</t>
  </si>
  <si>
    <t>Milan</t>
  </si>
  <si>
    <t>giuseppe.romano@mail.it</t>
  </si>
  <si>
    <t>Nadia Petrova</t>
  </si>
  <si>
    <t>nadia_p</t>
  </si>
  <si>
    <t>Ukraine</t>
  </si>
  <si>
    <t>Kyiv</t>
  </si>
  <si>
    <t>nadia.petrova@email.ua</t>
  </si>
  <si>
    <t>Kevin O'Brien</t>
  </si>
  <si>
    <t>kevin_obrien</t>
  </si>
  <si>
    <t>kevin.obrien@company.ie</t>
  </si>
  <si>
    <t>Yuna Kim</t>
  </si>
  <si>
    <t>yuna_kim</t>
  </si>
  <si>
    <t>yuna.kim@mail.kr</t>
  </si>
  <si>
    <t>Ahmed Mohamed</t>
  </si>
  <si>
    <t>ahmed_m</t>
  </si>
  <si>
    <t>Alexandria</t>
  </si>
  <si>
    <t>ahmed.mohamed@email.eg</t>
  </si>
  <si>
    <t>Sophia Williams</t>
  </si>
  <si>
    <t>sophia_w</t>
  </si>
  <si>
    <t>Boston</t>
  </si>
  <si>
    <t>sophia.williams@email.com</t>
  </si>
  <si>
    <t>Raj Malhotra</t>
  </si>
  <si>
    <t>raj_m</t>
  </si>
  <si>
    <t>raj.malhotra@company.in</t>
  </si>
  <si>
    <t>Marta Silva</t>
  </si>
  <si>
    <t>marta_s</t>
  </si>
  <si>
    <t>Portugal</t>
  </si>
  <si>
    <t>Lisbon</t>
  </si>
  <si>
    <t>marta.silva@email.pt</t>
  </si>
  <si>
    <t>Takeshi Nakamura</t>
  </si>
  <si>
    <t>takeshi_n</t>
  </si>
  <si>
    <t>takeshi.nakamura@mail.jp</t>
  </si>
  <si>
    <t>Babatunde Adeyemi</t>
  </si>
  <si>
    <t>babatunde_a</t>
  </si>
  <si>
    <t>babatunde.adeyemi@email.ng</t>
  </si>
  <si>
    <t>Elena Costa</t>
  </si>
  <si>
    <t>elena_c</t>
  </si>
  <si>
    <t>elena.costa@email.com.br</t>
  </si>
  <si>
    <t>Mark Thompson</t>
  </si>
  <si>
    <t>mark_t</t>
  </si>
  <si>
    <t>mark.thompson@mail.com</t>
  </si>
  <si>
    <t>Anh Tran</t>
  </si>
  <si>
    <t>anh_tran</t>
  </si>
  <si>
    <t>Ho Chi Minh City</t>
  </si>
  <si>
    <t>anh.tran@company.vn</t>
  </si>
  <si>
    <t>Laura MÃ¼ller</t>
  </si>
  <si>
    <t>laura_m</t>
  </si>
  <si>
    <t>laura.muller@edu.de</t>
  </si>
  <si>
    <t>James Cooper</t>
  </si>
  <si>
    <t>james_c</t>
  </si>
  <si>
    <t>james.cooper@email.co.uk</t>
  </si>
  <si>
    <t>Fatima Alawi</t>
  </si>
  <si>
    <t>fatima_a</t>
  </si>
  <si>
    <t>Oman</t>
  </si>
  <si>
    <t>Muscat</t>
  </si>
  <si>
    <t>fatima.alawi@email.om</t>
  </si>
  <si>
    <t>Diego Lopez</t>
  </si>
  <si>
    <t>diego_l</t>
  </si>
  <si>
    <t>Guadalajara</t>
  </si>
  <si>
    <t>diego.lopez@email.mx</t>
  </si>
  <si>
    <t>Yuki Tanaka</t>
  </si>
  <si>
    <t>yuki_tanaka</t>
  </si>
  <si>
    <t>yuki.tanaka@mail.jp</t>
  </si>
  <si>
    <t>Chinedu Okoro</t>
  </si>
  <si>
    <t>chinedu_o</t>
  </si>
  <si>
    <t>chinedu.okoro@company.ng</t>
  </si>
  <si>
    <t>Isabelle Roy</t>
  </si>
  <si>
    <t>isabelle_r</t>
  </si>
  <si>
    <t>isabelle.roy@email.ca</t>
  </si>
  <si>
    <t>Rahman Ali</t>
  </si>
  <si>
    <t>rahman_a</t>
  </si>
  <si>
    <t>Indonesia</t>
  </si>
  <si>
    <t>Jakarta</t>
  </si>
  <si>
    <t>rahman.ali@mail.id</t>
  </si>
  <si>
    <t>Sarah O'Connor</t>
  </si>
  <si>
    <t>sarah_oc</t>
  </si>
  <si>
    <t>sarah.oconnor@email.ie</t>
  </si>
  <si>
    <t>Wei Li</t>
  </si>
  <si>
    <t>wei_li</t>
  </si>
  <si>
    <t>wei.li@company.cn</t>
  </si>
  <si>
    <t>Anna Kowalski</t>
  </si>
  <si>
    <t>anna_k</t>
  </si>
  <si>
    <t>Poland</t>
  </si>
  <si>
    <t>Warsaw</t>
  </si>
  <si>
    <t>anna.kowalski@email.pl</t>
  </si>
  <si>
    <t>Mohammed Rahman</t>
  </si>
  <si>
    <t>m_rahman</t>
  </si>
  <si>
    <t>Chittagong</t>
  </si>
  <si>
    <t>mohammed.rahman@email.bd</t>
  </si>
  <si>
    <t>Yumi Sato</t>
  </si>
  <si>
    <t>yumi_s</t>
  </si>
  <si>
    <t>yumi.sato@edu.jp</t>
  </si>
  <si>
    <t>Carlos Rodriguez</t>
  </si>
  <si>
    <t>carlos_r</t>
  </si>
  <si>
    <t>Barcelona</t>
  </si>
  <si>
    <t>carlos.rodriguez@mail.es</t>
  </si>
  <si>
    <t>Aisha Abdullahi</t>
  </si>
  <si>
    <t>aisha_a</t>
  </si>
  <si>
    <t>aisha.abdullahi@email.ke</t>
  </si>
  <si>
    <t>David Chen</t>
  </si>
  <si>
    <t>david_chen</t>
  </si>
  <si>
    <t>david.chen@company.sg</t>
  </si>
  <si>
    <t>Maria Papadopoulos</t>
  </si>
  <si>
    <t>maria_p</t>
  </si>
  <si>
    <t>Greece</t>
  </si>
  <si>
    <t>Athens</t>
  </si>
  <si>
    <t>maria.papadopoulos@email.gr</t>
  </si>
  <si>
    <t>James Wilson</t>
  </si>
  <si>
    <t>j_wilson</t>
  </si>
  <si>
    <t>Melbourne</t>
  </si>
  <si>
    <t>james.wilson@email.au</t>
  </si>
  <si>
    <t>f_zahra</t>
  </si>
  <si>
    <t>Islamabad</t>
  </si>
  <si>
    <t>fatima.zahra@mail.pk</t>
  </si>
  <si>
    <t>Kenji Yamada</t>
  </si>
  <si>
    <t>kenji_y</t>
  </si>
  <si>
    <t>kenji.yamada@mail.jp</t>
  </si>
  <si>
    <t>Ngozi Eze</t>
  </si>
  <si>
    <t>ngozi_e</t>
  </si>
  <si>
    <t>ngozi.eze@company.ng</t>
  </si>
  <si>
    <t>Thomas Schmidt</t>
  </si>
  <si>
    <t>thomas_s</t>
  </si>
  <si>
    <t>Frankfurt</t>
  </si>
  <si>
    <t>thomas.schmidt@email.de</t>
  </si>
  <si>
    <t>Lina Chen</t>
  </si>
  <si>
    <t>lina_c</t>
  </si>
  <si>
    <t>lina.chen@mail.cn</t>
  </si>
  <si>
    <t>Ahmed Hassan</t>
  </si>
  <si>
    <t>ahmed_h</t>
  </si>
  <si>
    <t>ahmed.hassan@email.eg</t>
  </si>
  <si>
    <t>Sophie Martin</t>
  </si>
  <si>
    <t>sophie_m</t>
  </si>
  <si>
    <t>sophie.martin@edu.fr</t>
  </si>
  <si>
    <t>Raj Kumar</t>
  </si>
  <si>
    <t>raj_kumar</t>
  </si>
  <si>
    <t>raj.kumar@company.in</t>
  </si>
  <si>
    <t>maria_g2</t>
  </si>
  <si>
    <t>maria.gonzalez2@email.mx</t>
  </si>
  <si>
    <t>Yuki Kobayashi</t>
  </si>
  <si>
    <t>yuki_k</t>
  </si>
  <si>
    <t>yuki.kobayashi@mail.jp</t>
  </si>
  <si>
    <t>Kwame Asante</t>
  </si>
  <si>
    <t>kwame_a</t>
  </si>
  <si>
    <t>kwame.asante@email.gh</t>
  </si>
  <si>
    <t>Anna Petrova</t>
  </si>
  <si>
    <t>anna_p</t>
  </si>
  <si>
    <t>anna.petrova@email.ru</t>
  </si>
  <si>
    <t>Liam O'Brien</t>
  </si>
  <si>
    <t>liam_obrien</t>
  </si>
  <si>
    <t>liam.obrien@company.ie</t>
  </si>
  <si>
    <t>Ying Wang</t>
  </si>
  <si>
    <t>ying_w</t>
  </si>
  <si>
    <t>ying.wang@mail.cn</t>
  </si>
  <si>
    <t>Adeola Yusuf</t>
  </si>
  <si>
    <t>adeola_y</t>
  </si>
  <si>
    <t>adeola.yusuf@email.ng</t>
  </si>
  <si>
    <t>Marco Bianchi</t>
  </si>
  <si>
    <t>marco_b</t>
  </si>
  <si>
    <t>marco.bianchi@email.it</t>
  </si>
  <si>
    <t>Jennifer Kim</t>
  </si>
  <si>
    <t>jennifer_k</t>
  </si>
  <si>
    <t>jennifer.kim@email.com</t>
  </si>
  <si>
    <t>Rahman Hussain</t>
  </si>
  <si>
    <t>rahman_h</t>
  </si>
  <si>
    <t>rahman.hussain@company.pk</t>
  </si>
  <si>
    <t>Sofia Martinez</t>
  </si>
  <si>
    <t>sofia_m</t>
  </si>
  <si>
    <t>sofia.martinez@mail.es</t>
  </si>
  <si>
    <t>kenji_sato2</t>
  </si>
  <si>
    <t>kenji.sato2@edu.jp</t>
  </si>
  <si>
    <t>Fatoumata Bello</t>
  </si>
  <si>
    <t>fatou_b</t>
  </si>
  <si>
    <t>fatoumata.bello@email.sn</t>
  </si>
  <si>
    <t>David Wilson</t>
  </si>
  <si>
    <t>david_w</t>
  </si>
  <si>
    <t>david.wilson@company.co.uk</t>
  </si>
  <si>
    <t>Lina Park</t>
  </si>
  <si>
    <t>lina_park</t>
  </si>
  <si>
    <t>lina.park@email.kr</t>
  </si>
  <si>
    <t>Ahmed Al-Mansoori</t>
  </si>
  <si>
    <t>ahmed_alm</t>
  </si>
  <si>
    <t>ahmed.almansoori@email.ae</t>
  </si>
  <si>
    <t>Maria Costa</t>
  </si>
  <si>
    <t>maria_costa</t>
  </si>
  <si>
    <t>maria.costa@mail.com.br</t>
  </si>
  <si>
    <t>Chinedu Nwankwo</t>
  </si>
  <si>
    <t>chinedu_n</t>
  </si>
  <si>
    <t>chinedu.nwankwo@company.ng</t>
  </si>
  <si>
    <t>Isabelle Moreau</t>
  </si>
  <si>
    <t>isabelle_m</t>
  </si>
  <si>
    <t>isabelle.moreau@email.ca</t>
  </si>
  <si>
    <t>rahman_ali2</t>
  </si>
  <si>
    <t>rahman.ali2@mail.my</t>
  </si>
  <si>
    <t>Sarah Johnson</t>
  </si>
  <si>
    <t>sarah_j</t>
  </si>
  <si>
    <t>sarah.johnson@email.com</t>
  </si>
  <si>
    <t>wei_zhang</t>
  </si>
  <si>
    <t>wei.zhang@company.cn</t>
  </si>
  <si>
    <t>anna_k2</t>
  </si>
  <si>
    <t>Krakow</t>
  </si>
  <si>
    <t>anna.kowalski2@email.pl</t>
  </si>
  <si>
    <t>m_rahman2</t>
  </si>
  <si>
    <t>mohammed.rahman2@email.bd</t>
  </si>
  <si>
    <t>Yumi Tanaka</t>
  </si>
  <si>
    <t>yumi_tanaka</t>
  </si>
  <si>
    <t>yumi.tanaka@edu.jp</t>
  </si>
  <si>
    <t>Carlos Mendez</t>
  </si>
  <si>
    <t>carlos_m</t>
  </si>
  <si>
    <t>carlos.mendez@mail.mx</t>
  </si>
  <si>
    <t>aisha_m2</t>
  </si>
  <si>
    <t>aisha.mohammed2@email.ke</t>
  </si>
  <si>
    <t>david_chen2</t>
  </si>
  <si>
    <t>david.chen2@company.sg</t>
  </si>
  <si>
    <t>maria_p2</t>
  </si>
  <si>
    <t>Thessaloniki</t>
  </si>
  <si>
    <t>maria.papadopoulos2@email.gr</t>
  </si>
  <si>
    <t>j_wilson2</t>
  </si>
  <si>
    <t>james.wilson2@email.au</t>
  </si>
  <si>
    <t>f_zahra2</t>
  </si>
  <si>
    <t>fatima.zahra2@mail.pk</t>
  </si>
  <si>
    <t>kenji_y2</t>
  </si>
  <si>
    <t>kenji.yamada2@mail.jp</t>
  </si>
  <si>
    <t>ngozi_e2</t>
  </si>
  <si>
    <t>ngozi.eze2@company.ng</t>
  </si>
  <si>
    <t>thomas_s2</t>
  </si>
  <si>
    <t>thomas.schmidt2@email.de</t>
  </si>
  <si>
    <t>lina_c2</t>
  </si>
  <si>
    <t>lina.chen2@mail.cn</t>
  </si>
  <si>
    <t>ahmed_h2</t>
  </si>
  <si>
    <t>ahmed.hassan2@email.eg</t>
  </si>
  <si>
    <t>sophie_m2</t>
  </si>
  <si>
    <t>sophie.martin2@edu.fr</t>
  </si>
  <si>
    <t>raj_kumar2</t>
  </si>
  <si>
    <t>raj.kumar2@company.in</t>
  </si>
  <si>
    <t>maria_g3</t>
  </si>
  <si>
    <t>maria.gonzalez3@email.mx</t>
  </si>
  <si>
    <t>yuki_k2</t>
  </si>
  <si>
    <t>yuki.kobayashi2@mail.jp</t>
  </si>
  <si>
    <t>kwame_a2</t>
  </si>
  <si>
    <t>kwame.asante2@email.gh</t>
  </si>
  <si>
    <t>anna_p2</t>
  </si>
  <si>
    <t>anna.petrova2@email.ru</t>
  </si>
  <si>
    <t>liam_obrien2</t>
  </si>
  <si>
    <t>liam.obrien2@company.ie</t>
  </si>
  <si>
    <t>ying_w2</t>
  </si>
  <si>
    <t>ying.wang2@mail.cn</t>
  </si>
  <si>
    <t>adeola_y2</t>
  </si>
  <si>
    <t>adeola.yusuf2@email.ng</t>
  </si>
  <si>
    <t>marco_b2</t>
  </si>
  <si>
    <t>marco.bianchi2@email.it</t>
  </si>
  <si>
    <t>jennifer_k2</t>
  </si>
  <si>
    <t>San Diego</t>
  </si>
  <si>
    <t>jennifer.kim2@email.com</t>
  </si>
  <si>
    <t>rahman_h2</t>
  </si>
  <si>
    <t>rahman.hussain2@company.pk</t>
  </si>
  <si>
    <t>sofia_m2</t>
  </si>
  <si>
    <t>sofia.martinez2@mail.es</t>
  </si>
  <si>
    <t>kenji_sato3</t>
  </si>
  <si>
    <t>kenji.sato3@edu.jp</t>
  </si>
  <si>
    <t>fatou_b2</t>
  </si>
  <si>
    <t>fatoumata.bello2@email.sn</t>
  </si>
  <si>
    <t>david_w2</t>
  </si>
  <si>
    <t>david.wilson2@company.co.uk</t>
  </si>
  <si>
    <t>lina_park2</t>
  </si>
  <si>
    <t>lina.park2@email.kr</t>
  </si>
  <si>
    <t>ahmed_alm2</t>
  </si>
  <si>
    <t>ahmed.almansoori2@email.ae</t>
  </si>
  <si>
    <t>maria_costa2</t>
  </si>
  <si>
    <t>maria.costa2@mail.com.br</t>
  </si>
  <si>
    <t>chinedu_n2</t>
  </si>
  <si>
    <t>chinedu.nwankwo2@company.ng</t>
  </si>
  <si>
    <t>isabelle_m2</t>
  </si>
  <si>
    <t>isabelle.moreau2@email.ca</t>
  </si>
  <si>
    <t>rahman_ali3</t>
  </si>
  <si>
    <t>Surabaya</t>
  </si>
  <si>
    <t>rahman.ali3@mail.id</t>
  </si>
  <si>
    <t>sarah_j2</t>
  </si>
  <si>
    <t>sarah.johnson2@email.com</t>
  </si>
  <si>
    <t>wei_zhang2</t>
  </si>
  <si>
    <t>wei.zhang2@company.cn</t>
  </si>
  <si>
    <t>anna_k3</t>
  </si>
  <si>
    <t>anna.kowalski3@email.pl</t>
  </si>
  <si>
    <t>m_rahman3</t>
  </si>
  <si>
    <t>mohammed.rahman3@email.bd</t>
  </si>
  <si>
    <t>yumi_tanaka2</t>
  </si>
  <si>
    <t>yumi.tanaka2@edu.jp</t>
  </si>
  <si>
    <t>carlos_m2</t>
  </si>
  <si>
    <t>carlos.mendez2@mail.mx</t>
  </si>
  <si>
    <t>aisha_m3</t>
  </si>
  <si>
    <t>Mombasa</t>
  </si>
  <si>
    <t>aisha.mohammed3@email.ke</t>
  </si>
  <si>
    <t>david_chen3</t>
  </si>
  <si>
    <t>david.chen3@company.sg</t>
  </si>
  <si>
    <t>maria_p3</t>
  </si>
  <si>
    <t>maria.papadopoulos3@email.gr</t>
  </si>
  <si>
    <t>j_wilson3</t>
  </si>
  <si>
    <t>james.wilson3@email.au</t>
  </si>
  <si>
    <t>f_zahra3</t>
  </si>
  <si>
    <t>fatima.zahra3@mail.pk</t>
  </si>
  <si>
    <t>kenji_y3</t>
  </si>
  <si>
    <t>kenji.yamada3@mail.jp</t>
  </si>
  <si>
    <t>ngozi_e3</t>
  </si>
  <si>
    <t>ngozi.eze3@company.ng</t>
  </si>
  <si>
    <t>thomas_s3</t>
  </si>
  <si>
    <t>thomas.schmidt3@email.de</t>
  </si>
  <si>
    <t>lina_c3</t>
  </si>
  <si>
    <t>lina.chen3@mail.cn</t>
  </si>
  <si>
    <t>ahmed_h3</t>
  </si>
  <si>
    <t>ahmed.hassan3@email.eg</t>
  </si>
  <si>
    <t>sophie_m3</t>
  </si>
  <si>
    <t>sophie.martin3@edu.fr</t>
  </si>
  <si>
    <t>raj_kumar3</t>
  </si>
  <si>
    <t>raj.kumar3@company.in</t>
  </si>
  <si>
    <t>maria_g4</t>
  </si>
  <si>
    <t>Monterrey</t>
  </si>
  <si>
    <t>maria.gonzalez4@email.mx</t>
  </si>
  <si>
    <t>yuki_k3</t>
  </si>
  <si>
    <t>yuki.kobayashi3@mail.jp</t>
  </si>
  <si>
    <t>kwame_a3</t>
  </si>
  <si>
    <t>kwame.asante3@email.gh</t>
  </si>
  <si>
    <t>anna_p3</t>
  </si>
  <si>
    <t>anna.petrova3@email.ru</t>
  </si>
  <si>
    <t>liam_obrien3</t>
  </si>
  <si>
    <t>liam.obrien3@company.ie</t>
  </si>
  <si>
    <t>ying_w3</t>
  </si>
  <si>
    <t>ying.wang3@mail.cn</t>
  </si>
  <si>
    <t>adeola_y3</t>
  </si>
  <si>
    <t>adeola.yusuf3@email.ng</t>
  </si>
  <si>
    <t>marco_b3</t>
  </si>
  <si>
    <t>marco.bianchi3@email.it</t>
  </si>
  <si>
    <t>jennifer_k3</t>
  </si>
  <si>
    <t>jennifer.kim3@email.com</t>
  </si>
  <si>
    <t>rahman_h3</t>
  </si>
  <si>
    <t>rahman.hussain3@company.pk</t>
  </si>
  <si>
    <t>sofia_m3</t>
  </si>
  <si>
    <t>Valencia</t>
  </si>
  <si>
    <t>sofia.martinez3@mail.es</t>
  </si>
  <si>
    <t>kenji_sato4</t>
  </si>
  <si>
    <t>kenji.sato4@edu.jp</t>
  </si>
  <si>
    <t>fatou_b3</t>
  </si>
  <si>
    <t>fatoumata.bello3@email.sn</t>
  </si>
  <si>
    <t>david_w3</t>
  </si>
  <si>
    <t>david.wilson3@company.co.uk</t>
  </si>
  <si>
    <t>lina_park3</t>
  </si>
  <si>
    <t>lina.park3@email.kr</t>
  </si>
  <si>
    <t>ahmed_alm3</t>
  </si>
  <si>
    <t>ahmed.almansoori3@email.ae</t>
  </si>
  <si>
    <t>maria_costa3</t>
  </si>
  <si>
    <t>maria.costa3@mail.com.br</t>
  </si>
  <si>
    <t>chinedu_n3</t>
  </si>
  <si>
    <t>chinedu.nwankwo3@company.ng</t>
  </si>
  <si>
    <t>isabelle_m3</t>
  </si>
  <si>
    <t>isabelle.moreau3@email.ca</t>
  </si>
  <si>
    <t>rahman_ali4</t>
  </si>
  <si>
    <t>Bandung</t>
  </si>
  <si>
    <t>rahman.ali4@mail.id</t>
  </si>
  <si>
    <t>sarah_j3</t>
  </si>
  <si>
    <t>sarah.johnson3@email.com</t>
  </si>
  <si>
    <t>wei_zhang3</t>
  </si>
  <si>
    <t>wei.zhang3@company.cn</t>
  </si>
  <si>
    <t>anna_k4</t>
  </si>
  <si>
    <t>anna.kowalski4@email.pl</t>
  </si>
  <si>
    <t>m_rahman4</t>
  </si>
  <si>
    <t>mohammed.rahman4@email.bd</t>
  </si>
  <si>
    <t>yumi_tanaka3</t>
  </si>
  <si>
    <t>yumi.tanaka3@edu.jp</t>
  </si>
  <si>
    <t>carlos_m3</t>
  </si>
  <si>
    <t>carlos.mendez3@mail.mx</t>
  </si>
  <si>
    <t>aisha_m4</t>
  </si>
  <si>
    <t>aisha.mohammed4@email.ke</t>
  </si>
  <si>
    <t>david_chen4</t>
  </si>
  <si>
    <t>david.chen4@company.sg</t>
  </si>
  <si>
    <t>maria_p4</t>
  </si>
  <si>
    <t>maria.papadopoulos4@email.gr</t>
  </si>
  <si>
    <t>j_wilson4</t>
  </si>
  <si>
    <t>james.wilson4@email.au</t>
  </si>
  <si>
    <t>f_zahra4</t>
  </si>
  <si>
    <t>fatima.zahra4@mail.pk</t>
  </si>
  <si>
    <t>kenji_y4</t>
  </si>
  <si>
    <t>kenji.yamada4@mail.jp</t>
  </si>
  <si>
    <t>ngozi_e4</t>
  </si>
  <si>
    <t>ngozi.eze4@company.ng</t>
  </si>
  <si>
    <t>thomas_s4</t>
  </si>
  <si>
    <t>thomas.schmidt4@email.de</t>
  </si>
  <si>
    <t>lina_c4</t>
  </si>
  <si>
    <t>lina.chen4@mail.cn</t>
  </si>
  <si>
    <t>ahmed_h4</t>
  </si>
  <si>
    <t>ahmed.hassan4@email.eg</t>
  </si>
  <si>
    <t>sophie_m4</t>
  </si>
  <si>
    <t>sophie.martin4@edu.fr</t>
  </si>
  <si>
    <t>raj_kumar4</t>
  </si>
  <si>
    <t>raj.kumar4@company.in</t>
  </si>
  <si>
    <t>maria_g5</t>
  </si>
  <si>
    <t>maria.gonzalez5@email.mx</t>
  </si>
  <si>
    <t>yuki_k4</t>
  </si>
  <si>
    <t>yuki.kobayashi4@mail.jp</t>
  </si>
  <si>
    <t>kwame_a4</t>
  </si>
  <si>
    <t>kwame.asante4@email.gh</t>
  </si>
  <si>
    <t>anna_p4</t>
  </si>
  <si>
    <t>anna.petrova4@email.ru</t>
  </si>
  <si>
    <t>liam_obrien4</t>
  </si>
  <si>
    <t>liam.obrien4@company.ie</t>
  </si>
  <si>
    <t>ying_w4</t>
  </si>
  <si>
    <t>ying.wang4@mail.cn</t>
  </si>
  <si>
    <t>adeola_y4</t>
  </si>
  <si>
    <t>adeola.yusuf4@email.ng</t>
  </si>
  <si>
    <t>marco_b4</t>
  </si>
  <si>
    <t>marco.bianchi4@email.it</t>
  </si>
  <si>
    <t>jennifer_k4</t>
  </si>
  <si>
    <t>jennifer.kim4@email.com</t>
  </si>
  <si>
    <t>rahman_h4</t>
  </si>
  <si>
    <t>rahman.hussain4@company.pk</t>
  </si>
  <si>
    <t>sofia_m4</t>
  </si>
  <si>
    <t>sofia.martinez4@mail.es</t>
  </si>
  <si>
    <t>kenji_sato5</t>
  </si>
  <si>
    <t>kenji.sato5@edu.jp</t>
  </si>
  <si>
    <t>fatou_b4</t>
  </si>
  <si>
    <t>fatoumata.bello4@email.sn</t>
  </si>
  <si>
    <t>david_w4</t>
  </si>
  <si>
    <t>david.wilson4@company.co.uk</t>
  </si>
  <si>
    <t>lina_park4</t>
  </si>
  <si>
    <t>lina.park4@email.kr</t>
  </si>
  <si>
    <t>ahmed_alm4</t>
  </si>
  <si>
    <t>ahmed.almansoori4@email.ae</t>
  </si>
  <si>
    <t>maria_costa4</t>
  </si>
  <si>
    <t>maria.costa4@mail.com.br</t>
  </si>
  <si>
    <t>chinedu_n4</t>
  </si>
  <si>
    <t>chinedu.nwankwo4@company.ng</t>
  </si>
  <si>
    <t>isabelle_m4</t>
  </si>
  <si>
    <t>isabelle.moreau4@email.ca</t>
  </si>
  <si>
    <t>rahman_ali5</t>
  </si>
  <si>
    <t>rahman.ali5@mail.id</t>
  </si>
  <si>
    <t>sarah_j4</t>
  </si>
  <si>
    <t>sarah.johnson4@email.com</t>
  </si>
  <si>
    <t>wei_zhang4</t>
  </si>
  <si>
    <t>wei.zhang4@company.cn</t>
  </si>
  <si>
    <t>anna_k5</t>
  </si>
  <si>
    <t>anna.kowalski5@email.pl</t>
  </si>
  <si>
    <t>m_rahman5</t>
  </si>
  <si>
    <t>mohammed.rahman5@email.bd</t>
  </si>
  <si>
    <t>yumi_tanaka4</t>
  </si>
  <si>
    <t>yumi.tanaka4@edu.jp</t>
  </si>
  <si>
    <t>carlos_m4</t>
  </si>
  <si>
    <t>carlos.mendez4@mail.mx</t>
  </si>
  <si>
    <t>aisha_m5</t>
  </si>
  <si>
    <t>aisha.mohammed5@email.ke</t>
  </si>
  <si>
    <t>david_chen5</t>
  </si>
  <si>
    <t>david.chen5@company.sg</t>
  </si>
  <si>
    <t>maria_p5</t>
  </si>
  <si>
    <t>maria.papadopoulos5@email.gr</t>
  </si>
  <si>
    <t>j_wilson5</t>
  </si>
  <si>
    <t>james.wilson5@email.au</t>
  </si>
  <si>
    <t>f_zahra5</t>
  </si>
  <si>
    <t>fatima.zahra5@mail.pk</t>
  </si>
  <si>
    <t>kenji_y5</t>
  </si>
  <si>
    <t>kenji.yamada5@mail.jp</t>
  </si>
  <si>
    <t>ngozi_e5</t>
  </si>
  <si>
    <t>ngozi.eze5@company.ng</t>
  </si>
  <si>
    <t>thomas_s5</t>
  </si>
  <si>
    <t>thomas.schmidt5@email.de</t>
  </si>
  <si>
    <t>lina_c5</t>
  </si>
  <si>
    <t>lina.chen5@mail.cn</t>
  </si>
  <si>
    <t>ahmed_h5</t>
  </si>
  <si>
    <t>ahmed.hassan5@email.eg</t>
  </si>
  <si>
    <t>sophie_m5</t>
  </si>
  <si>
    <t>sophie.martin5@edu.fr</t>
  </si>
  <si>
    <t>raj_kumar5</t>
  </si>
  <si>
    <t>raj.kumar5@company.in</t>
  </si>
  <si>
    <t>maria_g6</t>
  </si>
  <si>
    <t>maria.gonzalez6@email.mx</t>
  </si>
  <si>
    <t>yuki_k5</t>
  </si>
  <si>
    <t>yuki.kobayashi5@mail.jp</t>
  </si>
  <si>
    <t>kwame_a5</t>
  </si>
  <si>
    <t>kwame.asante5@email.gh</t>
  </si>
  <si>
    <t>anna_p5</t>
  </si>
  <si>
    <t>anna.petrova5@email.ru</t>
  </si>
  <si>
    <t>liam_obrien5</t>
  </si>
  <si>
    <t>liam.obrien5@company.ie</t>
  </si>
  <si>
    <t>ying_w5</t>
  </si>
  <si>
    <t>ying.wang5@mail.cn</t>
  </si>
  <si>
    <t>adeola_y5</t>
  </si>
  <si>
    <t>adeola.yusuf5@email.ng</t>
  </si>
  <si>
    <t>marco_b5</t>
  </si>
  <si>
    <t>marco.bianchi5@email.it</t>
  </si>
  <si>
    <t>jennifer_k5</t>
  </si>
  <si>
    <t>jennifer.kim5@email.com</t>
  </si>
  <si>
    <t>rahman_h5</t>
  </si>
  <si>
    <t>rahman.hussain5@company.pk</t>
  </si>
  <si>
    <t>sofia_m5</t>
  </si>
  <si>
    <t>sofia.martinez5@mail.es</t>
  </si>
  <si>
    <t>kenji_sato6</t>
  </si>
  <si>
    <t>kenji.sato6@edu.jp</t>
  </si>
  <si>
    <t>fatou_b5</t>
  </si>
  <si>
    <t>fatoumata.bello5@email.sn</t>
  </si>
  <si>
    <t>david_w5</t>
  </si>
  <si>
    <t>david.wilson5@company.co.uk</t>
  </si>
  <si>
    <t>lina_park5</t>
  </si>
  <si>
    <t>lina.park5@email.kr</t>
  </si>
  <si>
    <t>ahmed_alm5</t>
  </si>
  <si>
    <t>ahmed.almansoori5@email.ae</t>
  </si>
  <si>
    <t>maria_costa5</t>
  </si>
  <si>
    <t>maria.costa5@mail.com.br</t>
  </si>
  <si>
    <t>chinedu_n5</t>
  </si>
  <si>
    <t>chinedu.nwankwo5@company.ng</t>
  </si>
  <si>
    <t>isabelle_m5</t>
  </si>
  <si>
    <t>isabelle.moreau5@email.ca</t>
  </si>
  <si>
    <t>rahman_ali6</t>
  </si>
  <si>
    <t>rahman.ali6@mail.id</t>
  </si>
  <si>
    <t>sarah_j5</t>
  </si>
  <si>
    <t>sarah.johnson5@email.com</t>
  </si>
  <si>
    <t>wei_zhang5</t>
  </si>
  <si>
    <t>wei.zhang5@company.cn</t>
  </si>
  <si>
    <t>anna_k6</t>
  </si>
  <si>
    <t>anna.kowalski6@email.pl</t>
  </si>
  <si>
    <t>m_rahman6</t>
  </si>
  <si>
    <t>mohammed.rahman6@email.bd</t>
  </si>
  <si>
    <t>yumi_tanaka5</t>
  </si>
  <si>
    <t>yumi.tanaka5@edu.jp</t>
  </si>
  <si>
    <t>carlos_m5</t>
  </si>
  <si>
    <t>carlos.mendez5@mail.mx</t>
  </si>
  <si>
    <t>aisha_m6</t>
  </si>
  <si>
    <t>aisha.mohammed6@email.ke</t>
  </si>
  <si>
    <t>david_chen6</t>
  </si>
  <si>
    <t>david.chen6@company.sg</t>
  </si>
  <si>
    <t>maria_p6</t>
  </si>
  <si>
    <t>maria.papadopoulos6@email.gr</t>
  </si>
  <si>
    <t>j_wilson6</t>
  </si>
  <si>
    <t>james.wilson6@email.au</t>
  </si>
  <si>
    <t>f_zahra6</t>
  </si>
  <si>
    <t>fatima.zahra6@mail.pk</t>
  </si>
  <si>
    <t>kenji_y6</t>
  </si>
  <si>
    <t>kenji.yamada6@mail.jp</t>
  </si>
  <si>
    <t>ngozi_e6</t>
  </si>
  <si>
    <t>ngozi.eze6@company.ng</t>
  </si>
  <si>
    <t>thomas_s6</t>
  </si>
  <si>
    <t>thomas.schmidt6@email.de</t>
  </si>
  <si>
    <t>lina_c6</t>
  </si>
  <si>
    <t>lina.chen6@mail.cn</t>
  </si>
  <si>
    <t>ahmed_h6</t>
  </si>
  <si>
    <t>ahmed.hassan6@email.eg</t>
  </si>
  <si>
    <t>sophie_m6</t>
  </si>
  <si>
    <t>sophie.martin6@edu.fr</t>
  </si>
  <si>
    <t>raj_kumar6</t>
  </si>
  <si>
    <t>raj.kumar6@company.in</t>
  </si>
  <si>
    <t>maria_g7</t>
  </si>
  <si>
    <t>maria.gonzalez7@email.mx</t>
  </si>
  <si>
    <t>yuki_k6</t>
  </si>
  <si>
    <t>yuki.kobayashi6@mail.jp</t>
  </si>
  <si>
    <t>kwame_a6</t>
  </si>
  <si>
    <t>kwame.asante6@email.gh</t>
  </si>
  <si>
    <t>anna_p6</t>
  </si>
  <si>
    <t>anna.petrova6@email.ru</t>
  </si>
  <si>
    <t>liam_obrien6</t>
  </si>
  <si>
    <t>liam.obrien6@company.ie</t>
  </si>
  <si>
    <t>ying_w6</t>
  </si>
  <si>
    <t>ying.wang6@mail.cn</t>
  </si>
  <si>
    <t>adeola_y6</t>
  </si>
  <si>
    <t>adeola.yusuf6@email.ng</t>
  </si>
  <si>
    <t>marco_b6</t>
  </si>
  <si>
    <t>marco.bianchi6@email.it</t>
  </si>
  <si>
    <t>jennifer_k6</t>
  </si>
  <si>
    <t>jennifer.kim6@email.com</t>
  </si>
  <si>
    <t>rahman_h6</t>
  </si>
  <si>
    <t>rahman.hussain6@company.pk</t>
  </si>
  <si>
    <t>sofia_m6</t>
  </si>
  <si>
    <t>sofia.martinez6@mail.es</t>
  </si>
  <si>
    <t>kenji_sato7</t>
  </si>
  <si>
    <t>kenji.sato7@edu.jp</t>
  </si>
  <si>
    <t>fatou_b6</t>
  </si>
  <si>
    <t>fatoumata.bello6@email.sn</t>
  </si>
  <si>
    <t>david_w6</t>
  </si>
  <si>
    <t>david.wilson6@company.co.uk</t>
  </si>
  <si>
    <t>lina_park6</t>
  </si>
  <si>
    <t>lina.park6@email.kr</t>
  </si>
  <si>
    <t>ahmed_alm6</t>
  </si>
  <si>
    <t>ahmed.almansoori6@email.ae</t>
  </si>
  <si>
    <t>maria_costa6</t>
  </si>
  <si>
    <t>maria.costa6@mail.com.br</t>
  </si>
  <si>
    <t>chinedu_n6</t>
  </si>
  <si>
    <t>chinedu.nwankwo6@company.ng</t>
  </si>
  <si>
    <t>isabelle_m6</t>
  </si>
  <si>
    <t>isabelle.moreau6@email.ca</t>
  </si>
  <si>
    <t>rahman_ali7</t>
  </si>
  <si>
    <t>rahman.ali7@mail.id</t>
  </si>
  <si>
    <t>sarah_j6</t>
  </si>
  <si>
    <t>sarah.johnson6@email.com</t>
  </si>
  <si>
    <t>wei_zhang6</t>
  </si>
  <si>
    <t>wei.zhang6@company.cn</t>
  </si>
  <si>
    <t>anna_k7</t>
  </si>
  <si>
    <t>anna.kowalski7@email.pl</t>
  </si>
  <si>
    <t>m_rahman7</t>
  </si>
  <si>
    <t>mohammed.rahman7@email.bd</t>
  </si>
  <si>
    <t>yumi_tanaka6</t>
  </si>
  <si>
    <t>yumi.tanaka6@edu.jp</t>
  </si>
  <si>
    <t>carlos_m6</t>
  </si>
  <si>
    <t>carlos.mendez6@mail.mx</t>
  </si>
  <si>
    <t>aisha_m7</t>
  </si>
  <si>
    <t>aisha.mohammed7@email.ke</t>
  </si>
  <si>
    <t>david_chen7</t>
  </si>
  <si>
    <t>david.chen7@company.sg</t>
  </si>
  <si>
    <t>maria_p7</t>
  </si>
  <si>
    <t>maria.papadopoulos7@email.gr</t>
  </si>
  <si>
    <t>j_wilson7</t>
  </si>
  <si>
    <t>james.wilson7@email.au</t>
  </si>
  <si>
    <t>f_zahra7</t>
  </si>
  <si>
    <t>fatima.zahra7@mail.pk</t>
  </si>
  <si>
    <t>kenji_y7</t>
  </si>
  <si>
    <t>kenji.yamada7@mail.jp</t>
  </si>
  <si>
    <t>ngozi_e7</t>
  </si>
  <si>
    <t>ngozi.eze7@company.ng</t>
  </si>
  <si>
    <t>thomas_s7</t>
  </si>
  <si>
    <t>thomas.schmidt7@email.de</t>
  </si>
  <si>
    <t>lina_c7</t>
  </si>
  <si>
    <t>lina.chen7@mail.cn</t>
  </si>
  <si>
    <t>ahmed_h7</t>
  </si>
  <si>
    <t>ahmed.hassan7@email.eg</t>
  </si>
  <si>
    <t>sophie_m7</t>
  </si>
  <si>
    <t>sophie.martin7@edu.fr</t>
  </si>
  <si>
    <t>raj_kumar7</t>
  </si>
  <si>
    <t>raj.kumar7@company.in</t>
  </si>
  <si>
    <t>maria_g8</t>
  </si>
  <si>
    <t>maria.gonzalez8@email.mx</t>
  </si>
  <si>
    <t>yuki_k7</t>
  </si>
  <si>
    <t>yuki.kobayashi7@mail.jp</t>
  </si>
  <si>
    <t>kwame_a7</t>
  </si>
  <si>
    <t>kwame.asante7@email.gh</t>
  </si>
  <si>
    <t>anna_p7</t>
  </si>
  <si>
    <t>anna.petrova7@email.ru</t>
  </si>
  <si>
    <t>liam_obrien7</t>
  </si>
  <si>
    <t>liam.obrien7@company.ie</t>
  </si>
  <si>
    <t>ying_w7</t>
  </si>
  <si>
    <t>ying.wang7@mail.cn</t>
  </si>
  <si>
    <t>adeola_y7</t>
  </si>
  <si>
    <t>adeola.yusuf7@email.ng</t>
  </si>
  <si>
    <t>marco_b7</t>
  </si>
  <si>
    <t>marco.bianchi7@email.it</t>
  </si>
  <si>
    <t>jennifer_k7</t>
  </si>
  <si>
    <t>jennifer.kim7@email.com</t>
  </si>
  <si>
    <t>rahman_h7</t>
  </si>
  <si>
    <t>rahman.hussain7@company.pk</t>
  </si>
  <si>
    <t>sofia_m7</t>
  </si>
  <si>
    <t>sofia.martinez7@mail.es</t>
  </si>
  <si>
    <t>kenji_sato8</t>
  </si>
  <si>
    <t>kenji.sato8@edu.jp</t>
  </si>
  <si>
    <t>fatou_b7</t>
  </si>
  <si>
    <t>fatoumata.bello7@email.sn</t>
  </si>
  <si>
    <t>david_w7</t>
  </si>
  <si>
    <t>david.wilson7@company.co.uk</t>
  </si>
  <si>
    <t>lina_park7</t>
  </si>
  <si>
    <t>lina.park7@email.kr</t>
  </si>
  <si>
    <t>ahmed_alm7</t>
  </si>
  <si>
    <t>ahmed.almansoori7@email.ae</t>
  </si>
  <si>
    <t>maria_costa7</t>
  </si>
  <si>
    <t>maria.costa7@mail.com.br</t>
  </si>
  <si>
    <t>chinedu_n7</t>
  </si>
  <si>
    <t>chinedu.nwankwo7@company.ng</t>
  </si>
  <si>
    <t>isabelle_m7</t>
  </si>
  <si>
    <t>isabelle.moreau7@email.ca</t>
  </si>
  <si>
    <t>rahman_ali8</t>
  </si>
  <si>
    <t>rahman.ali8@mail.id</t>
  </si>
  <si>
    <t>sarah_j7</t>
  </si>
  <si>
    <t>sarah.johnson7@email.com</t>
  </si>
  <si>
    <t>wei_zhang7</t>
  </si>
  <si>
    <t>wei.zhang7@company.cn</t>
  </si>
  <si>
    <t>anna_k8</t>
  </si>
  <si>
    <t>anna.kowalski8@email.pl</t>
  </si>
  <si>
    <t>m_rahman8</t>
  </si>
  <si>
    <t>mohammed.rahman8@email.bd</t>
  </si>
  <si>
    <t>yumi_tanaka7</t>
  </si>
  <si>
    <t>yumi.tanaka7@edu.jp</t>
  </si>
  <si>
    <t>carlos_m7</t>
  </si>
  <si>
    <t>carlos.mendez7@mail.mx</t>
  </si>
  <si>
    <t>aisha_m8</t>
  </si>
  <si>
    <t>aisha.mohammed8@email.ke</t>
  </si>
  <si>
    <t>david_chen8</t>
  </si>
  <si>
    <t>david.chen8@company.sg</t>
  </si>
  <si>
    <t>maria_p8</t>
  </si>
  <si>
    <t>maria.papadopoulos8@email.gr</t>
  </si>
  <si>
    <t>j_wilson8</t>
  </si>
  <si>
    <t>james.wilson8@email.au</t>
  </si>
  <si>
    <t>f_zahra8</t>
  </si>
  <si>
    <t>fatima.zahra8@mail.pk</t>
  </si>
  <si>
    <t>kenji_y8</t>
  </si>
  <si>
    <t>kenji.yamada8@mail.jp</t>
  </si>
  <si>
    <t>ngozi_e8</t>
  </si>
  <si>
    <t>ngozi.eze8@company.ng</t>
  </si>
  <si>
    <t>thomas_s8</t>
  </si>
  <si>
    <t>thomas.schmidt8@email.de</t>
  </si>
  <si>
    <t>lina_c8</t>
  </si>
  <si>
    <t>lina.chen8@mail.cn</t>
  </si>
  <si>
    <t>ahmed_h8</t>
  </si>
  <si>
    <t>ahmed.hassan8@email.eg</t>
  </si>
  <si>
    <t>sophie_m8</t>
  </si>
  <si>
    <t>sophie.martin8@edu.fr</t>
  </si>
  <si>
    <t>raj_kumar8</t>
  </si>
  <si>
    <t>raj.kumar8@company.in</t>
  </si>
  <si>
    <t>maria_g9</t>
  </si>
  <si>
    <t>maria.gonzalez9@email.mx</t>
  </si>
  <si>
    <t>yuki_k8</t>
  </si>
  <si>
    <t>yuki.kobayashi8@mail.jp</t>
  </si>
  <si>
    <t>kwame_a8</t>
  </si>
  <si>
    <t>kwame.asante8@email.gh</t>
  </si>
  <si>
    <t>anna_p8</t>
  </si>
  <si>
    <t>anna.petrova8@email.ru</t>
  </si>
  <si>
    <t>liam_obrien8</t>
  </si>
  <si>
    <t>liam.obrien8@company.ie</t>
  </si>
  <si>
    <t>ying_w8</t>
  </si>
  <si>
    <t>ying.wang8@mail.cn</t>
  </si>
  <si>
    <t>adeola_y8</t>
  </si>
  <si>
    <t>adeola.yusuf8@email.ng</t>
  </si>
  <si>
    <t>marco_b8</t>
  </si>
  <si>
    <t>marco.bianchi8@email.it</t>
  </si>
  <si>
    <t>jennifer_k8</t>
  </si>
  <si>
    <t>jennifer.kim8@email.com</t>
  </si>
  <si>
    <t>rahman_h8</t>
  </si>
  <si>
    <t>rahman.hussain8@company.pk</t>
  </si>
  <si>
    <t>sofia_m8</t>
  </si>
  <si>
    <t>sofia.martinez8@mail.es</t>
  </si>
  <si>
    <t>kenji_sato9</t>
  </si>
  <si>
    <t>kenji.sato9@edu.jp</t>
  </si>
  <si>
    <t>fatou_b8</t>
  </si>
  <si>
    <t>fatoumata.bello8@email.sn</t>
  </si>
  <si>
    <t>david_w8</t>
  </si>
  <si>
    <t>david.wilson8@company.co.uk</t>
  </si>
  <si>
    <t>lina_park8</t>
  </si>
  <si>
    <t>lina.park8@email.kr</t>
  </si>
  <si>
    <t>ahmed_alm8</t>
  </si>
  <si>
    <t>ahmed.almansoori8@email.ae</t>
  </si>
  <si>
    <t>maria_costa8</t>
  </si>
  <si>
    <t>maria.costa8@mail.com.br</t>
  </si>
  <si>
    <t>chinedu_n8</t>
  </si>
  <si>
    <t>chinedu.nwankwo8@company.ng</t>
  </si>
  <si>
    <t>isabelle_m8</t>
  </si>
  <si>
    <t>isabelle.moreau8@email.ca</t>
  </si>
  <si>
    <t>rahman_ali9</t>
  </si>
  <si>
    <t>rahman.ali9@mail.id</t>
  </si>
  <si>
    <t>sarah_j8</t>
  </si>
  <si>
    <t>sarah.johnson8@email.com</t>
  </si>
  <si>
    <t>wei_zhang8</t>
  </si>
  <si>
    <t>wei.zhang8@company.cn</t>
  </si>
  <si>
    <t>anna_k9</t>
  </si>
  <si>
    <t>anna.kowalski9@email.pl</t>
  </si>
  <si>
    <t>m_rahman9</t>
  </si>
  <si>
    <t>mohammed.rahman9@email.bd</t>
  </si>
  <si>
    <t>yumi_tanaka8</t>
  </si>
  <si>
    <t>yumi.tanaka8@edu.jp</t>
  </si>
  <si>
    <t>carlos_m8</t>
  </si>
  <si>
    <t>carlos.mendez8@mail.mx</t>
  </si>
  <si>
    <t>aisha_m9</t>
  </si>
  <si>
    <t>aisha.mohammed9@email.ke</t>
  </si>
  <si>
    <t>david_chen9</t>
  </si>
  <si>
    <t>david.chen9@company.sg</t>
  </si>
  <si>
    <t>maria_p9</t>
  </si>
  <si>
    <t>maria.papadopoulos9@email.gr</t>
  </si>
  <si>
    <t>j_wilson9</t>
  </si>
  <si>
    <t>james.wilson9@email.au</t>
  </si>
  <si>
    <t>f_zahra9</t>
  </si>
  <si>
    <t>fatima.zahra9@mail.pk</t>
  </si>
  <si>
    <t>kenji_y9</t>
  </si>
  <si>
    <t>kenji.yamada9@mail.jp</t>
  </si>
  <si>
    <t>ngozi_e9</t>
  </si>
  <si>
    <t>ngozi.eze9@company.ng</t>
  </si>
  <si>
    <t>thomas_s9</t>
  </si>
  <si>
    <t>thomas.schmidt9@email.de</t>
  </si>
  <si>
    <t>lina_c9</t>
  </si>
  <si>
    <t>lina.chen9@mail.cn</t>
  </si>
  <si>
    <t>ahmed_h9</t>
  </si>
  <si>
    <t>ahmed.hassan9@email.eg</t>
  </si>
  <si>
    <t>sophie_m9</t>
  </si>
  <si>
    <t>sophie.martin9@edu.fr</t>
  </si>
  <si>
    <t>raj_kumar9</t>
  </si>
  <si>
    <t>raj.kumar9@company.in</t>
  </si>
  <si>
    <t>maria_g10</t>
  </si>
  <si>
    <t>maria.gonzalez10@email.mx</t>
  </si>
  <si>
    <t>yuki_k9</t>
  </si>
  <si>
    <t>yuki.kobayashi9@mail.jp</t>
  </si>
  <si>
    <t>kwame_a9</t>
  </si>
  <si>
    <t>kwame.asante9@email.gh</t>
  </si>
  <si>
    <t>anna_p9</t>
  </si>
  <si>
    <t>anna.petrova9@email.ru</t>
  </si>
  <si>
    <t>liam_obrien9</t>
  </si>
  <si>
    <t>liam.obrien9@company.ie</t>
  </si>
  <si>
    <t>ying_w9</t>
  </si>
  <si>
    <t>ying.wang9@mail.cn</t>
  </si>
  <si>
    <t>adeola_y9</t>
  </si>
  <si>
    <t>adeola.yusuf9@email.ng</t>
  </si>
  <si>
    <t>marco_b9</t>
  </si>
  <si>
    <t>marco.bianchi9@email.it</t>
  </si>
  <si>
    <t>jennifer_k9</t>
  </si>
  <si>
    <t>jennifer.kim9@email.com</t>
  </si>
  <si>
    <t>rahman_h9</t>
  </si>
  <si>
    <t>rahman.hussain9@company.pk</t>
  </si>
  <si>
    <t>sofia_m9</t>
  </si>
  <si>
    <t>sofia.martinez9@mail.es</t>
  </si>
  <si>
    <t>kenji_sato10</t>
  </si>
  <si>
    <t>kenji.sato10@edu.jp</t>
  </si>
  <si>
    <t>fatou_b9</t>
  </si>
  <si>
    <t>fatoumata.bello9@email.sn</t>
  </si>
  <si>
    <t>david_w9</t>
  </si>
  <si>
    <t>david.wilson9@company.co.uk</t>
  </si>
  <si>
    <t>lina_park9</t>
  </si>
  <si>
    <t>lina.park9@email.kr</t>
  </si>
  <si>
    <t>ahmed_alm9</t>
  </si>
  <si>
    <t>ahmed.almansoori9@email.ae</t>
  </si>
  <si>
    <t>maria_costa9</t>
  </si>
  <si>
    <t>maria.costa9@mail.com.br</t>
  </si>
  <si>
    <t>chinedu_n9</t>
  </si>
  <si>
    <t>chinedu.nwankwo9@company.ng</t>
  </si>
  <si>
    <t>isabelle_m9</t>
  </si>
  <si>
    <t>isabelle.moreau9@email.ca</t>
  </si>
  <si>
    <t>rahman_ali10</t>
  </si>
  <si>
    <t>rahman.ali10@mail.id</t>
  </si>
  <si>
    <t>sarah_j9</t>
  </si>
  <si>
    <t>sarah.johnson9@email.com</t>
  </si>
  <si>
    <t>wei_zhang9</t>
  </si>
  <si>
    <t>wei.zhang9@company.cn</t>
  </si>
  <si>
    <t>anna_k10</t>
  </si>
  <si>
    <t>anna.kowalski10@email.pl</t>
  </si>
  <si>
    <t>m_rahman10</t>
  </si>
  <si>
    <t>mohammed.rahman10@email.bd</t>
  </si>
  <si>
    <t>yumi_tanaka9</t>
  </si>
  <si>
    <t>yumi.tanaka9@edu.jp</t>
  </si>
  <si>
    <t>carlos_m9</t>
  </si>
  <si>
    <t>carlos.mendez9@mail.mx</t>
  </si>
  <si>
    <t>aisha_m10</t>
  </si>
  <si>
    <t>aisha.mohammed10@email.ke</t>
  </si>
  <si>
    <t>david_chen10</t>
  </si>
  <si>
    <t>david.chen10@company.sg</t>
  </si>
  <si>
    <t>maria_p10</t>
  </si>
  <si>
    <t>maria.papadopoulos10@email.gr</t>
  </si>
  <si>
    <t>j_wilson10</t>
  </si>
  <si>
    <t>james.wilson10@email.au</t>
  </si>
  <si>
    <t>f_zahra10</t>
  </si>
  <si>
    <t>fatima.zahra10@mail.pk</t>
  </si>
  <si>
    <t>kenji_y10</t>
  </si>
  <si>
    <t>kenji.yamada10@mail.jp</t>
  </si>
  <si>
    <t>ngozi_e10</t>
  </si>
  <si>
    <t>ngozi.eze10@company.ng</t>
  </si>
  <si>
    <t>thomas_s10</t>
  </si>
  <si>
    <t>thomas.schmidt10@email.de</t>
  </si>
  <si>
    <t>lina_c10</t>
  </si>
  <si>
    <t>lina.chen10@mail.cn</t>
  </si>
  <si>
    <t>ahmed_h10</t>
  </si>
  <si>
    <t>ahmed.hassan10@email.eg</t>
  </si>
  <si>
    <t>sophie_m10</t>
  </si>
  <si>
    <t>sophie.martin10@edu.fr</t>
  </si>
  <si>
    <t>raj_kumar10</t>
  </si>
  <si>
    <t>raj.kumar10@company.in</t>
  </si>
  <si>
    <t>maria_g11</t>
  </si>
  <si>
    <t>maria.gonzalez11@email.mx</t>
  </si>
  <si>
    <t>yuki_k10</t>
  </si>
  <si>
    <t>yuki.kobayashi10@mail.jp</t>
  </si>
  <si>
    <t>kwame_a10</t>
  </si>
  <si>
    <t>kwame.asante10@email.gh</t>
  </si>
  <si>
    <t>anna_p10</t>
  </si>
  <si>
    <t>anna.petrova10@email.ru</t>
  </si>
  <si>
    <t>liam_obrien10</t>
  </si>
  <si>
    <t>liam.obrien10@company.ie</t>
  </si>
  <si>
    <t>ying_w10</t>
  </si>
  <si>
    <t>ying.wang10@mail.cn</t>
  </si>
  <si>
    <t>adeola_y10</t>
  </si>
  <si>
    <t>adeola.yusuf10@email.ng</t>
  </si>
  <si>
    <t>marco_b10</t>
  </si>
  <si>
    <t>marco.bianchi10@email.it</t>
  </si>
  <si>
    <t>jennifer_k10</t>
  </si>
  <si>
    <t>jennifer.kim10@email.com</t>
  </si>
  <si>
    <t>rahman_h10</t>
  </si>
  <si>
    <t>rahman.hussain10@company.pk</t>
  </si>
  <si>
    <t>sofia_m10</t>
  </si>
  <si>
    <t>sofia.martinez10@mail.es</t>
  </si>
  <si>
    <t>kenji_sato11</t>
  </si>
  <si>
    <t>kenji.sato11@edu.jp</t>
  </si>
  <si>
    <t>fatou_b10</t>
  </si>
  <si>
    <t>fatoumata.bello10@email.sn</t>
  </si>
  <si>
    <t>david_w10</t>
  </si>
  <si>
    <t>david.wilson10@company.co.uk</t>
  </si>
  <si>
    <t>lina_park10</t>
  </si>
  <si>
    <t>lina.park10@email.kr</t>
  </si>
  <si>
    <t>ahmed_alm10</t>
  </si>
  <si>
    <t>ahmed.almansoori10@email.ae</t>
  </si>
  <si>
    <t>maria_costa10</t>
  </si>
  <si>
    <t>maria.costa10@mail.com.br</t>
  </si>
  <si>
    <t>chinedu_n10</t>
  </si>
  <si>
    <t>chinedu.nwankwo10@company.ng</t>
  </si>
  <si>
    <t>isabelle_m10</t>
  </si>
  <si>
    <t>isabelle.moreau10@email.ca</t>
  </si>
  <si>
    <t>rahman_ali11</t>
  </si>
  <si>
    <t>rahman.ali11@mail.id</t>
  </si>
  <si>
    <t>sarah_j10</t>
  </si>
  <si>
    <t>sarah.johnson10@email.com</t>
  </si>
  <si>
    <t>wei_zhang10</t>
  </si>
  <si>
    <t>wei.zhang10@company.cn</t>
  </si>
  <si>
    <t>anna_k11</t>
  </si>
  <si>
    <t>anna.kowalski11@email.pl</t>
  </si>
  <si>
    <t>m_rahman11</t>
  </si>
  <si>
    <t>mohammed.rahman11@email.bd</t>
  </si>
  <si>
    <t>yumi_tanaka10</t>
  </si>
  <si>
    <t>yumi.tanaka10@edu.jp</t>
  </si>
  <si>
    <t>carlos_m10</t>
  </si>
  <si>
    <t>carlos.mendez10@mail.mx</t>
  </si>
  <si>
    <t>aisha_m11</t>
  </si>
  <si>
    <t>aisha.mohammed11@email.ke</t>
  </si>
  <si>
    <t>david_chen11</t>
  </si>
  <si>
    <t>david.chen11@company.sg</t>
  </si>
  <si>
    <t>maria_p11</t>
  </si>
  <si>
    <t>maria.papadopoulos11@email.gr</t>
  </si>
  <si>
    <t>j_wilson11</t>
  </si>
  <si>
    <t>james.wilson11@email.au</t>
  </si>
  <si>
    <t>f_zahra11</t>
  </si>
  <si>
    <t>fatima.zahra11@mail.pk</t>
  </si>
  <si>
    <t>kenji_y11</t>
  </si>
  <si>
    <t>kenji.yamada11@mail.jp</t>
  </si>
  <si>
    <t>ngozi_e11</t>
  </si>
  <si>
    <t>ngozi.eze11@company.ng</t>
  </si>
  <si>
    <t>thomas_s11</t>
  </si>
  <si>
    <t>thomas.schmidt11@email.de</t>
  </si>
  <si>
    <t>lina_c11</t>
  </si>
  <si>
    <t>lina.chen11@mail.cn</t>
  </si>
  <si>
    <t>ahmed_h11</t>
  </si>
  <si>
    <t>ahmed.hassan11@email.eg</t>
  </si>
  <si>
    <t>sophie_m11</t>
  </si>
  <si>
    <t>sophie.martin11@edu.fr</t>
  </si>
  <si>
    <t>raj_kumar11</t>
  </si>
  <si>
    <t>raj.kumar11@company.in</t>
  </si>
  <si>
    <t>maria_g12</t>
  </si>
  <si>
    <t>maria.gonzalez12@email.mx</t>
  </si>
  <si>
    <t>yuki_k11</t>
  </si>
  <si>
    <t>yuki.kobayashi11@mail.jp</t>
  </si>
  <si>
    <t>kwame_a11</t>
  </si>
  <si>
    <t>kwame.asante11@email.gh</t>
  </si>
  <si>
    <t>anna_p11</t>
  </si>
  <si>
    <t>anna.petrova11@email.ru</t>
  </si>
  <si>
    <t>liam_obrien11</t>
  </si>
  <si>
    <t>liam.obrien11@company.ie</t>
  </si>
  <si>
    <t>ying_w11</t>
  </si>
  <si>
    <t>ying.wang11@mail.cn</t>
  </si>
  <si>
    <t>adeola_y11</t>
  </si>
  <si>
    <t>adeola.yusuf11@email.ng</t>
  </si>
  <si>
    <t>marco_b11</t>
  </si>
  <si>
    <t>marco.bianchi11@email.it</t>
  </si>
  <si>
    <t>jennifer_k11</t>
  </si>
  <si>
    <t>jennifer.kim11@email.com</t>
  </si>
  <si>
    <t>rahman_h11</t>
  </si>
  <si>
    <t>rahman.hussain11@company.pk</t>
  </si>
  <si>
    <t>sofia_m11</t>
  </si>
  <si>
    <t>sofia.martinez11@mail.es</t>
  </si>
  <si>
    <t>kenji_sato12</t>
  </si>
  <si>
    <t>kenji.sato12@edu.jp</t>
  </si>
  <si>
    <t>fatou_b11</t>
  </si>
  <si>
    <t>fatoumata.bello11@email.sn</t>
  </si>
  <si>
    <t>david_w11</t>
  </si>
  <si>
    <t>david.wilson11@company.co.uk</t>
  </si>
  <si>
    <t>lina_park11</t>
  </si>
  <si>
    <t>lina.park11@email.kr</t>
  </si>
  <si>
    <t>ahmed_alm11</t>
  </si>
  <si>
    <t>ahmed.almansoori11@email.ae</t>
  </si>
  <si>
    <t>maria_costa11</t>
  </si>
  <si>
    <t>maria.costa11@mail.com.br</t>
  </si>
  <si>
    <t>chinedu_n11</t>
  </si>
  <si>
    <t>chinedu.nwankwo11@company.ng</t>
  </si>
  <si>
    <t>isabelle_m11</t>
  </si>
  <si>
    <t>isabelle.moreau11@email.ca</t>
  </si>
  <si>
    <t>rahman_ali12</t>
  </si>
  <si>
    <t>rahman.ali12@mail.id</t>
  </si>
  <si>
    <t>sarah_j11</t>
  </si>
  <si>
    <t>sarah.johnson11@email.com</t>
  </si>
  <si>
    <t>wei_zhang11</t>
  </si>
  <si>
    <t>wei.zhang11@company.cn</t>
  </si>
  <si>
    <t>anna_k12</t>
  </si>
  <si>
    <t>anna.kowalski12@email.pl</t>
  </si>
  <si>
    <t>m_rahman12</t>
  </si>
  <si>
    <t>mohammed.rahman12@email.bd</t>
  </si>
  <si>
    <t>yumi_tanaka11</t>
  </si>
  <si>
    <t>yumi.tanaka11@edu.jp</t>
  </si>
  <si>
    <t>carlos_m11</t>
  </si>
  <si>
    <t>carlos.mendez11@mail.mx</t>
  </si>
  <si>
    <t>aisha_m12</t>
  </si>
  <si>
    <t>aisha.mohammed12@email.ke</t>
  </si>
  <si>
    <t>david_chen12</t>
  </si>
  <si>
    <t>david.chen12@company.sg</t>
  </si>
  <si>
    <t>maria_p12</t>
  </si>
  <si>
    <t>maria.papadopoulos12@email.gr</t>
  </si>
  <si>
    <t>j_wilson12</t>
  </si>
  <si>
    <t>james.wilson12@email.au</t>
  </si>
  <si>
    <t>f_zahra12</t>
  </si>
  <si>
    <t>fatima.zahra12@mail.pk</t>
  </si>
  <si>
    <t>kenji_y12</t>
  </si>
  <si>
    <t>kenji.yamada12@mail.jp</t>
  </si>
  <si>
    <t>ngozi_e12</t>
  </si>
  <si>
    <t>ngozi.eze12@company.ng</t>
  </si>
  <si>
    <t>thomas_s12</t>
  </si>
  <si>
    <t>thomas.schmidt12@email.de</t>
  </si>
  <si>
    <t>lina_c12</t>
  </si>
  <si>
    <t>lina.chen12@mail.cn</t>
  </si>
  <si>
    <t>ahmed_h12</t>
  </si>
  <si>
    <t>ahmed.hassan12@email.eg</t>
  </si>
  <si>
    <t>sophie_m12</t>
  </si>
  <si>
    <t>sophie.martin12@edu.fr</t>
  </si>
  <si>
    <t>raj_kumar12</t>
  </si>
  <si>
    <t>raj.kumar12@company.in</t>
  </si>
  <si>
    <t>maria_g13</t>
  </si>
  <si>
    <t>maria.gonzalez13@email.mx</t>
  </si>
  <si>
    <t>yuki_k12</t>
  </si>
  <si>
    <t>yuki.kobayashi12@mail.jp</t>
  </si>
  <si>
    <t>kwame_a12</t>
  </si>
  <si>
    <t>kwame.asante12@email.gh</t>
  </si>
  <si>
    <t>anna_p12</t>
  </si>
  <si>
    <t>anna.petrova12@email.ru</t>
  </si>
  <si>
    <t>liam_obrien12</t>
  </si>
  <si>
    <t>liam.obrien12@company.ie</t>
  </si>
  <si>
    <t>ying_w12</t>
  </si>
  <si>
    <t>ying.wang12@mail.cn</t>
  </si>
  <si>
    <t>adeola_y12</t>
  </si>
  <si>
    <t>adeola.yusuf12@email.ng</t>
  </si>
  <si>
    <t>marco_b12</t>
  </si>
  <si>
    <t>marco.bianchi12@email.it</t>
  </si>
  <si>
    <t>jennifer_k12</t>
  </si>
  <si>
    <t>jennifer.kim12@email.com</t>
  </si>
  <si>
    <t>rahman_h12</t>
  </si>
  <si>
    <t>rahman.hussain12@company.pk</t>
  </si>
  <si>
    <t>sofia_m12</t>
  </si>
  <si>
    <t>sofia.martinez12@mail.es</t>
  </si>
  <si>
    <t>kenji_sato13</t>
  </si>
  <si>
    <t>kenji.sato13@edu.jp</t>
  </si>
  <si>
    <t>fatou_b12</t>
  </si>
  <si>
    <t>fatoumata.bello12@email.sn</t>
  </si>
  <si>
    <t>david_w12</t>
  </si>
  <si>
    <t>david.wilson12@company.co.uk</t>
  </si>
  <si>
    <t>lina_park12</t>
  </si>
  <si>
    <t>lina.park12@email.kr</t>
  </si>
  <si>
    <t>ahmed_alm12</t>
  </si>
  <si>
    <t>ahmed.almansoori12@email.ae</t>
  </si>
  <si>
    <t>maria_costa12</t>
  </si>
  <si>
    <t>maria.costa12@mail.com.br</t>
  </si>
  <si>
    <t>chinedu_n12</t>
  </si>
  <si>
    <t>chinedu.nwankwo12@company.ng</t>
  </si>
  <si>
    <t>isabelle_m12</t>
  </si>
  <si>
    <t>isabelle.moreau12@email.ca</t>
  </si>
  <si>
    <t>rahman_ali13</t>
  </si>
  <si>
    <t>rahman.ali13@mail.id</t>
  </si>
  <si>
    <t>sarah_j12</t>
  </si>
  <si>
    <t>sarah.johnson12@email.com</t>
  </si>
  <si>
    <t>wei_zhang12</t>
  </si>
  <si>
    <t>wei.zhang12@company.cn</t>
  </si>
  <si>
    <t>anna_k13</t>
  </si>
  <si>
    <t>anna.kowalski13@email.pl</t>
  </si>
  <si>
    <t>m_rahman13</t>
  </si>
  <si>
    <t>mohammed.rahman13@email.bd</t>
  </si>
  <si>
    <t>yumi_tanaka12</t>
  </si>
  <si>
    <t>yumi.tanaka12@edu.jp</t>
  </si>
  <si>
    <t>carlos_m12</t>
  </si>
  <si>
    <t>carlos.mendez12@mail.mx</t>
  </si>
  <si>
    <t>aisha_m13</t>
  </si>
  <si>
    <t>aisha.mohammed13@email.ke</t>
  </si>
  <si>
    <t>david_chen13</t>
  </si>
  <si>
    <t>david.chen13@company.sg</t>
  </si>
  <si>
    <t>maria_p13</t>
  </si>
  <si>
    <t>maria.papadopoulos13@email.gr</t>
  </si>
  <si>
    <t>j_wilson13</t>
  </si>
  <si>
    <t>james.wilson13@email.au</t>
  </si>
  <si>
    <t>f_zahra13</t>
  </si>
  <si>
    <t>fatima.zahra13@mail.pk</t>
  </si>
  <si>
    <t>kenji_y13</t>
  </si>
  <si>
    <t>kenji.yamada13@mail.jp</t>
  </si>
  <si>
    <t>ngozi_e13</t>
  </si>
  <si>
    <t>ngozi.eze13@company.ng</t>
  </si>
  <si>
    <t>thomas_s13</t>
  </si>
  <si>
    <t>thomas.schmidt13@email.de</t>
  </si>
  <si>
    <t>lina_c13</t>
  </si>
  <si>
    <t>lina.chen13@mail.cn</t>
  </si>
  <si>
    <t>ahmed_h13</t>
  </si>
  <si>
    <t>ahmed.hassan13@email.eg</t>
  </si>
  <si>
    <t>sophie_m13</t>
  </si>
  <si>
    <t>sophie.martin13@edu.fr</t>
  </si>
  <si>
    <t>raj_kumar13</t>
  </si>
  <si>
    <t>raj.kumar13@company.in</t>
  </si>
  <si>
    <t>maria_g14</t>
  </si>
  <si>
    <t>maria.gonzalez14@email.mx</t>
  </si>
  <si>
    <t>yuki_k13</t>
  </si>
  <si>
    <t>yuki.kobayashi13@mail.jp</t>
  </si>
  <si>
    <t>kwame_a13</t>
  </si>
  <si>
    <t>kwame.asante13@email.gh</t>
  </si>
  <si>
    <t>anna_p13</t>
  </si>
  <si>
    <t>anna.petrova13@email.ru</t>
  </si>
  <si>
    <t>liam_obrien13</t>
  </si>
  <si>
    <t>liam.obrien13@company.ie</t>
  </si>
  <si>
    <t>ying_w13</t>
  </si>
  <si>
    <t>ying.wang13@mail.cn</t>
  </si>
  <si>
    <t>adeola_y13</t>
  </si>
  <si>
    <t>adeola.yusuf13@email.ng</t>
  </si>
  <si>
    <t>marco_b13</t>
  </si>
  <si>
    <t>marco.bianchi13@email.it</t>
  </si>
  <si>
    <t>jennifer_k13</t>
  </si>
  <si>
    <t>jennifer.kim13@email.com</t>
  </si>
  <si>
    <t>rahman_h13</t>
  </si>
  <si>
    <t>rahman.hussain13@company.pk</t>
  </si>
  <si>
    <t>sofia_m13</t>
  </si>
  <si>
    <t>sofia.martinez13@mail.es</t>
  </si>
  <si>
    <t>kenji_sato14</t>
  </si>
  <si>
    <t>kenji.sato14@edu.jp</t>
  </si>
  <si>
    <t>fatou_b13</t>
  </si>
  <si>
    <t>fatoumata.bello13@email.sn</t>
  </si>
  <si>
    <t>david_w13</t>
  </si>
  <si>
    <t>david.wilson13@company.co.uk</t>
  </si>
  <si>
    <t>lina_park13</t>
  </si>
  <si>
    <t>lina.park13@email.kr</t>
  </si>
  <si>
    <t>ahmed_alm13</t>
  </si>
  <si>
    <t>ahmed.almansoori13@email.ae</t>
  </si>
  <si>
    <t>maria_costa13</t>
  </si>
  <si>
    <t>maria.costa13@mail.com.br</t>
  </si>
  <si>
    <t>chinedu_n13</t>
  </si>
  <si>
    <t>chinedu.nwankwo13@company.ng</t>
  </si>
  <si>
    <t>isabelle_m13</t>
  </si>
  <si>
    <t>isabelle.moreau13@email.ca</t>
  </si>
  <si>
    <t>rahman_ali14</t>
  </si>
  <si>
    <t>rahman.ali14@mail.id</t>
  </si>
  <si>
    <t>sarah_j13</t>
  </si>
  <si>
    <t>sarah.johnson13@email.com</t>
  </si>
  <si>
    <t>wei_zhang13</t>
  </si>
  <si>
    <t>wei.zhang13@company.cn</t>
  </si>
  <si>
    <t>anna_k14</t>
  </si>
  <si>
    <t>anna.kowalski14@email.pl</t>
  </si>
  <si>
    <t>m_rahman14</t>
  </si>
  <si>
    <t>mohammed.rahman14@email.bd</t>
  </si>
  <si>
    <t>yumi_tanaka13</t>
  </si>
  <si>
    <t>yumi.tanaka13@edu.jp</t>
  </si>
  <si>
    <t>carlos_m13</t>
  </si>
  <si>
    <t>carlos.mendez13@mail.mx</t>
  </si>
  <si>
    <t>aisha_m14</t>
  </si>
  <si>
    <t>aisha.mohammed14@email.ke</t>
  </si>
  <si>
    <t>david_chen14</t>
  </si>
  <si>
    <t>david.chen14@company.sg</t>
  </si>
  <si>
    <t>maria_p14</t>
  </si>
  <si>
    <t>maria.papadopoulos14@email.gr</t>
  </si>
  <si>
    <t>j_wilson14</t>
  </si>
  <si>
    <t>james.wilson14@email.au</t>
  </si>
  <si>
    <t>f_zahra14</t>
  </si>
  <si>
    <t>fatima.zahra14@mail.pk</t>
  </si>
  <si>
    <t>kenji_y14</t>
  </si>
  <si>
    <t>kenji.yamada14@mail.jp</t>
  </si>
  <si>
    <t>ngozi_e14</t>
  </si>
  <si>
    <t>ngozi.eze14@company.ng</t>
  </si>
  <si>
    <t>thomas_s14</t>
  </si>
  <si>
    <t>thomas.schmidt14@email.de</t>
  </si>
  <si>
    <t>lina_c14</t>
  </si>
  <si>
    <t>lina.chen14@mail.cn</t>
  </si>
  <si>
    <t>ahmed_h14</t>
  </si>
  <si>
    <t>ahmed.hassan14@email.eg</t>
  </si>
  <si>
    <t>sophie_m14</t>
  </si>
  <si>
    <t>sophie.martin14@edu.fr</t>
  </si>
  <si>
    <t>raj_kumar14</t>
  </si>
  <si>
    <t>raj.kumar14@company.in</t>
  </si>
  <si>
    <t>maria_g15</t>
  </si>
  <si>
    <t>maria.gonzalez15@email.mx</t>
  </si>
  <si>
    <t>yuki_k14</t>
  </si>
  <si>
    <t>yuki.kobayashi14@mail.jp</t>
  </si>
  <si>
    <t>kwame_a14</t>
  </si>
  <si>
    <t>kwame.asante14@email.gh</t>
  </si>
  <si>
    <t>anna_p14</t>
  </si>
  <si>
    <t>anna.petrova14@email.ru</t>
  </si>
  <si>
    <t>liam_obrien14</t>
  </si>
  <si>
    <t>liam.obrien14@company.ie</t>
  </si>
  <si>
    <t>ying_w14</t>
  </si>
  <si>
    <t>ying.wang14@mail.cn</t>
  </si>
  <si>
    <t>adeola_y14</t>
  </si>
  <si>
    <t>adeola.yusuf14@email.ng</t>
  </si>
  <si>
    <t>marco_b14</t>
  </si>
  <si>
    <t>marco.bianchi14@email.it</t>
  </si>
  <si>
    <t>jennifer_k14</t>
  </si>
  <si>
    <t>jennifer.kim14@email.com</t>
  </si>
  <si>
    <t>rahman_h14</t>
  </si>
  <si>
    <t>rahman.hussain14@company.pk</t>
  </si>
  <si>
    <t>sofia_m14</t>
  </si>
  <si>
    <t>sofia.martinez14@mail.es</t>
  </si>
  <si>
    <t>kenji_sato15</t>
  </si>
  <si>
    <t>kenji.sato15@edu.jp</t>
  </si>
  <si>
    <t>fatou_b14</t>
  </si>
  <si>
    <t>fatoumata.bello14@email.sn</t>
  </si>
  <si>
    <t>david_w14</t>
  </si>
  <si>
    <t>david.wilson14@company.co.uk</t>
  </si>
  <si>
    <t>lina_park14</t>
  </si>
  <si>
    <t>lina.park14@email.kr</t>
  </si>
  <si>
    <t>ahmed_alm14</t>
  </si>
  <si>
    <t>ahmed.almansoori14@email.ae</t>
  </si>
  <si>
    <t>maria_costa14</t>
  </si>
  <si>
    <t>maria.costa14@mail.com.br</t>
  </si>
  <si>
    <t>chinedu_n14</t>
  </si>
  <si>
    <t>chinedu.nwankwo14@company.ng</t>
  </si>
  <si>
    <t>isabelle_m14</t>
  </si>
  <si>
    <t>isabelle.moreau14@email.ca</t>
  </si>
  <si>
    <t>rahman_ali15</t>
  </si>
  <si>
    <t>rahman.ali15@mail.id</t>
  </si>
  <si>
    <t>sarah_j14</t>
  </si>
  <si>
    <t>sarah.johnson14@email.com</t>
  </si>
  <si>
    <t>wei_zhang14</t>
  </si>
  <si>
    <t>wei.zhang14@company.cn</t>
  </si>
  <si>
    <t>anna_k15</t>
  </si>
  <si>
    <t>anna.kowalski15@email.pl</t>
  </si>
  <si>
    <t>m_rahman15</t>
  </si>
  <si>
    <t>mohammed.rahman15@email.bd</t>
  </si>
  <si>
    <t>yumi_tanaka14</t>
  </si>
  <si>
    <t>yumi.tanaka14@edu.jp</t>
  </si>
  <si>
    <t>carlos_m14</t>
  </si>
  <si>
    <t>carlos.mendez14@mail.mx</t>
  </si>
  <si>
    <t>aisha_m15</t>
  </si>
  <si>
    <t>aisha.mohammed15@email.ke</t>
  </si>
  <si>
    <t>david_chen15</t>
  </si>
  <si>
    <t>david.chen15@company.sg</t>
  </si>
  <si>
    <t>maria_p15</t>
  </si>
  <si>
    <t>maria.papadopoulos15@email.gr</t>
  </si>
  <si>
    <t>j_wilson15</t>
  </si>
  <si>
    <t>james.wilson15@email.au</t>
  </si>
  <si>
    <t>f_zahra15</t>
  </si>
  <si>
    <t>fatima.zahra15@mail.pk</t>
  </si>
  <si>
    <t>kenji_y15</t>
  </si>
  <si>
    <t>kenji.yamada15@mail.jp</t>
  </si>
  <si>
    <t>ngozi_e15</t>
  </si>
  <si>
    <t>ngozi.eze15@company.ng</t>
  </si>
  <si>
    <t>thomas_s15</t>
  </si>
  <si>
    <t>thomas.schmidt15@email.de</t>
  </si>
  <si>
    <t>lina_c15</t>
  </si>
  <si>
    <t>lina.chen15@mail.cn</t>
  </si>
  <si>
    <t>ahmed_h15</t>
  </si>
  <si>
    <t>ahmed.hassan15@email.eg</t>
  </si>
  <si>
    <t>sophie_m15</t>
  </si>
  <si>
    <t>sophie.martin15@edu.fr</t>
  </si>
  <si>
    <t>raj_kumar15</t>
  </si>
  <si>
    <t>raj.kumar15@company.in</t>
  </si>
  <si>
    <t>maria_g16</t>
  </si>
  <si>
    <t>maria.gonzalez16@email.mx</t>
  </si>
  <si>
    <t>yuki_k15</t>
  </si>
  <si>
    <t>yuki.kobayashi15@mail.jp</t>
  </si>
  <si>
    <t>kwame_a15</t>
  </si>
  <si>
    <t>kwame.asante15@email.gh</t>
  </si>
  <si>
    <t>anna_p15</t>
  </si>
  <si>
    <t>anna.petrova15@email.ru</t>
  </si>
  <si>
    <t>liam_obrien15</t>
  </si>
  <si>
    <t>liam.obrien15@company.ie</t>
  </si>
  <si>
    <t>ying_w15</t>
  </si>
  <si>
    <t>ying.wang15@mail.cn</t>
  </si>
  <si>
    <t>adeola_y15</t>
  </si>
  <si>
    <t>adeola.yusuf15@email.ng</t>
  </si>
  <si>
    <t>marco_b15</t>
  </si>
  <si>
    <t>marco.bianchi15@email.it</t>
  </si>
  <si>
    <t>jennifer_k15</t>
  </si>
  <si>
    <t>jennifer.kim15@email.com</t>
  </si>
  <si>
    <t>rahman_h15</t>
  </si>
  <si>
    <t>rahman.hussain15@company.pk</t>
  </si>
  <si>
    <t>sofia_m15</t>
  </si>
  <si>
    <t>sofia.martinez15@mail.es</t>
  </si>
  <si>
    <t>kenji_sato16</t>
  </si>
  <si>
    <t>kenji.sato16@edu.jp</t>
  </si>
  <si>
    <t>fatou_b15</t>
  </si>
  <si>
    <t>fatoumata.bello15@email.sn</t>
  </si>
  <si>
    <t>david_w15</t>
  </si>
  <si>
    <t>david.wilson15@company.co.uk</t>
  </si>
  <si>
    <t>lina_park15</t>
  </si>
  <si>
    <t>lina.park15@email.kr</t>
  </si>
  <si>
    <t>ahmed_alm15</t>
  </si>
  <si>
    <t>ahmed.almansoori15@email.ae</t>
  </si>
  <si>
    <t>maria_costa15</t>
  </si>
  <si>
    <t>maria.costa15@mail.com.br</t>
  </si>
  <si>
    <t>chinedu_n15</t>
  </si>
  <si>
    <t>chinedu.nwankwo15@company.ng</t>
  </si>
  <si>
    <t>isabelle_m15</t>
  </si>
  <si>
    <t>isabelle.moreau15@email.ca</t>
  </si>
  <si>
    <t>rahman_ali16</t>
  </si>
  <si>
    <t>rahman.ali16@mail.id</t>
  </si>
  <si>
    <t>sarah_j15</t>
  </si>
  <si>
    <t>sarah.johnson15@email.com</t>
  </si>
  <si>
    <t>wei_zhang15</t>
  </si>
  <si>
    <t>wei.zhang15@company.cn</t>
  </si>
  <si>
    <t>anna_k16</t>
  </si>
  <si>
    <t>anna.kowalski16@email.pl</t>
  </si>
  <si>
    <t>m_rahman16</t>
  </si>
  <si>
    <t>mohammed.rahman16@email.bd</t>
  </si>
  <si>
    <t>yumi_tanaka15</t>
  </si>
  <si>
    <t>yumi.tanaka15@edu.jp</t>
  </si>
  <si>
    <t>carlos_m15</t>
  </si>
  <si>
    <t>carlos.mendez15@mail.mx</t>
  </si>
  <si>
    <t>aisha_m16</t>
  </si>
  <si>
    <t>aisha.mohammed16@email.ke</t>
  </si>
  <si>
    <t>david_chen16</t>
  </si>
  <si>
    <t>david.chen16@company.sg</t>
  </si>
  <si>
    <t>maria_p16</t>
  </si>
  <si>
    <t>maria.papadopoulos16@email.gr</t>
  </si>
  <si>
    <t>j_wilson16</t>
  </si>
  <si>
    <t>james.wilson16@email.au</t>
  </si>
  <si>
    <t>f_zahra16</t>
  </si>
  <si>
    <t>fatima.zahra16@mail.pk</t>
  </si>
  <si>
    <t>kenji_y16</t>
  </si>
  <si>
    <t>kenji.yamada16@mail.jp</t>
  </si>
  <si>
    <t>ngozi_e16</t>
  </si>
  <si>
    <t>ngozi.eze16@company.ng</t>
  </si>
  <si>
    <t>thomas_s16</t>
  </si>
  <si>
    <t>thomas.schmidt16@email.de</t>
  </si>
  <si>
    <t>lina_c16</t>
  </si>
  <si>
    <t>lina.chen16@mail.cn</t>
  </si>
  <si>
    <t>ahmed_h16</t>
  </si>
  <si>
    <t>ahmed.hassan16@email.eg</t>
  </si>
  <si>
    <t>sophie_m16</t>
  </si>
  <si>
    <t>sophie.martin16@edu.fr</t>
  </si>
  <si>
    <t>raj_kumar16</t>
  </si>
  <si>
    <t>raj.kumar16@company.in</t>
  </si>
  <si>
    <t>maria_g17</t>
  </si>
  <si>
    <t>maria.gonzalez17@email.mx</t>
  </si>
  <si>
    <t>yuki_k16</t>
  </si>
  <si>
    <t>yuki.kobayashi16@mail.jp</t>
  </si>
  <si>
    <t>kwame_a16</t>
  </si>
  <si>
    <t>kwame.asante16@email.gh</t>
  </si>
  <si>
    <t>anna_p16</t>
  </si>
  <si>
    <t>anna.petrova16@email.ru</t>
  </si>
  <si>
    <t>liam_obrien16</t>
  </si>
  <si>
    <t>liam.obrien16@company.ie</t>
  </si>
  <si>
    <t>ying_w16</t>
  </si>
  <si>
    <t>ying.wang16@mail.cn</t>
  </si>
  <si>
    <t>adeola_y16</t>
  </si>
  <si>
    <t>adeola.yusuf16@email.ng</t>
  </si>
  <si>
    <t>marco_b16</t>
  </si>
  <si>
    <t>marco.bianchi16@email.it</t>
  </si>
  <si>
    <t>jennifer_k16</t>
  </si>
  <si>
    <t>jennifer.kim16@email.com</t>
  </si>
  <si>
    <t>rahman_h16</t>
  </si>
  <si>
    <t>rahman.hussain16@company.pk</t>
  </si>
  <si>
    <t>sofia_m16</t>
  </si>
  <si>
    <t>sofia.martinez16@mail.es</t>
  </si>
  <si>
    <t>kenji_sato17</t>
  </si>
  <si>
    <t>kenji.sato17@edu.jp</t>
  </si>
  <si>
    <t>fatou_b16</t>
  </si>
  <si>
    <t>fatoumata.bello16@email.sn</t>
  </si>
  <si>
    <t>david_w16</t>
  </si>
  <si>
    <t>david.wilson16@company.co.uk</t>
  </si>
  <si>
    <t>lina_park16</t>
  </si>
  <si>
    <t>lina.park16@email.kr</t>
  </si>
  <si>
    <t>ahmed_alm16</t>
  </si>
  <si>
    <t>ahmed.almansoori16@email.ae</t>
  </si>
  <si>
    <t>maria_costa16</t>
  </si>
  <si>
    <t>maria.costa16@mail.com.br</t>
  </si>
  <si>
    <t>chinedu_n16</t>
  </si>
  <si>
    <t>chinedu.nwankwo16@company.ng</t>
  </si>
  <si>
    <t>isabelle_m16</t>
  </si>
  <si>
    <t>isabelle.moreau16@email.ca</t>
  </si>
  <si>
    <t>rahman_ali17</t>
  </si>
  <si>
    <t>rahman.ali17@mail.id</t>
  </si>
  <si>
    <t>sarah_j16</t>
  </si>
  <si>
    <t>sarah.johnson16@email.com</t>
  </si>
  <si>
    <t>wei_zhang16</t>
  </si>
  <si>
    <t>wei.zhang16@company.cn</t>
  </si>
  <si>
    <t>anna_k17</t>
  </si>
  <si>
    <t>anna.kowalski17@email.pl</t>
  </si>
  <si>
    <t>m_rahman17</t>
  </si>
  <si>
    <t>mohammed.rahman17@email.bd</t>
  </si>
  <si>
    <t>yumi_tanaka16</t>
  </si>
  <si>
    <t>yumi.tanaka16@edu.jp</t>
  </si>
  <si>
    <t>carlos_m16</t>
  </si>
  <si>
    <t>carlos.mendez16@mail.mx</t>
  </si>
  <si>
    <t>aisha_m17</t>
  </si>
  <si>
    <t>aisha.mohammed17@email.ke</t>
  </si>
  <si>
    <t>david_chen17</t>
  </si>
  <si>
    <t>david.chen17@company.sg</t>
  </si>
  <si>
    <t>maria_p17</t>
  </si>
  <si>
    <t>maria.papadopoulos17@email.gr</t>
  </si>
  <si>
    <t>j_wilson17</t>
  </si>
  <si>
    <t>james.wilson17@email.au</t>
  </si>
  <si>
    <t>f_zahra17</t>
  </si>
  <si>
    <t>fatima.zahra17@mail.pk</t>
  </si>
  <si>
    <t>kenji_y17</t>
  </si>
  <si>
    <t>kenji.yamada17@mail.jp</t>
  </si>
  <si>
    <t>ngozi_e17</t>
  </si>
  <si>
    <t>ngozi.eze17@company.ng</t>
  </si>
  <si>
    <t>thomas_s17</t>
  </si>
  <si>
    <t>thomas.schmidt17@email.de</t>
  </si>
  <si>
    <t>lina_c17</t>
  </si>
  <si>
    <t>lina.chen17@mail.cn</t>
  </si>
  <si>
    <t>ahmed_h17</t>
  </si>
  <si>
    <t>ahmed.hassan17@email.eg</t>
  </si>
  <si>
    <t>sophie_m17</t>
  </si>
  <si>
    <t>sophie.martin17@edu.fr</t>
  </si>
  <si>
    <t>raj_kumar17</t>
  </si>
  <si>
    <t>raj.kumar17@company.in</t>
  </si>
  <si>
    <t>maria_g18</t>
  </si>
  <si>
    <t>maria.gonzalez18@email.mx</t>
  </si>
  <si>
    <t>yuki_k17</t>
  </si>
  <si>
    <t>yuki.kobayashi17@mail.jp</t>
  </si>
  <si>
    <t>kwame_a17</t>
  </si>
  <si>
    <t>kwame.asante17@email.gh</t>
  </si>
  <si>
    <t>anna_p17</t>
  </si>
  <si>
    <t>anna.petrova17@email.ru</t>
  </si>
  <si>
    <t>liam_obrien17</t>
  </si>
  <si>
    <t>liam.obrien17@company.ie</t>
  </si>
  <si>
    <t>ying_w17</t>
  </si>
  <si>
    <t>ying.wang17@mail.cn</t>
  </si>
  <si>
    <t>adeola_y17</t>
  </si>
  <si>
    <t>adeola.yusuf17@email.ng</t>
  </si>
  <si>
    <t>marco_b17</t>
  </si>
  <si>
    <t>marco.bianchi17@email.it</t>
  </si>
  <si>
    <t>jennifer_k17</t>
  </si>
  <si>
    <t>jennifer.kim17@email.com</t>
  </si>
  <si>
    <t>rahman_h17</t>
  </si>
  <si>
    <t>rahman.hussain17@company.pk</t>
  </si>
  <si>
    <t>sofia_m17</t>
  </si>
  <si>
    <t>sofia.martinez17@mail.es</t>
  </si>
  <si>
    <t>kenji_sato18</t>
  </si>
  <si>
    <t>kenji.sato18@edu.jp</t>
  </si>
  <si>
    <t>fatou_b17</t>
  </si>
  <si>
    <t>fatoumata.bello17@email.sn</t>
  </si>
  <si>
    <t>david_w17</t>
  </si>
  <si>
    <t>david.wilson17@company.co.uk</t>
  </si>
  <si>
    <t>lina_park17</t>
  </si>
  <si>
    <t>lina.park17@email.kr</t>
  </si>
  <si>
    <t>ahmed_alm17</t>
  </si>
  <si>
    <t>ahmed.almansoori17@email.ae</t>
  </si>
  <si>
    <t>maria_costa17</t>
  </si>
  <si>
    <t>maria.costa17@mail.com.br</t>
  </si>
  <si>
    <t>chinedu_n17</t>
  </si>
  <si>
    <t>chinedu.nwankwo17@company.ng</t>
  </si>
  <si>
    <t>isabelle_m17</t>
  </si>
  <si>
    <t>isabelle.moreau17@email.ca</t>
  </si>
  <si>
    <t>rahman_ali18</t>
  </si>
  <si>
    <t>rahman.ali18@mail.id</t>
  </si>
  <si>
    <t>sarah_j17</t>
  </si>
  <si>
    <t>sarah.johnson17@email.com</t>
  </si>
  <si>
    <t>wei_zhang17</t>
  </si>
  <si>
    <t>wei.zhang17@company.cn</t>
  </si>
  <si>
    <t>anna_k18</t>
  </si>
  <si>
    <t>anna.kowalski18@email.pl</t>
  </si>
  <si>
    <t>m_rahman18</t>
  </si>
  <si>
    <t>mohammed.rahman18@email.bd</t>
  </si>
  <si>
    <t>yumi_tanaka17</t>
  </si>
  <si>
    <t>yumi.tanaka17@edu.jp</t>
  </si>
  <si>
    <t>carlos_m17</t>
  </si>
  <si>
    <t>carlos.mendez17@mail.mx</t>
  </si>
  <si>
    <t>aisha_m18</t>
  </si>
  <si>
    <t>aisha.mohammed18@email.ke</t>
  </si>
  <si>
    <t>david_chen18</t>
  </si>
  <si>
    <t>david.chen18@company.sg</t>
  </si>
  <si>
    <t>maria_p18</t>
  </si>
  <si>
    <t>maria.papadopoulos18@email.gr</t>
  </si>
  <si>
    <t>j_wilson18</t>
  </si>
  <si>
    <t>james.wilson18@email.au</t>
  </si>
  <si>
    <t>f_zahra18</t>
  </si>
  <si>
    <t>fatima.zahra18@mail.pk</t>
  </si>
  <si>
    <t>kenji_y18</t>
  </si>
  <si>
    <t>kenji.yamada18@mail.jp</t>
  </si>
  <si>
    <t>ngozi_e18</t>
  </si>
  <si>
    <t>ngozi.eze18@company.ng</t>
  </si>
  <si>
    <t>thomas_s18</t>
  </si>
  <si>
    <t>thomas.schmidt18@email.de</t>
  </si>
  <si>
    <t>lina_c18</t>
  </si>
  <si>
    <t>lina.chen18@mail.cn</t>
  </si>
  <si>
    <t>ahmed_h18</t>
  </si>
  <si>
    <t>ahmed.hassan18@email.eg</t>
  </si>
  <si>
    <t>sophie_m18</t>
  </si>
  <si>
    <t>sophie.martin18@edu.fr</t>
  </si>
  <si>
    <t>raj_kumar18</t>
  </si>
  <si>
    <t>raj.kumar18@company.in</t>
  </si>
  <si>
    <t>maria_g19</t>
  </si>
  <si>
    <t>maria.gonzalez19@email.mx</t>
  </si>
  <si>
    <t>yuki_k18</t>
  </si>
  <si>
    <t>yuki.kobayashi18@mail.jp</t>
  </si>
  <si>
    <t>kwame_a18</t>
  </si>
  <si>
    <t>kwame.asante18@email.gh</t>
  </si>
  <si>
    <t>anna_p18</t>
  </si>
  <si>
    <t>anna.petrova18@email.ru</t>
  </si>
  <si>
    <t>liam_obrien18</t>
  </si>
  <si>
    <t>liam.obrien18@company.ie</t>
  </si>
  <si>
    <t>ying_w18</t>
  </si>
  <si>
    <t>ying.wang18@mail.cn</t>
  </si>
  <si>
    <t>adeola_y18</t>
  </si>
  <si>
    <t>adeola.yusuf18@email.ng</t>
  </si>
  <si>
    <t>marco_b18</t>
  </si>
  <si>
    <t>marco.bianchi18@email.it</t>
  </si>
  <si>
    <t>jennifer_k18</t>
  </si>
  <si>
    <t>jennifer.kim18@email.com</t>
  </si>
  <si>
    <t>rahman_h18</t>
  </si>
  <si>
    <t>rahman.hussain18@company.pk</t>
  </si>
  <si>
    <t>sofia_m18</t>
  </si>
  <si>
    <t>sofia.martinez18@mail.es</t>
  </si>
  <si>
    <t>kenji_sato19</t>
  </si>
  <si>
    <t>kenji.sato19@edu.jp</t>
  </si>
  <si>
    <t>fatou_b18</t>
  </si>
  <si>
    <t>fatoumata.bello18@email.sn</t>
  </si>
  <si>
    <t>david_w18</t>
  </si>
  <si>
    <t>david.wilson18@company.co.uk</t>
  </si>
  <si>
    <t>lina_park18</t>
  </si>
  <si>
    <t>lina.park18@email.kr</t>
  </si>
  <si>
    <t>ahmed_alm18</t>
  </si>
  <si>
    <t>ahmed.almansoori18@email.ae</t>
  </si>
  <si>
    <t>maria_costa18</t>
  </si>
  <si>
    <t>maria.costa18@mail.com.br</t>
  </si>
  <si>
    <t>chinedu_n18</t>
  </si>
  <si>
    <t>chinedu.nwankwo18@company.ng</t>
  </si>
  <si>
    <t>isabelle_m18</t>
  </si>
  <si>
    <t>isabelle.moreau18@email.ca</t>
  </si>
  <si>
    <t>rahman_ali19</t>
  </si>
  <si>
    <t>rahman.ali19@mail.id</t>
  </si>
  <si>
    <t>sarah_j18</t>
  </si>
  <si>
    <t>sarah.johnson18@email.com</t>
  </si>
  <si>
    <t>wei_zhang18</t>
  </si>
  <si>
    <t>wei.zhang18@company.cn</t>
  </si>
  <si>
    <t>anna_k19</t>
  </si>
  <si>
    <t>anna.kowalski19@email.pl</t>
  </si>
  <si>
    <t>m_rahman19</t>
  </si>
  <si>
    <t>mohammed.rahman19@email.bd</t>
  </si>
  <si>
    <t>yumi_tanaka18</t>
  </si>
  <si>
    <t>yumi.tanaka18@edu.jp</t>
  </si>
  <si>
    <t>carlos_m18</t>
  </si>
  <si>
    <t>carlos.mendez18@mail.mx</t>
  </si>
  <si>
    <t>aisha_m19</t>
  </si>
  <si>
    <t>aisha.mohammed19@email.ke</t>
  </si>
  <si>
    <t>david_chen19</t>
  </si>
  <si>
    <t>david.chen19@company.sg</t>
  </si>
  <si>
    <t>maria_p19</t>
  </si>
  <si>
    <t>maria.papadopoulos19@email.gr</t>
  </si>
  <si>
    <t>j_wilson19</t>
  </si>
  <si>
    <t>james.wilson19@email.au</t>
  </si>
  <si>
    <t>f_zahra19</t>
  </si>
  <si>
    <t>fatima.zahra19@mail.pk</t>
  </si>
  <si>
    <t>kenji_y19</t>
  </si>
  <si>
    <t>kenji.yamada19@mail.jp</t>
  </si>
  <si>
    <t>ngozi_e19</t>
  </si>
  <si>
    <t>ngozi.eze19@company.ng</t>
  </si>
  <si>
    <t>thomas_s19</t>
  </si>
  <si>
    <t>thomas.schmidt19@email.de</t>
  </si>
  <si>
    <t>lina_c19</t>
  </si>
  <si>
    <t>lina.chen19@mail.cn</t>
  </si>
  <si>
    <t>ahmed_h19</t>
  </si>
  <si>
    <t>ahmed.hassan19@email.eg</t>
  </si>
  <si>
    <t>sophie_m19</t>
  </si>
  <si>
    <t>sophie.martin19@edu.fr</t>
  </si>
  <si>
    <t>raj_kumar19</t>
  </si>
  <si>
    <t>raj.kumar19@company.in</t>
  </si>
  <si>
    <t>maria_g20</t>
  </si>
  <si>
    <t>maria.gonzalez20@email.mx</t>
  </si>
  <si>
    <t>yuki_k19</t>
  </si>
  <si>
    <t>yuki.kobayashi19@mail.jp</t>
  </si>
  <si>
    <t>kwame_a19</t>
  </si>
  <si>
    <t>kwame.asante19@email.gh</t>
  </si>
  <si>
    <t>anna_p19</t>
  </si>
  <si>
    <t>anna.petrova19@email.ru</t>
  </si>
  <si>
    <t>liam_obrien19</t>
  </si>
  <si>
    <t>liam.obrien19@company.ie</t>
  </si>
  <si>
    <t>ying_w19</t>
  </si>
  <si>
    <t>ying.wang19@mail.cn</t>
  </si>
  <si>
    <t>adeola_y19</t>
  </si>
  <si>
    <t>adeola.yusuf19@email.ng</t>
  </si>
  <si>
    <t>marco_b19</t>
  </si>
  <si>
    <t>marco.bianchi19@email.it</t>
  </si>
  <si>
    <t>jennifer_k19</t>
  </si>
  <si>
    <t>jennifer.kim19@email.com</t>
  </si>
  <si>
    <t>rahman_h19</t>
  </si>
  <si>
    <t>rahman.hussain19@company.pk</t>
  </si>
  <si>
    <t>sofia_m19</t>
  </si>
  <si>
    <t>sofia.martinez19@mail.es</t>
  </si>
  <si>
    <t>kenji_sato20</t>
  </si>
  <si>
    <t>kenji.sato20@edu.jp</t>
  </si>
  <si>
    <t>fatou_b19</t>
  </si>
  <si>
    <t>fatoumata.bello19@email.sn</t>
  </si>
  <si>
    <t>david_w19</t>
  </si>
  <si>
    <t>david.wilson19@company.co.uk</t>
  </si>
  <si>
    <t>lina_park19</t>
  </si>
  <si>
    <t>lina.park19@email.kr</t>
  </si>
  <si>
    <t>ahmed_alm19</t>
  </si>
  <si>
    <t>ahmed.almansoori19@email.ae</t>
  </si>
  <si>
    <t>maria_costa19</t>
  </si>
  <si>
    <t>maria.costa19@mail.com.br</t>
  </si>
  <si>
    <t>chinedu_n19</t>
  </si>
  <si>
    <t>chinedu.nwankwo19@company.ng</t>
  </si>
  <si>
    <t>isabelle_m19</t>
  </si>
  <si>
    <t>isabelle.moreau19@email.ca</t>
  </si>
  <si>
    <t>rahman_ali20</t>
  </si>
  <si>
    <t>rahman.ali20@mail.id</t>
  </si>
  <si>
    <t>sarah_j19</t>
  </si>
  <si>
    <t>sarah.johnson19@email.com</t>
  </si>
  <si>
    <t>wei_zhang19</t>
  </si>
  <si>
    <t>wei.zhang19@company.cn</t>
  </si>
  <si>
    <t>anna_k20</t>
  </si>
  <si>
    <t>anna.kowalski20@email.pl</t>
  </si>
  <si>
    <t>m_rahman20</t>
  </si>
  <si>
    <t>mohammed.rahman20@email.bd</t>
  </si>
  <si>
    <t>yumi_tanaka19</t>
  </si>
  <si>
    <t>yumi.tanaka19@edu.jp</t>
  </si>
  <si>
    <t>carlos_m19</t>
  </si>
  <si>
    <t>carlos.mendez19@mail.mx</t>
  </si>
  <si>
    <t>aisha_m20</t>
  </si>
  <si>
    <t>aisha.mohammed20@email.ke</t>
  </si>
  <si>
    <t>david_chen20</t>
  </si>
  <si>
    <t>david.chen20@company.sg</t>
  </si>
  <si>
    <t>maria_p20</t>
  </si>
  <si>
    <t>maria.papadopoulos20@email.gr</t>
  </si>
  <si>
    <t>j_wilson20</t>
  </si>
  <si>
    <t>james.wilson20@email.au</t>
  </si>
  <si>
    <t>f_zahra20</t>
  </si>
  <si>
    <t>fatima.zahra20@mail.pk</t>
  </si>
  <si>
    <t>kenji_y20</t>
  </si>
  <si>
    <t>kenji.yamada20@mail.jp</t>
  </si>
  <si>
    <t>ngozi_e20</t>
  </si>
  <si>
    <t>ngozi.eze20@company.ng</t>
  </si>
  <si>
    <t>thomas_s20</t>
  </si>
  <si>
    <t>thomas.schmidt20@email.de</t>
  </si>
  <si>
    <t>lina_c20</t>
  </si>
  <si>
    <t>lina.chen20@mail.cn</t>
  </si>
  <si>
    <t>ahmed_h20</t>
  </si>
  <si>
    <t>ahmed.hassan20@email.eg</t>
  </si>
  <si>
    <t>sophie_m20</t>
  </si>
  <si>
    <t>sophie.martin20@edu.fr</t>
  </si>
  <si>
    <t>raj_kumar20</t>
  </si>
  <si>
    <t>raj.kumar20@company.in</t>
  </si>
  <si>
    <t>maria_g21</t>
  </si>
  <si>
    <t>maria.gonzalez21@email.mx</t>
  </si>
  <si>
    <t>yuki_k20</t>
  </si>
  <si>
    <t>yuki.kobayashi20@mail.jp</t>
  </si>
  <si>
    <t>kwame_a20</t>
  </si>
  <si>
    <t>kwame.asante20@email.gh</t>
  </si>
  <si>
    <t>anna_p20</t>
  </si>
  <si>
    <t>anna.petrova20@email.ru</t>
  </si>
  <si>
    <t>liam_obrien20</t>
  </si>
  <si>
    <t>liam.obrien20@company.ie</t>
  </si>
  <si>
    <t>ying_w20</t>
  </si>
  <si>
    <t>ying.wang20@mail.cn</t>
  </si>
  <si>
    <t>adeola_y20</t>
  </si>
  <si>
    <t>adeola.yusuf20@email.ng</t>
  </si>
  <si>
    <t>marco_b20</t>
  </si>
  <si>
    <t>marco.bianchi20@email.it</t>
  </si>
  <si>
    <t>jennifer_k20</t>
  </si>
  <si>
    <t>jennifer.kim20@email.com</t>
  </si>
  <si>
    <t>rahman_h20</t>
  </si>
  <si>
    <t>rahman.hussain20@company.pk</t>
  </si>
  <si>
    <t>sofia_m20</t>
  </si>
  <si>
    <t>sofia.martinez20@mail.es</t>
  </si>
  <si>
    <t>kenji_sato21</t>
  </si>
  <si>
    <t>kenji.sato21@edu.jp</t>
  </si>
  <si>
    <t>fatou_b20</t>
  </si>
  <si>
    <t>fatoumata.bello20@email.sn</t>
  </si>
  <si>
    <t>david_w20</t>
  </si>
  <si>
    <t>david.wilson20@company.co.uk</t>
  </si>
  <si>
    <t>lina_park20</t>
  </si>
  <si>
    <t>lina.park20@email.kr</t>
  </si>
  <si>
    <t>ahmed_alm20</t>
  </si>
  <si>
    <t>ahmed.almansoori20@email.ae</t>
  </si>
  <si>
    <t>maria_costa20</t>
  </si>
  <si>
    <t>maria.costa20@mail.com.br</t>
  </si>
  <si>
    <t>chinedu_n20</t>
  </si>
  <si>
    <t>chinedu.nwankwo20@company.ng</t>
  </si>
  <si>
    <t>isabelle_m20</t>
  </si>
  <si>
    <t>isabelle.moreau20@email.ca</t>
  </si>
  <si>
    <t>rahman_ali21</t>
  </si>
  <si>
    <t>rahman.ali21@mail.id</t>
  </si>
  <si>
    <t>sarah_j20</t>
  </si>
  <si>
    <t>sarah.johnson20@email.com</t>
  </si>
  <si>
    <t>wei_zhang20</t>
  </si>
  <si>
    <t>wei.zhang20@company.cn</t>
  </si>
  <si>
    <t>anna_k21</t>
  </si>
  <si>
    <t>anna.kowalski21@email.pl</t>
  </si>
  <si>
    <t>m_rahman21</t>
  </si>
  <si>
    <t>mohammed.rahman21@email.bd</t>
  </si>
  <si>
    <t>yumi_tanaka20</t>
  </si>
  <si>
    <t>yumi.tanaka20@edu.jp</t>
  </si>
  <si>
    <t>carlos_m20</t>
  </si>
  <si>
    <t>carlos.mendez20@mail.mx</t>
  </si>
  <si>
    <t>aisha_m21</t>
  </si>
  <si>
    <t>aisha.mohammed21@email.ke</t>
  </si>
  <si>
    <t>david_chen21</t>
  </si>
  <si>
    <t>david.chen21@company.sg</t>
  </si>
  <si>
    <t>maria_p21</t>
  </si>
  <si>
    <t>maria.papadopoulos21@email.gr</t>
  </si>
  <si>
    <t>j_wilson21</t>
  </si>
  <si>
    <t>james.wilson21@email.au</t>
  </si>
  <si>
    <t>f_zahra21</t>
  </si>
  <si>
    <t>fatima.zahra21@mail.pk</t>
  </si>
  <si>
    <t>kenji_y21</t>
  </si>
  <si>
    <t>kenji.yamada21@mail.jp</t>
  </si>
  <si>
    <t>ngozi_e21</t>
  </si>
  <si>
    <t>ngozi.eze21@company.ng</t>
  </si>
  <si>
    <t>thomas_s21</t>
  </si>
  <si>
    <t>thomas.schmidt21@email.de</t>
  </si>
  <si>
    <t>lina_c21</t>
  </si>
  <si>
    <t>lina.chen21@mail.cn</t>
  </si>
  <si>
    <t>ahmed_h21</t>
  </si>
  <si>
    <t>ahmed.hassan21@email.eg</t>
  </si>
  <si>
    <t>sophie_m21</t>
  </si>
  <si>
    <t>sophie.martin21@edu.fr</t>
  </si>
  <si>
    <t>raj_kumar21</t>
  </si>
  <si>
    <t>raj.kumar21@company.in</t>
  </si>
  <si>
    <t>maria_g22</t>
  </si>
  <si>
    <t>maria.gonzalez22@email.mx</t>
  </si>
  <si>
    <t>yuki_k21</t>
  </si>
  <si>
    <t>yuki.kobayashi21@mail.jp</t>
  </si>
  <si>
    <t>kwame_a21</t>
  </si>
  <si>
    <t>kwame.asante21@email.gh</t>
  </si>
  <si>
    <t>anna_p21</t>
  </si>
  <si>
    <t>anna.petrova21@email.ru</t>
  </si>
  <si>
    <t>liam_obrien21</t>
  </si>
  <si>
    <t>liam.obrien21@company.ie</t>
  </si>
  <si>
    <t>ying_w21</t>
  </si>
  <si>
    <t>ying.wang21@mail.cn</t>
  </si>
  <si>
    <t>adeola_y21</t>
  </si>
  <si>
    <t>adeola.yusuf21@email.ng</t>
  </si>
  <si>
    <t>marco_b21</t>
  </si>
  <si>
    <t>marco.bianchi21@email.it</t>
  </si>
  <si>
    <t>jennifer_k21</t>
  </si>
  <si>
    <t>jennifer.kim21@email.com</t>
  </si>
  <si>
    <t>rahman_h21</t>
  </si>
  <si>
    <t>rahman.hussain21@company.pk</t>
  </si>
  <si>
    <t>sofia_m21</t>
  </si>
  <si>
    <t>sofia.martinez21@mail.es</t>
  </si>
  <si>
    <t>kenji_sato22</t>
  </si>
  <si>
    <t>kenji.sato22@edu.jp</t>
  </si>
  <si>
    <t>fatou_b21</t>
  </si>
  <si>
    <t>fatoumata.bello21@email.sn</t>
  </si>
  <si>
    <t>david_w21</t>
  </si>
  <si>
    <t>david.wilson21@company.co.uk</t>
  </si>
  <si>
    <t>lina_park21</t>
  </si>
  <si>
    <t>lina.park21@email.kr</t>
  </si>
  <si>
    <t>ahmed_alm21</t>
  </si>
  <si>
    <t>ahmed.almansoori21@email.ae</t>
  </si>
  <si>
    <t>maria_costa21</t>
  </si>
  <si>
    <t>maria.costa21@mail.com.br</t>
  </si>
  <si>
    <t>chinedu_n21</t>
  </si>
  <si>
    <t>chinedu.nwankwo21@company.ng</t>
  </si>
  <si>
    <t>isabelle_m21</t>
  </si>
  <si>
    <t>isabelle.moreau21@email.ca</t>
  </si>
  <si>
    <t>rahman_ali22</t>
  </si>
  <si>
    <t>rahman.ali22@mail.id</t>
  </si>
  <si>
    <t>sarah_j21</t>
  </si>
  <si>
    <t>sarah.johnson21@email.com</t>
  </si>
  <si>
    <t>wei_zhang21</t>
  </si>
  <si>
    <t>wei.zhang21@company.cn</t>
  </si>
  <si>
    <t>anna_k22</t>
  </si>
  <si>
    <t>anna.kowalski22@email.pl</t>
  </si>
  <si>
    <t>m_rahman22</t>
  </si>
  <si>
    <t>mohammed.rahman22@email.bd</t>
  </si>
  <si>
    <t>yumi_tanaka21</t>
  </si>
  <si>
    <t>yumi.tanaka21@edu.jp</t>
  </si>
  <si>
    <t>carlos_m21</t>
  </si>
  <si>
    <t>carlos.mendez21@mail.mx</t>
  </si>
  <si>
    <t>aisha_m22</t>
  </si>
  <si>
    <t>aisha.mohammed22@email.ke</t>
  </si>
  <si>
    <t>david_chen22</t>
  </si>
  <si>
    <t>david.chen22@company.sg</t>
  </si>
  <si>
    <t>maria_p22</t>
  </si>
  <si>
    <t>maria.papadopoulos22@email.gr</t>
  </si>
  <si>
    <t>j_wilson22</t>
  </si>
  <si>
    <t>james.wilson22@email.au</t>
  </si>
  <si>
    <t>f_zahra22</t>
  </si>
  <si>
    <t>fatima.zahra22@mail.pk</t>
  </si>
  <si>
    <t>kenji_y22</t>
  </si>
  <si>
    <t>kenji.yamada22@mail.jp</t>
  </si>
  <si>
    <t>ngozi_e22</t>
  </si>
  <si>
    <t>ngozi.eze22@company.ng</t>
  </si>
  <si>
    <t>thomas_s22</t>
  </si>
  <si>
    <t>thomas.schmidt22@email.de</t>
  </si>
  <si>
    <t>lina_c22</t>
  </si>
  <si>
    <t>lina.chen22@mail.cn</t>
  </si>
  <si>
    <t>ahmed_h22</t>
  </si>
  <si>
    <t>ahmed.hassan22@email.eg</t>
  </si>
  <si>
    <t>sophie_m22</t>
  </si>
  <si>
    <t>sophie.martin22@edu.fr</t>
  </si>
  <si>
    <t>raj_kumar22</t>
  </si>
  <si>
    <t>raj.kumar22@company.in</t>
  </si>
  <si>
    <t>maria_g23</t>
  </si>
  <si>
    <t>maria.gonzalez23@email.mx</t>
  </si>
  <si>
    <t>yuki_k22</t>
  </si>
  <si>
    <t>yuki.kobayashi22@mail.jp</t>
  </si>
  <si>
    <t>kwame_a22</t>
  </si>
  <si>
    <t>kwame.asante22@email.gh</t>
  </si>
  <si>
    <t>anna_p22</t>
  </si>
  <si>
    <t>anna.petrova22@email.ru</t>
  </si>
  <si>
    <t>liam_obrien22</t>
  </si>
  <si>
    <t>liam.obrien22@company.ie</t>
  </si>
  <si>
    <t>ying_w22</t>
  </si>
  <si>
    <t>ying.wang22@mail.cn</t>
  </si>
  <si>
    <t>adeola_y22</t>
  </si>
  <si>
    <t>adeola.yusuf22@email.ng</t>
  </si>
  <si>
    <t>marco_b22</t>
  </si>
  <si>
    <t>marco.bianchi22@email.it</t>
  </si>
  <si>
    <t>jennifer_k22</t>
  </si>
  <si>
    <t>jennifer.kim22@email.com</t>
  </si>
  <si>
    <t>rahman_h22</t>
  </si>
  <si>
    <t>rahman.hussain22@company.pk</t>
  </si>
  <si>
    <t>sofia_m22</t>
  </si>
  <si>
    <t>sofia.martinez22@mail.es</t>
  </si>
  <si>
    <t>kenji_sato23</t>
  </si>
  <si>
    <t>kenji.sato23@edu.jp</t>
  </si>
  <si>
    <t>fatou_b22</t>
  </si>
  <si>
    <t>fatoumata.bello22@email.sn</t>
  </si>
  <si>
    <t>david_w22</t>
  </si>
  <si>
    <t>david.wilson22@company.co.uk</t>
  </si>
  <si>
    <t>lina_park22</t>
  </si>
  <si>
    <t>lina.park22@email.kr</t>
  </si>
  <si>
    <t>ahmed_alm22</t>
  </si>
  <si>
    <t>ahmed.almansoori22@email.ae</t>
  </si>
  <si>
    <t>maria_costa22</t>
  </si>
  <si>
    <t>maria.costa22@mail.com.br</t>
  </si>
  <si>
    <t>chinedu_n22</t>
  </si>
  <si>
    <t>chinedu.nwankwo22@company.ng</t>
  </si>
  <si>
    <t>isabelle_m22</t>
  </si>
  <si>
    <t>isabelle.moreau22@email.ca</t>
  </si>
  <si>
    <t>rahman_ali23</t>
  </si>
  <si>
    <t>rahman.ali23@mail.id</t>
  </si>
  <si>
    <t>sarah_j22</t>
  </si>
  <si>
    <t>sarah.johnson22@email.com</t>
  </si>
  <si>
    <t>wei_zhang22</t>
  </si>
  <si>
    <t>wei.zhang22@company.cn</t>
  </si>
  <si>
    <t>anna_k23</t>
  </si>
  <si>
    <t>anna.kowalski23@email.pl</t>
  </si>
  <si>
    <t>m_rahman23</t>
  </si>
  <si>
    <t>mohammed.rahman23@email.bd</t>
  </si>
  <si>
    <t>yumi_tanaka22</t>
  </si>
  <si>
    <t>yumi.tanaka22@edu.jp</t>
  </si>
  <si>
    <t>carlos_m22</t>
  </si>
  <si>
    <t>carlos.mendez22@mail.mx</t>
  </si>
  <si>
    <t>aisha_m23</t>
  </si>
  <si>
    <t>aisha.mohammed23@email.ke</t>
  </si>
  <si>
    <t>david_chen23</t>
  </si>
  <si>
    <t>david.chen23@company.sg</t>
  </si>
  <si>
    <t>maria_p23</t>
  </si>
  <si>
    <t>maria.papadopoulos23@email.gr</t>
  </si>
  <si>
    <t>j_wilson23</t>
  </si>
  <si>
    <t>james.wilson23@email.au</t>
  </si>
  <si>
    <t>f_zahra23</t>
  </si>
  <si>
    <t>fatima.zahra23@mail.pk</t>
  </si>
  <si>
    <t>kenji_y23</t>
  </si>
  <si>
    <t>kenji.yamada23@mail.jp</t>
  </si>
  <si>
    <t>ngozi_e23</t>
  </si>
  <si>
    <t>ngozi.eze23@company.ng</t>
  </si>
  <si>
    <t>thomas_s23</t>
  </si>
  <si>
    <t>thomas.schmidt23@email.de</t>
  </si>
  <si>
    <t>lina_c23</t>
  </si>
  <si>
    <t>lina.chen23@mail.cn</t>
  </si>
  <si>
    <t>ahmed_h23</t>
  </si>
  <si>
    <t>ahmed.hassan23@email.eg</t>
  </si>
  <si>
    <t>sophie_m23</t>
  </si>
  <si>
    <t>sophie.martin23@edu.fr</t>
  </si>
  <si>
    <t>raj_kumar23</t>
  </si>
  <si>
    <t>raj.kumar23@company.in</t>
  </si>
  <si>
    <t>maria_g24</t>
  </si>
  <si>
    <t>maria.gonzalez24@email.mx</t>
  </si>
  <si>
    <t>yuki_k23</t>
  </si>
  <si>
    <t>yuki.kobayashi23@mail.jp</t>
  </si>
  <si>
    <t>kwame_a23</t>
  </si>
  <si>
    <t>kwame.asante23@email.gh</t>
  </si>
  <si>
    <t>anna_p23</t>
  </si>
  <si>
    <t>anna.petrova23@email.ru</t>
  </si>
  <si>
    <t>liam_obrien23</t>
  </si>
  <si>
    <t>liam.obrien23@company.ie</t>
  </si>
  <si>
    <t>ying_w23</t>
  </si>
  <si>
    <t>ying.wang23@mail.cn</t>
  </si>
  <si>
    <t>adeola_y23</t>
  </si>
  <si>
    <t>adeola.yusuf23@email.ng</t>
  </si>
  <si>
    <t>marco_b23</t>
  </si>
  <si>
    <t>marco.bianchi23@email.it</t>
  </si>
  <si>
    <t>jennifer_k23</t>
  </si>
  <si>
    <t>jennifer.kim23@email.com</t>
  </si>
  <si>
    <t>rahman_h23</t>
  </si>
  <si>
    <t>rahman.hussain23@company.pk</t>
  </si>
  <si>
    <t>sofia_m23</t>
  </si>
  <si>
    <t>sofia.martinez23@mail.es</t>
  </si>
  <si>
    <t>kenji_sato24</t>
  </si>
  <si>
    <t>kenji.sato24@edu.jp</t>
  </si>
  <si>
    <t>fatou_b23</t>
  </si>
  <si>
    <t>fatoumata.bello23@email.sn</t>
  </si>
  <si>
    <t>david_w23</t>
  </si>
  <si>
    <t>david.wilson23@company.co.uk</t>
  </si>
  <si>
    <t>lina_park23</t>
  </si>
  <si>
    <t>lina.park23@email.kr</t>
  </si>
  <si>
    <t>ahmed_alm23</t>
  </si>
  <si>
    <t>ahmed.almansoori23@email.ae</t>
  </si>
  <si>
    <t>maria_costa23</t>
  </si>
  <si>
    <t>maria.costa23@mail.com.br</t>
  </si>
  <si>
    <t>chinedu_n23</t>
  </si>
  <si>
    <t>chinedu.nwankwo23@company.ng</t>
  </si>
  <si>
    <t>isabelle_m23</t>
  </si>
  <si>
    <t>isabelle.moreau23@email.ca</t>
  </si>
  <si>
    <t>rahman_ali24</t>
  </si>
  <si>
    <t>rahman.ali24@mail.id</t>
  </si>
  <si>
    <t>sarah_j23</t>
  </si>
  <si>
    <t>sarah.johnson23@email.com</t>
  </si>
  <si>
    <t>wei_zhang23</t>
  </si>
  <si>
    <t>wei.zhang23@company.cn</t>
  </si>
  <si>
    <t>anna_k24</t>
  </si>
  <si>
    <t>anna.kowalski24@email.pl</t>
  </si>
  <si>
    <t>m_rahman24</t>
  </si>
  <si>
    <t>mohammed.rahman24@email.bd</t>
  </si>
  <si>
    <t>yumi_tanaka23</t>
  </si>
  <si>
    <t>yumi.tanaka23@edu.jp</t>
  </si>
  <si>
    <t>carlos_m23</t>
  </si>
  <si>
    <t>carlos.mendez23@mail.mx</t>
  </si>
  <si>
    <t>aisha_m24</t>
  </si>
  <si>
    <t>aisha.mohammed24@email.ke</t>
  </si>
  <si>
    <t>david_chen24</t>
  </si>
  <si>
    <t>david.chen24@company.sg</t>
  </si>
  <si>
    <t>maria_p24</t>
  </si>
  <si>
    <t>maria.papadopoulos24@email.gr</t>
  </si>
  <si>
    <t>j_wilson24</t>
  </si>
  <si>
    <t>james.wilson24@email.au</t>
  </si>
  <si>
    <t>f_zahra24</t>
  </si>
  <si>
    <t>fatima.zahra24@mail.pk</t>
  </si>
  <si>
    <t>kenji_y24</t>
  </si>
  <si>
    <t>kenji.yamada24@mail.jp</t>
  </si>
  <si>
    <t>ngozi_e24</t>
  </si>
  <si>
    <t>ngozi.eze24@company.ng</t>
  </si>
  <si>
    <t>thomas_s24</t>
  </si>
  <si>
    <t>thomas.schmidt24@email.de</t>
  </si>
  <si>
    <t>lina_c24</t>
  </si>
  <si>
    <t>lina.chen24@mail.cn</t>
  </si>
  <si>
    <t>ahmed_h24</t>
  </si>
  <si>
    <t>ahmed.hassan24@email.eg</t>
  </si>
  <si>
    <t>sophie_m24</t>
  </si>
  <si>
    <t>sophie.martin24@edu.fr</t>
  </si>
  <si>
    <t>raj_kumar24</t>
  </si>
  <si>
    <t>raj.kumar24@company.in</t>
  </si>
  <si>
    <t>maria_g25</t>
  </si>
  <si>
    <t>maria.gonzalez25@email.mx</t>
  </si>
  <si>
    <t>yuki_k24</t>
  </si>
  <si>
    <t>yuki.kobayashi24@mail.jp</t>
  </si>
  <si>
    <t>kwame_a24</t>
  </si>
  <si>
    <t>kwame.asante24@email.gh</t>
  </si>
  <si>
    <t>anna_p24</t>
  </si>
  <si>
    <t>anna.petrova24@email.ru</t>
  </si>
  <si>
    <t>liam_obrien24</t>
  </si>
  <si>
    <t>liam.obrien24@company.ie</t>
  </si>
  <si>
    <t>ying_w24</t>
  </si>
  <si>
    <t>ying.wang24@mail.cn</t>
  </si>
  <si>
    <t>adeola_y24</t>
  </si>
  <si>
    <t>adeola.yusuf24@email.ng</t>
  </si>
  <si>
    <t>marco_b24</t>
  </si>
  <si>
    <t>marco.bianchi24@email.it</t>
  </si>
  <si>
    <t>jennifer_k24</t>
  </si>
  <si>
    <t>jennifer.kim24@email.com</t>
  </si>
  <si>
    <t>rahman_h24</t>
  </si>
  <si>
    <t>rahman.hussain24@company.pk</t>
  </si>
  <si>
    <t>sofia_m24</t>
  </si>
  <si>
    <t>sofia.martinez24@mail.es</t>
  </si>
  <si>
    <t>kenji_sato25</t>
  </si>
  <si>
    <t>kenji.sato25@edu.jp</t>
  </si>
  <si>
    <t>fatou_b24</t>
  </si>
  <si>
    <t>fatoumata.bello24@email.sn</t>
  </si>
  <si>
    <t>david_w24</t>
  </si>
  <si>
    <t>david.wilson24@company.co.uk</t>
  </si>
  <si>
    <t>lina_park24</t>
  </si>
  <si>
    <t>lina.park24@email.kr</t>
  </si>
  <si>
    <t>ahmed_alm24</t>
  </si>
  <si>
    <t>ahmed.almansoori24@email.ae</t>
  </si>
  <si>
    <t>maria_costa24</t>
  </si>
  <si>
    <t>maria.costa24@mail.com.br</t>
  </si>
  <si>
    <t>chinedu_n24</t>
  </si>
  <si>
    <t>chinedu.nwankwo24@company.ng</t>
  </si>
  <si>
    <t>isabelle_m24</t>
  </si>
  <si>
    <t>isabelle.moreau24@email.ca</t>
  </si>
  <si>
    <t>rahman_ali25</t>
  </si>
  <si>
    <t>rahman.ali25@mail.id</t>
  </si>
  <si>
    <t>sarah_j24</t>
  </si>
  <si>
    <t>sarah.johnson24@email.com</t>
  </si>
  <si>
    <t>wei_zhang24</t>
  </si>
  <si>
    <t>wei.zhang24@company.cn</t>
  </si>
  <si>
    <t>anna_k25</t>
  </si>
  <si>
    <t>anna.kowalski25@email.pl</t>
  </si>
  <si>
    <t>m_rahman25</t>
  </si>
  <si>
    <t>mohammed.rahman25@email.bd</t>
  </si>
  <si>
    <t>yumi_tanaka24</t>
  </si>
  <si>
    <t>yumi.tanaka24@edu.jp</t>
  </si>
  <si>
    <t>carlos_m24</t>
  </si>
  <si>
    <t>carlos.mendez24@mail.mx</t>
  </si>
  <si>
    <t>aisha_m25</t>
  </si>
  <si>
    <t>aisha.mohammed25@email.ke</t>
  </si>
  <si>
    <t>david_chen25</t>
  </si>
  <si>
    <t>david.chen25@company.sg</t>
  </si>
  <si>
    <t>maria_p25</t>
  </si>
  <si>
    <t>maria.papadopoulos25@email.gr</t>
  </si>
  <si>
    <t>j_wilson25</t>
  </si>
  <si>
    <t>james.wilson25@email.au</t>
  </si>
  <si>
    <t>f_zahra25</t>
  </si>
  <si>
    <t>fatima.zahra25@mail.pk</t>
  </si>
  <si>
    <t>kenji_y25</t>
  </si>
  <si>
    <t>kenji.yamada25@mail.jp</t>
  </si>
  <si>
    <t>ngozi_e25</t>
  </si>
  <si>
    <t>ngozi.eze25@company.ng</t>
  </si>
  <si>
    <t>thomas_s25</t>
  </si>
  <si>
    <t>thomas.schmidt25@email.de</t>
  </si>
  <si>
    <t>lina_c25</t>
  </si>
  <si>
    <t>lina.chen25@mail.cn</t>
  </si>
  <si>
    <t>ahmed_h25</t>
  </si>
  <si>
    <t>ahmed.hassan25@email.eg</t>
  </si>
  <si>
    <t>sophie_m25</t>
  </si>
  <si>
    <t>sophie.martin25@edu.fr</t>
  </si>
  <si>
    <t>raj_kumar25</t>
  </si>
  <si>
    <t>raj.kumar25@company.in</t>
  </si>
  <si>
    <t>maria_g26</t>
  </si>
  <si>
    <t>maria.gonzalez26@email.mx</t>
  </si>
  <si>
    <t>yuki_k25</t>
  </si>
  <si>
    <t>yuki.kobayashi25@mail.jp</t>
  </si>
  <si>
    <t>kwame_a25</t>
  </si>
  <si>
    <t>kwame.asante25@email.gh</t>
  </si>
  <si>
    <t>anna_p25</t>
  </si>
  <si>
    <t>anna.petrova25@email.ru</t>
  </si>
  <si>
    <t>liam_obrien25</t>
  </si>
  <si>
    <t>liam.obrien25@company.ie</t>
  </si>
  <si>
    <t>ying_w25</t>
  </si>
  <si>
    <t>ying.wang25@mail.cn</t>
  </si>
  <si>
    <t>adeola_y25</t>
  </si>
  <si>
    <t>adeola.yusuf25@email.ng</t>
  </si>
  <si>
    <t>marco_b25</t>
  </si>
  <si>
    <t>marco.bianchi25@email.it</t>
  </si>
  <si>
    <t>jennifer_k25</t>
  </si>
  <si>
    <t>jennifer.kim25@email.com</t>
  </si>
  <si>
    <t>rahman_h25</t>
  </si>
  <si>
    <t>rahman.hussain25@company.pk</t>
  </si>
  <si>
    <t>sofia_m25</t>
  </si>
  <si>
    <t>sofia.martinez25@mail.es</t>
  </si>
  <si>
    <t>kenji_sato26</t>
  </si>
  <si>
    <t>kenji.sato26@edu.jp</t>
  </si>
  <si>
    <t>fatou_b25</t>
  </si>
  <si>
    <t>fatoumata.bello25@email.sn</t>
  </si>
  <si>
    <t>david_w25</t>
  </si>
  <si>
    <t>david.wilson25@company.co.uk</t>
  </si>
  <si>
    <t>lina_park25</t>
  </si>
  <si>
    <t>lina.park25@email.kr</t>
  </si>
  <si>
    <t>ahmed_alm25</t>
  </si>
  <si>
    <t>ahmed.almansoori25@email.ae</t>
  </si>
  <si>
    <t>maria_costa25</t>
  </si>
  <si>
    <t>maria.costa25@mail.com.br</t>
  </si>
  <si>
    <t>chinedu_n25</t>
  </si>
  <si>
    <t>chinedu.nwankwo25@company.ng</t>
  </si>
  <si>
    <t>isabelle_m25</t>
  </si>
  <si>
    <t>isabelle.moreau25@email.ca</t>
  </si>
  <si>
    <t>rahman_ali26</t>
  </si>
  <si>
    <t>rahman.ali26@mail.id</t>
  </si>
  <si>
    <t>sarah_j25</t>
  </si>
  <si>
    <t>sarah.johnson25@email.com</t>
  </si>
  <si>
    <t>wei_zhang25</t>
  </si>
  <si>
    <t>wei.zhang25@company.cn</t>
  </si>
  <si>
    <t>anna_k26</t>
  </si>
  <si>
    <t>anna.kowalski26@email.pl</t>
  </si>
  <si>
    <t>m_rahman26</t>
  </si>
  <si>
    <t>mohammed.rahman26@email.bd</t>
  </si>
  <si>
    <t>yumi_tanaka25</t>
  </si>
  <si>
    <t>yumi.tanaka25@edu.jp</t>
  </si>
  <si>
    <t>carlos_m25</t>
  </si>
  <si>
    <t>carlos.mendez25@mail.mx</t>
  </si>
  <si>
    <t>aisha_m26</t>
  </si>
  <si>
    <t>aisha.mohammed26@email.ke</t>
  </si>
  <si>
    <t>david_chen26</t>
  </si>
  <si>
    <t>david.chen26@company.sg</t>
  </si>
  <si>
    <t>maria_p26</t>
  </si>
  <si>
    <t>maria.papadopoulos26@email.gr</t>
  </si>
  <si>
    <t>j_wilson26</t>
  </si>
  <si>
    <t>james.wilson26@email.au</t>
  </si>
  <si>
    <t>f_zahra26</t>
  </si>
  <si>
    <t>fatima.zahra26@mail.pk</t>
  </si>
  <si>
    <t>kenji_y26</t>
  </si>
  <si>
    <t>kenji.yamada26@mail.jp</t>
  </si>
  <si>
    <t>ngozi_e26</t>
  </si>
  <si>
    <t>ngozi.eze26@company.ng</t>
  </si>
  <si>
    <t>thomas_s26</t>
  </si>
  <si>
    <t>thomas.schmidt26@email.de</t>
  </si>
  <si>
    <t>lina_c26</t>
  </si>
  <si>
    <t>lina.chen26@mail.cn</t>
  </si>
  <si>
    <t>ahmed_h26</t>
  </si>
  <si>
    <t>ahmed.hassan26@email.eg</t>
  </si>
  <si>
    <t>sophie_m26</t>
  </si>
  <si>
    <t>sophie.martin26@edu.fr</t>
  </si>
  <si>
    <t>raj_kumar26</t>
  </si>
  <si>
    <t>raj.kumar26@company.in</t>
  </si>
  <si>
    <t>maria_g27</t>
  </si>
  <si>
    <t>maria.gonzalez27@email.mx</t>
  </si>
  <si>
    <t>yuki_k26</t>
  </si>
  <si>
    <t>yuki.kobayashi26@mail.jp</t>
  </si>
  <si>
    <t>kwame_a26</t>
  </si>
  <si>
    <t>kwame.asante26@email.gh</t>
  </si>
  <si>
    <t>anna_p26</t>
  </si>
  <si>
    <t>anna.petrova26@email.ru</t>
  </si>
  <si>
    <t>liam_obrien26</t>
  </si>
  <si>
    <t>liam.obrien26@company.ie</t>
  </si>
  <si>
    <t>ying_w26</t>
  </si>
  <si>
    <t>ying.wang26@mail.cn</t>
  </si>
  <si>
    <t>adeola_y26</t>
  </si>
  <si>
    <t>adeola.yusuf26@email.ng</t>
  </si>
  <si>
    <t>marco_b26</t>
  </si>
  <si>
    <t>marco.bianchi26@email.it</t>
  </si>
  <si>
    <t>jennifer_k26</t>
  </si>
  <si>
    <t>jennifer.kim26@email.com</t>
  </si>
  <si>
    <t>rahman_h26</t>
  </si>
  <si>
    <t>rahman.hussain26@company.pk</t>
  </si>
  <si>
    <t>sofia_m26</t>
  </si>
  <si>
    <t>sofia.martinez26@mail.es</t>
  </si>
  <si>
    <t>kenji_sato27</t>
  </si>
  <si>
    <t>kenji.sato27@edu.jp</t>
  </si>
  <si>
    <t>fatou_b26</t>
  </si>
  <si>
    <t>fatoumata.bello26@email.sn</t>
  </si>
  <si>
    <t>david_w26</t>
  </si>
  <si>
    <t>david.wilson26@company.co.uk</t>
  </si>
  <si>
    <t>lina_park26</t>
  </si>
  <si>
    <t>lina.park26@email.kr</t>
  </si>
  <si>
    <t>ahmed_alm26</t>
  </si>
  <si>
    <t>ahmed.almansoori26@email.ae</t>
  </si>
  <si>
    <t>maria_costa26</t>
  </si>
  <si>
    <t>maria.costa26@mail.com.br</t>
  </si>
  <si>
    <t>chinedu_n26</t>
  </si>
  <si>
    <t>chinedu.nwankwo26@company.ng</t>
  </si>
  <si>
    <t>isabelle_m26</t>
  </si>
  <si>
    <t>isabelle.moreau26@email.ca</t>
  </si>
  <si>
    <t>rahman_ali27</t>
  </si>
  <si>
    <t>rahman.ali27@mail.id</t>
  </si>
  <si>
    <t>sarah_j26</t>
  </si>
  <si>
    <t>sarah.johnson26@email.com</t>
  </si>
  <si>
    <t>wei_zhang26</t>
  </si>
  <si>
    <t>wei.zhang26@company.cn</t>
  </si>
  <si>
    <t>anna_k27</t>
  </si>
  <si>
    <t>anna.kowalski27@email.pl</t>
  </si>
  <si>
    <t>m_rahman27</t>
  </si>
  <si>
    <t>mohammed.rahman27@email.bd</t>
  </si>
  <si>
    <t>yumi_tanaka26</t>
  </si>
  <si>
    <t>yumi.tanaka26@edu.jp</t>
  </si>
  <si>
    <t>carlos_m26</t>
  </si>
  <si>
    <t>carlos.mendez26@mail.mx</t>
  </si>
  <si>
    <t>aisha_m27</t>
  </si>
  <si>
    <t>aisha.mohammed27@email.ke</t>
  </si>
  <si>
    <t>david_chen27</t>
  </si>
  <si>
    <t>david.chen27@company.sg</t>
  </si>
  <si>
    <t>maria_p27</t>
  </si>
  <si>
    <t>maria.papadopoulos27@email.gr</t>
  </si>
  <si>
    <t>j_wilson27</t>
  </si>
  <si>
    <t>james.wilson27@email.au</t>
  </si>
  <si>
    <t>f_zahra27</t>
  </si>
  <si>
    <t>fatima.zahra27@mail.pk</t>
  </si>
  <si>
    <t>kenji_y27</t>
  </si>
  <si>
    <t>kenji.yamada27@mail.jp</t>
  </si>
  <si>
    <t>ngozi_e27</t>
  </si>
  <si>
    <t>ngozi.eze27@company.ng</t>
  </si>
  <si>
    <t>thomas_s27</t>
  </si>
  <si>
    <t>thomas.schmidt27@email.de</t>
  </si>
  <si>
    <t>lina_c27</t>
  </si>
  <si>
    <t>lina.chen27@mail.cn</t>
  </si>
  <si>
    <t>ahmed_h27</t>
  </si>
  <si>
    <t>ahmed.hassan27@email.eg</t>
  </si>
  <si>
    <t>sophie_m27</t>
  </si>
  <si>
    <t>sophie.martin27@edu.fr</t>
  </si>
  <si>
    <t>raj_kumar27</t>
  </si>
  <si>
    <t>raj.kumar27@company.in</t>
  </si>
  <si>
    <t>maria_g28</t>
  </si>
  <si>
    <t>maria.gonzalez28@email.mx</t>
  </si>
  <si>
    <t>yuki_k27</t>
  </si>
  <si>
    <t>yuki.kobayashi27@mail.jp</t>
  </si>
  <si>
    <t>kwame_a27</t>
  </si>
  <si>
    <t>kwame.asante27@email.gh</t>
  </si>
  <si>
    <t>anna_p27</t>
  </si>
  <si>
    <t>anna.petrova27@email.ru</t>
  </si>
  <si>
    <t>liam_obrien27</t>
  </si>
  <si>
    <t>liam.obrien27@company.ie</t>
  </si>
  <si>
    <t>ying_w27</t>
  </si>
  <si>
    <t>ying.wang27@mail.cn</t>
  </si>
  <si>
    <t>adeola_y27</t>
  </si>
  <si>
    <t>adeola.yusuf27@email.ng</t>
  </si>
  <si>
    <t>marco_b27</t>
  </si>
  <si>
    <t>marco.bianchi27@email.it</t>
  </si>
  <si>
    <t>jennifer_k27</t>
  </si>
  <si>
    <t>jennifer.kim27@email.com</t>
  </si>
  <si>
    <t>rahman_h27</t>
  </si>
  <si>
    <t>rahman.hussain27@company.pk</t>
  </si>
  <si>
    <t>sofia_m27</t>
  </si>
  <si>
    <t>sofia.martinez27@mail.es</t>
  </si>
  <si>
    <t>kenji_sato28</t>
  </si>
  <si>
    <t>kenji.sato28@edu.jp</t>
  </si>
  <si>
    <t>fatou_b27</t>
  </si>
  <si>
    <t>fatoumata.bello27@email.sn</t>
  </si>
  <si>
    <t>david_w27</t>
  </si>
  <si>
    <t>david.wilson27@company.co.uk</t>
  </si>
  <si>
    <t>lina_park27</t>
  </si>
  <si>
    <t>lina.park27@email.kr</t>
  </si>
  <si>
    <t>ahmed_alm27</t>
  </si>
  <si>
    <t>ahmed.almansoori27@email.ae</t>
  </si>
  <si>
    <t>maria_costa27</t>
  </si>
  <si>
    <t>maria.costa27@mail.com.br</t>
  </si>
  <si>
    <t>chinedu_n27</t>
  </si>
  <si>
    <t>chinedu.nwankwo27@company.ng</t>
  </si>
  <si>
    <t>isabelle_m27</t>
  </si>
  <si>
    <t>isabelle.moreau27@email.ca</t>
  </si>
  <si>
    <t>rahman_ali28</t>
  </si>
  <si>
    <t>rahman.ali28@mail.id</t>
  </si>
  <si>
    <t>sarah_j27</t>
  </si>
  <si>
    <t>sarah.johnson27@email.com</t>
  </si>
  <si>
    <t>wei_zhang27</t>
  </si>
  <si>
    <t>wei.zhang27@company.cn</t>
  </si>
  <si>
    <t>anna_k28</t>
  </si>
  <si>
    <t>anna.kowalski28@email.pl</t>
  </si>
  <si>
    <t>m_rahman28</t>
  </si>
  <si>
    <t>mohammed.rahman28@email.bd</t>
  </si>
  <si>
    <t>yumi_tanaka27</t>
  </si>
  <si>
    <t>yumi.tanaka27@edu.jp</t>
  </si>
  <si>
    <t>carlos_m27</t>
  </si>
  <si>
    <t>carlos.mendez27@mail.mx</t>
  </si>
  <si>
    <t>aisha_m28</t>
  </si>
  <si>
    <t>aisha.mohammed28@email.ke</t>
  </si>
  <si>
    <t>david_chen28</t>
  </si>
  <si>
    <t>david.chen28@company.sg</t>
  </si>
  <si>
    <t>maria_p28</t>
  </si>
  <si>
    <t>maria.papadopoulos28@email.gr</t>
  </si>
  <si>
    <t>j_wilson28</t>
  </si>
  <si>
    <t>james.wilson28@email.au</t>
  </si>
  <si>
    <t>f_zahra28</t>
  </si>
  <si>
    <t>fatima.zahra28@mail.pk</t>
  </si>
  <si>
    <t>kenji_y28</t>
  </si>
  <si>
    <t>kenji.yamada28@mail.jp</t>
  </si>
  <si>
    <t>ngozi_e28</t>
  </si>
  <si>
    <t>ngozi.eze28@company.ng</t>
  </si>
  <si>
    <t>thomas_s28</t>
  </si>
  <si>
    <t>thomas.schmidt28@email.de</t>
  </si>
  <si>
    <t>lina_c28</t>
  </si>
  <si>
    <t>lina.chen28@mail.cn</t>
  </si>
  <si>
    <t>ahmed_h28</t>
  </si>
  <si>
    <t>ahmed.hassan28@email.eg</t>
  </si>
  <si>
    <t>sophie_m28</t>
  </si>
  <si>
    <t>sophie.martin28@edu.fr</t>
  </si>
  <si>
    <t>raj_kumar28</t>
  </si>
  <si>
    <t>raj.kumar28@company.in</t>
  </si>
  <si>
    <t>maria_g29</t>
  </si>
  <si>
    <t>maria.gonzalez29@email.mx</t>
  </si>
  <si>
    <t>yuki_k28</t>
  </si>
  <si>
    <t>yuki.kobayashi28@mail.jp</t>
  </si>
  <si>
    <t>kwame_a28</t>
  </si>
  <si>
    <t>kwame.asante28@email.gh</t>
  </si>
  <si>
    <t>anna_p28</t>
  </si>
  <si>
    <t>anna.petrova28@email.ru</t>
  </si>
  <si>
    <t>liam_obrien28</t>
  </si>
  <si>
    <t>liam.obrien28@company.ie</t>
  </si>
  <si>
    <t>ying_w28</t>
  </si>
  <si>
    <t>ying.wang28@mail.cn</t>
  </si>
  <si>
    <t>adeola_y28</t>
  </si>
  <si>
    <t>adeola.yusuf28@email.ng</t>
  </si>
  <si>
    <t>marco_b28</t>
  </si>
  <si>
    <t>marco.bianchi28@email.it</t>
  </si>
  <si>
    <t>jennifer_k28</t>
  </si>
  <si>
    <t>jennifer.kim28@email.com</t>
  </si>
  <si>
    <t>rahman_h28</t>
  </si>
  <si>
    <t>rahman.hussain28@company.pk</t>
  </si>
  <si>
    <t>sofia_m28</t>
  </si>
  <si>
    <t>sofia.martinez28@mail.es</t>
  </si>
  <si>
    <t>kenji_sato29</t>
  </si>
  <si>
    <t>kenji.sato29@edu.jp</t>
  </si>
  <si>
    <t>fatou_b28</t>
  </si>
  <si>
    <t>fatoumata.bello28@email.sn</t>
  </si>
  <si>
    <t>david_w28</t>
  </si>
  <si>
    <t>david.wilson28@company.co.uk</t>
  </si>
  <si>
    <t>lina_park28</t>
  </si>
  <si>
    <t>lina.park28@email.kr</t>
  </si>
  <si>
    <t>ahmed_alm28</t>
  </si>
  <si>
    <t>ahmed.almansoori28@email.ae</t>
  </si>
  <si>
    <t>maria_costa28</t>
  </si>
  <si>
    <t>maria.costa28@mail.com.br</t>
  </si>
  <si>
    <t>chinedu_n28</t>
  </si>
  <si>
    <t>chinedu.nwankwo28@company.ng</t>
  </si>
  <si>
    <t>isabelle_m28</t>
  </si>
  <si>
    <t>isabelle.moreau28@email.ca</t>
  </si>
  <si>
    <t>rahman_ali29</t>
  </si>
  <si>
    <t>rahman.ali29@mail.id</t>
  </si>
  <si>
    <t>sarah_j28</t>
  </si>
  <si>
    <t>sarah.johnson28@email.com</t>
  </si>
  <si>
    <t>wei_zhang28</t>
  </si>
  <si>
    <t>wei.zhang28@company.cn</t>
  </si>
  <si>
    <t>anna_k29</t>
  </si>
  <si>
    <t>anna.kowalski29@email.pl</t>
  </si>
  <si>
    <t>m_rahman29</t>
  </si>
  <si>
    <t>mohammed.rahman29@email.bd</t>
  </si>
  <si>
    <t>yumi_tanaka28</t>
  </si>
  <si>
    <t>yumi.tanaka28@edu.jp</t>
  </si>
  <si>
    <t>carlos_m28</t>
  </si>
  <si>
    <t>carlos.mendez28@mail.mx</t>
  </si>
  <si>
    <t>aisha_m29</t>
  </si>
  <si>
    <t>aisha.mohammed29@email.ke</t>
  </si>
  <si>
    <t>david_chen29</t>
  </si>
  <si>
    <t>david.chen29@company.sg</t>
  </si>
  <si>
    <t>maria_p29</t>
  </si>
  <si>
    <t>maria.papadopoulos29@email.gr</t>
  </si>
  <si>
    <t>j_wilson29</t>
  </si>
  <si>
    <t>james.wilson29@email.au</t>
  </si>
  <si>
    <t>f_zahra29</t>
  </si>
  <si>
    <t>fatima.zahra29@mail.pk</t>
  </si>
  <si>
    <t>kenji_y29</t>
  </si>
  <si>
    <t>kenji.yamada29@mail.jp</t>
  </si>
  <si>
    <t>ngozi_e29</t>
  </si>
  <si>
    <t>ngozi.eze29@company.ng</t>
  </si>
  <si>
    <t>thomas_s29</t>
  </si>
  <si>
    <t>thomas.schmidt29@email.de</t>
  </si>
  <si>
    <t>lina_c29</t>
  </si>
  <si>
    <t>lina.chen29@mail.cn</t>
  </si>
  <si>
    <t>ahmed_h29</t>
  </si>
  <si>
    <t>ahmed.hassan29@email.eg</t>
  </si>
  <si>
    <t>sophie_m29</t>
  </si>
  <si>
    <t>sophie.martin29@edu.fr</t>
  </si>
  <si>
    <t>raj_kumar29</t>
  </si>
  <si>
    <t>raj.kumar29@company.in</t>
  </si>
  <si>
    <t>maria_g30</t>
  </si>
  <si>
    <t>maria.gonzalez30@email.mx</t>
  </si>
  <si>
    <t>yuki_k29</t>
  </si>
  <si>
    <t>yuki.kobayashi29@mail.jp</t>
  </si>
  <si>
    <t>kwame_a29</t>
  </si>
  <si>
    <t>kwame.asante29@email.gh</t>
  </si>
  <si>
    <t>anna_p29</t>
  </si>
  <si>
    <t>anna.petrova29@email.ru</t>
  </si>
  <si>
    <t>liam_obrien29</t>
  </si>
  <si>
    <t>liam.obrien29@company.ie</t>
  </si>
  <si>
    <t>ying_w29</t>
  </si>
  <si>
    <t>ying.wang29@mail.cn</t>
  </si>
  <si>
    <t>adeola_y29</t>
  </si>
  <si>
    <t>adeola.yusuf29@email.ng</t>
  </si>
  <si>
    <t>marco_b29</t>
  </si>
  <si>
    <t>marco.bianchi29@email.it</t>
  </si>
  <si>
    <t>jennifer_k29</t>
  </si>
  <si>
    <t>jennifer.kim29@email.com</t>
  </si>
  <si>
    <t>rahman_h29</t>
  </si>
  <si>
    <t>rahman.hussain29@company.pk</t>
  </si>
  <si>
    <t>sofia_m29</t>
  </si>
  <si>
    <t>sofia.martinez29@mail.es</t>
  </si>
  <si>
    <t>kenji_sato30</t>
  </si>
  <si>
    <t>kenji.sato30@edu.jp</t>
  </si>
  <si>
    <t>fatou_b29</t>
  </si>
  <si>
    <t>fatoumata.bello29@email.sn</t>
  </si>
  <si>
    <t>david_w29</t>
  </si>
  <si>
    <t>david.wilson29@company.co.uk</t>
  </si>
  <si>
    <t>lina_park29</t>
  </si>
  <si>
    <t>lina.park29@email.kr</t>
  </si>
  <si>
    <t>ahmed_alm29</t>
  </si>
  <si>
    <t>ahmed.almansoori29@email.ae</t>
  </si>
  <si>
    <t>maria_costa29</t>
  </si>
  <si>
    <t>maria.costa29@mail.com.br</t>
  </si>
  <si>
    <t>chinedu_n29</t>
  </si>
  <si>
    <t>chinedu.nwankwo29@company.ng</t>
  </si>
  <si>
    <t>isabelle_m29</t>
  </si>
  <si>
    <t>isabelle.moreau29@email.ca</t>
  </si>
  <si>
    <t>rahman_ali30</t>
  </si>
  <si>
    <t>rahman.ali30@mail.id</t>
  </si>
  <si>
    <t>sarah_j29</t>
  </si>
  <si>
    <t>sarah.johnson29@email.com</t>
  </si>
  <si>
    <t>wei_zhang29</t>
  </si>
  <si>
    <t>wei.zhang29@company.cn</t>
  </si>
  <si>
    <t>anna_k30</t>
  </si>
  <si>
    <t>anna.kowalski30@email.pl</t>
  </si>
  <si>
    <t>m_rahman30</t>
  </si>
  <si>
    <t>mohammed.rahman30@email.bd</t>
  </si>
  <si>
    <t>yumi_tanaka29</t>
  </si>
  <si>
    <t>yumi.tanaka29@edu.jp</t>
  </si>
  <si>
    <t>carlos_m29</t>
  </si>
  <si>
    <t>carlos.mendez29@mail.mx</t>
  </si>
  <si>
    <t>aisha_m30</t>
  </si>
  <si>
    <t>aisha.mohammed30@email.ke</t>
  </si>
  <si>
    <t>david_chen30</t>
  </si>
  <si>
    <t>david.chen30@company.sg</t>
  </si>
  <si>
    <t>maria_p30</t>
  </si>
  <si>
    <t>maria.papadopoulos30@email.gr</t>
  </si>
  <si>
    <t>j_wilson30</t>
  </si>
  <si>
    <t>james.wilson30@email.au</t>
  </si>
  <si>
    <t>f_zahra30</t>
  </si>
  <si>
    <t>fatima.zahra30@mail.pk</t>
  </si>
  <si>
    <t>kenji_y30</t>
  </si>
  <si>
    <t>kenji.yamada30@mail.jp</t>
  </si>
  <si>
    <t>ngozi_e30</t>
  </si>
  <si>
    <t>ngozi.eze30@company.ng</t>
  </si>
  <si>
    <t>thomas_s30</t>
  </si>
  <si>
    <t>thomas.schmidt30@email.de</t>
  </si>
  <si>
    <t>lina_c30</t>
  </si>
  <si>
    <t>lina.chen30@mail.cn</t>
  </si>
  <si>
    <t>ahmed_h30</t>
  </si>
  <si>
    <t>ahmed.hassan30@email.eg</t>
  </si>
  <si>
    <t>sophie_m30</t>
  </si>
  <si>
    <t>sophie.martin30@edu.fr</t>
  </si>
  <si>
    <t>raj_kumar30</t>
  </si>
  <si>
    <t>raj.kumar30@company.in</t>
  </si>
  <si>
    <t>maria_g31</t>
  </si>
  <si>
    <t>maria.gonzalez31@email.mx</t>
  </si>
  <si>
    <t>yuki_k30</t>
  </si>
  <si>
    <t>yuki.kobayashi30@mail.jp</t>
  </si>
  <si>
    <t>kwame_a30</t>
  </si>
  <si>
    <t>kwame.asante30@email.gh</t>
  </si>
  <si>
    <t>anna_p30</t>
  </si>
  <si>
    <t>anna.petrova30@email.ru</t>
  </si>
  <si>
    <t>liam_obrien30</t>
  </si>
  <si>
    <t>liam.obrien30@company.ie</t>
  </si>
  <si>
    <t>ying_w30</t>
  </si>
  <si>
    <t>ying.wang30@mail.cn</t>
  </si>
  <si>
    <t>adeola_y30</t>
  </si>
  <si>
    <t>adeola.yusuf30@email.ng</t>
  </si>
  <si>
    <t>marco_b30</t>
  </si>
  <si>
    <t>marco.bianchi30@email.it</t>
  </si>
  <si>
    <t>jennifer_k30</t>
  </si>
  <si>
    <t>jennifer.kim30@email.com</t>
  </si>
  <si>
    <t>rahman_h30</t>
  </si>
  <si>
    <t>rahman.hussain30@company.pk</t>
  </si>
  <si>
    <t>sofia_m30</t>
  </si>
  <si>
    <t>sofia.martinez30@mail.es</t>
  </si>
  <si>
    <t>kenji_sato31</t>
  </si>
  <si>
    <t>kenji.sato31@edu.jp</t>
  </si>
  <si>
    <t>fatou_b30</t>
  </si>
  <si>
    <t>fatoumata.bello30@email.sn</t>
  </si>
  <si>
    <t>david_w30</t>
  </si>
  <si>
    <t>david.wilson30@company.co.uk</t>
  </si>
  <si>
    <t>lina_park30</t>
  </si>
  <si>
    <t>lina.park30@email.kr</t>
  </si>
  <si>
    <t>ahmed_alm30</t>
  </si>
  <si>
    <t>ahmed.almansoori30@email.ae</t>
  </si>
  <si>
    <t>maria_costa30</t>
  </si>
  <si>
    <t>maria.costa30@mail.com.br</t>
  </si>
  <si>
    <t>chinedu_n30</t>
  </si>
  <si>
    <t>chinedu.nwankwo30@company.ng</t>
  </si>
  <si>
    <t>isabelle_m30</t>
  </si>
  <si>
    <t>isabelle.moreau30@email.ca</t>
  </si>
  <si>
    <t>rahman_ali31</t>
  </si>
  <si>
    <t>rahman.ali31@mail.id</t>
  </si>
  <si>
    <t>sarah_j30</t>
  </si>
  <si>
    <t>sarah.johnson30@email.com</t>
  </si>
  <si>
    <t>wei_zhang30</t>
  </si>
  <si>
    <t>wei.zhang30@company.cn</t>
  </si>
  <si>
    <t>anna_k31</t>
  </si>
  <si>
    <t>anna.kowalski31@email.pl</t>
  </si>
  <si>
    <t>m_rahman31</t>
  </si>
  <si>
    <t>mohammed.rahman31@email.bd</t>
  </si>
  <si>
    <t>yumi_tanaka30</t>
  </si>
  <si>
    <t>yumi.tanaka30@edu.jp</t>
  </si>
  <si>
    <t>carlos_m30</t>
  </si>
  <si>
    <t>carlos.mendez30@mail.mx</t>
  </si>
  <si>
    <t>aisha_m31</t>
  </si>
  <si>
    <t>aisha.mohammed31@email.ke</t>
  </si>
  <si>
    <t>david_chen31</t>
  </si>
  <si>
    <t>david.chen31@company.sg</t>
  </si>
  <si>
    <t>maria_p31</t>
  </si>
  <si>
    <t>maria.papadopoulos31@email.gr</t>
  </si>
  <si>
    <t>j_wilson31</t>
  </si>
  <si>
    <t>james.wilson31@email.au</t>
  </si>
  <si>
    <t>f_zahra31</t>
  </si>
  <si>
    <t>fatima.zahra31@mail.pk</t>
  </si>
  <si>
    <t>kenji_y31</t>
  </si>
  <si>
    <t>kenji.yamada31@mail.jp</t>
  </si>
  <si>
    <t>ngozi_e31</t>
  </si>
  <si>
    <t>ngozi.eze31@company.ng</t>
  </si>
  <si>
    <t>thomas_s31</t>
  </si>
  <si>
    <t>thomas.schmidt31@email.de</t>
  </si>
  <si>
    <t>lina_c31</t>
  </si>
  <si>
    <t>lina.chen31@mail.cn</t>
  </si>
  <si>
    <t>ahmed_h31</t>
  </si>
  <si>
    <t>ahmed.hassan31@email.eg</t>
  </si>
  <si>
    <t>sophie_m31</t>
  </si>
  <si>
    <t>sophie.martin31@edu.fr</t>
  </si>
  <si>
    <t>raj_kumar31</t>
  </si>
  <si>
    <t>raj.kumar31@company.in</t>
  </si>
  <si>
    <t>maria_g32</t>
  </si>
  <si>
    <t>maria.gonzalez32@email.mx</t>
  </si>
  <si>
    <t>yuki_k31</t>
  </si>
  <si>
    <t>yuki.kobayashi31@mail.jp</t>
  </si>
  <si>
    <t>kwame_a31</t>
  </si>
  <si>
    <t>kwame.asante31@email.gh</t>
  </si>
  <si>
    <t>anna_p31</t>
  </si>
  <si>
    <t>anna.petrova31@email.ru</t>
  </si>
  <si>
    <t>liam_obrien31</t>
  </si>
  <si>
    <t>liam.obrien31@company.ie</t>
  </si>
  <si>
    <t>ying_w31</t>
  </si>
  <si>
    <t>ying.wang31@mail.cn</t>
  </si>
  <si>
    <t>adeola_y31</t>
  </si>
  <si>
    <t>adeola.yusuf31@email.ng</t>
  </si>
  <si>
    <t>marco_b31</t>
  </si>
  <si>
    <t>marco.bianchi31@email.it</t>
  </si>
  <si>
    <t>jennifer_k31</t>
  </si>
  <si>
    <t>jennifer.kim31@email.com</t>
  </si>
  <si>
    <t>rahman_h31</t>
  </si>
  <si>
    <t>rahman.hussain31@company.pk</t>
  </si>
  <si>
    <t>sofia_m31</t>
  </si>
  <si>
    <t>sofia.martinez31@mail.es</t>
  </si>
  <si>
    <t>kenji_sato32</t>
  </si>
  <si>
    <t>kenji.sato32@edu.jp</t>
  </si>
  <si>
    <t>fatou_b31</t>
  </si>
  <si>
    <t>fatoumata.bello31@email.sn</t>
  </si>
  <si>
    <t>david_w31</t>
  </si>
  <si>
    <t>david.wilson31@company.co.uk</t>
  </si>
  <si>
    <t>lina_park31</t>
  </si>
  <si>
    <t>lina.park31@email.kr</t>
  </si>
  <si>
    <t>ahmed_alm31</t>
  </si>
  <si>
    <t>ahmed.almansoori31@email.ae</t>
  </si>
  <si>
    <t>maria_costa31</t>
  </si>
  <si>
    <t>maria.costa31@mail.com.br</t>
  </si>
  <si>
    <t>chinedu_n31</t>
  </si>
  <si>
    <t>chinedu.nwankwo31@company.ng</t>
  </si>
  <si>
    <t>isabelle_m31</t>
  </si>
  <si>
    <t>isabelle.moreau31@email.ca</t>
  </si>
  <si>
    <t>rahman_ali32</t>
  </si>
  <si>
    <t>rahman.ali32@mail.id</t>
  </si>
  <si>
    <t>sarah_j31</t>
  </si>
  <si>
    <t>sarah.johnson31@email.com</t>
  </si>
  <si>
    <t>wei_zhang31</t>
  </si>
  <si>
    <t>wei.zhang31@company.cn</t>
  </si>
  <si>
    <t>anna_k32</t>
  </si>
  <si>
    <t>anna.kowalski32@email.pl</t>
  </si>
  <si>
    <t>m_rahman32</t>
  </si>
  <si>
    <t>mohammed.rahman32@email.bd</t>
  </si>
  <si>
    <t>yumi_tanaka31</t>
  </si>
  <si>
    <t>yumi.tanaka31@edu.jp</t>
  </si>
  <si>
    <t>carlos_m31</t>
  </si>
  <si>
    <t>carlos.mendez31@mail.mx</t>
  </si>
  <si>
    <t>aisha_m32</t>
  </si>
  <si>
    <t>aisha.mohammed32@email.ke</t>
  </si>
  <si>
    <t>david_chen32</t>
  </si>
  <si>
    <t>david.chen32@company.sg</t>
  </si>
  <si>
    <t>maria_p32</t>
  </si>
  <si>
    <t>maria.papadopoulos32@email.gr</t>
  </si>
  <si>
    <t>j_wilson32</t>
  </si>
  <si>
    <t>james.wilson32@email.au</t>
  </si>
  <si>
    <t>f_zahra32</t>
  </si>
  <si>
    <t>fatima.zahra32@mail.pk</t>
  </si>
  <si>
    <t>kenji_y32</t>
  </si>
  <si>
    <t>kenji.yamada32@mail.jp</t>
  </si>
  <si>
    <t>ngozi_e32</t>
  </si>
  <si>
    <t>ngozi.eze32@company.ng</t>
  </si>
  <si>
    <t>thomas_s32</t>
  </si>
  <si>
    <t>thomas.schmidt32@email.de</t>
  </si>
  <si>
    <t>lina_c32</t>
  </si>
  <si>
    <t>lina.chen32@mail.cn</t>
  </si>
  <si>
    <t>ahmed_h32</t>
  </si>
  <si>
    <t>ahmed.hassan32@email.eg</t>
  </si>
  <si>
    <t>sophie_m32</t>
  </si>
  <si>
    <t>sophie.martin32@edu.fr</t>
  </si>
  <si>
    <t>raj_kumar32</t>
  </si>
  <si>
    <t>raj.kumar32@company.in</t>
  </si>
  <si>
    <t>maria_g33</t>
  </si>
  <si>
    <t>maria.gonzalez33@email.mx</t>
  </si>
  <si>
    <t>yuki_k32</t>
  </si>
  <si>
    <t>yuki.kobayashi32@mail.jp</t>
  </si>
  <si>
    <t>kwame_a32</t>
  </si>
  <si>
    <t>kwame.asante32@email.gh</t>
  </si>
  <si>
    <t>anna_p32</t>
  </si>
  <si>
    <t>anna.petrova32@email.ru</t>
  </si>
  <si>
    <t>liam_obrien32</t>
  </si>
  <si>
    <t>liam.obrien32@company.ie</t>
  </si>
  <si>
    <t>ying_w32</t>
  </si>
  <si>
    <t>ying.wang32@mail.cn</t>
  </si>
  <si>
    <t>adeola_y32</t>
  </si>
  <si>
    <t>adeola.yusuf32@email.ng</t>
  </si>
  <si>
    <t>marco_b32</t>
  </si>
  <si>
    <t>marco.bianchi32@email.it</t>
  </si>
  <si>
    <t>jennifer_k32</t>
  </si>
  <si>
    <t>jennifer.kim32@email.com</t>
  </si>
  <si>
    <t>rahman_h32</t>
  </si>
  <si>
    <t>rahman.hussain32@company.pk</t>
  </si>
  <si>
    <t>sofia_m32</t>
  </si>
  <si>
    <t>sofia.martinez32@mail.es</t>
  </si>
  <si>
    <t>kenji_sato33</t>
  </si>
  <si>
    <t>kenji.sato33@edu.jp</t>
  </si>
  <si>
    <t>fatou_b32</t>
  </si>
  <si>
    <t>fatoumata.bello32@email.sn</t>
  </si>
  <si>
    <t>david_w32</t>
  </si>
  <si>
    <t>david.wilson32@company.co.uk</t>
  </si>
  <si>
    <t>lina_park32</t>
  </si>
  <si>
    <t>lina.park32@email.kr</t>
  </si>
  <si>
    <t>ahmed_alm32</t>
  </si>
  <si>
    <t>ahmed.almansoori32@email.ae</t>
  </si>
  <si>
    <t>maria_costa32</t>
  </si>
  <si>
    <t>maria.costa32@mail.com.br</t>
  </si>
  <si>
    <t>chinedu_n32</t>
  </si>
  <si>
    <t>chinedu.nwankwo32@company.ng</t>
  </si>
  <si>
    <t>isabelle_m32</t>
  </si>
  <si>
    <t>isabelle.moreau32@email.ca</t>
  </si>
  <si>
    <t>rahman_ali33</t>
  </si>
  <si>
    <t>rahman.ali33@mail.id</t>
  </si>
  <si>
    <t>sarah_j32</t>
  </si>
  <si>
    <t>sarah.johnson32@email.com</t>
  </si>
  <si>
    <t>wei_zhang32</t>
  </si>
  <si>
    <t>wei.zhang32@company.cn</t>
  </si>
  <si>
    <t>anna_k33</t>
  </si>
  <si>
    <t>anna.kowalski33@email.pl</t>
  </si>
  <si>
    <t>m_rahman33</t>
  </si>
  <si>
    <t>mohammed.rahman33@email.bd</t>
  </si>
  <si>
    <t>yumi_tanaka32</t>
  </si>
  <si>
    <t>yumi.tanaka32@edu.jp</t>
  </si>
  <si>
    <t>carlos_m32</t>
  </si>
  <si>
    <t>carlos.mendez32@mail.mx</t>
  </si>
  <si>
    <t>aisha_m33</t>
  </si>
  <si>
    <t>aisha.mohammed33@email.ke</t>
  </si>
  <si>
    <t>david_chen33</t>
  </si>
  <si>
    <t>david.chen33@company.sg</t>
  </si>
  <si>
    <t>maria_p33</t>
  </si>
  <si>
    <t>maria.papadopoulos33@email.gr</t>
  </si>
  <si>
    <t>j_wilson33</t>
  </si>
  <si>
    <t>james.wilson33@email.au</t>
  </si>
  <si>
    <t>f_zahra33</t>
  </si>
  <si>
    <t>fatima.zahra33@mail.pk</t>
  </si>
  <si>
    <t>kenji_y33</t>
  </si>
  <si>
    <t>kenji.yamada33@mail.jp</t>
  </si>
  <si>
    <t>ngozi_e33</t>
  </si>
  <si>
    <t>ngozi.eze33@company.ng</t>
  </si>
  <si>
    <t>thomas_s33</t>
  </si>
  <si>
    <t>thomas.schmidt33@email.de</t>
  </si>
  <si>
    <t>lina_c33</t>
  </si>
  <si>
    <t>lina.chen33@mail.cn</t>
  </si>
  <si>
    <t>ahmed_h33</t>
  </si>
  <si>
    <t>ahmed.hassan33@email.eg</t>
  </si>
  <si>
    <t>sophie_m33</t>
  </si>
  <si>
    <t>sophie.martin33@edu.fr</t>
  </si>
  <si>
    <t>raj_kumar33</t>
  </si>
  <si>
    <t>raj.kumar33@company.in</t>
  </si>
  <si>
    <t>maria_g34</t>
  </si>
  <si>
    <t>maria.gonzalez34@email.mx</t>
  </si>
  <si>
    <t>yuki_k33</t>
  </si>
  <si>
    <t>yuki.kobayashi33@mail.jp</t>
  </si>
  <si>
    <t>kwame_a33</t>
  </si>
  <si>
    <t>kwame.asante33@email.gh</t>
  </si>
  <si>
    <t>anna_p33</t>
  </si>
  <si>
    <t>anna.petrova33@email.ru</t>
  </si>
  <si>
    <t>liam_obrien33</t>
  </si>
  <si>
    <t>liam.obrien33@company.ie</t>
  </si>
  <si>
    <t>ying_w33</t>
  </si>
  <si>
    <t>ying.wang33@mail.cn</t>
  </si>
  <si>
    <t>adeola_y33</t>
  </si>
  <si>
    <t>adeola.yusuf33@email.ng</t>
  </si>
  <si>
    <t>marco_b33</t>
  </si>
  <si>
    <t>marco.bianchi33@email.it</t>
  </si>
  <si>
    <t>jennifer_k33</t>
  </si>
  <si>
    <t>jennifer.kim33@email.com</t>
  </si>
  <si>
    <t>rahman_h33</t>
  </si>
  <si>
    <t>rahman.hussain33@company.pk</t>
  </si>
  <si>
    <t>sofia_m33</t>
  </si>
  <si>
    <t>sofia.martinez33@mail.es</t>
  </si>
  <si>
    <t>kenji_sato34</t>
  </si>
  <si>
    <t>kenji.sato34@edu.jp</t>
  </si>
  <si>
    <t>fatou_b33</t>
  </si>
  <si>
    <t>fatoumata.bello33@email.sn</t>
  </si>
  <si>
    <t>david_w33</t>
  </si>
  <si>
    <t>david.wilson33@company.co.uk</t>
  </si>
  <si>
    <t>lina_park33</t>
  </si>
  <si>
    <t>lina.park33@email.kr</t>
  </si>
  <si>
    <t>ahmed_alm33</t>
  </si>
  <si>
    <t>ahmed.almansoori33@email.ae</t>
  </si>
  <si>
    <t>maria_costa33</t>
  </si>
  <si>
    <t>maria.costa33@mail.com.br</t>
  </si>
  <si>
    <t>chinedu_n33</t>
  </si>
  <si>
    <t>chinedu.nwankwo33@company.ng</t>
  </si>
  <si>
    <t>isabelle_m33</t>
  </si>
  <si>
    <t>isabelle.moreau33@email.ca</t>
  </si>
  <si>
    <t>rahman_ali34</t>
  </si>
  <si>
    <t>rahman.ali34@mail.id</t>
  </si>
  <si>
    <t>sarah_j33</t>
  </si>
  <si>
    <t>sarah.johnson33@email.com</t>
  </si>
  <si>
    <t>wei_zhang33</t>
  </si>
  <si>
    <t>wei.zhang33@company.cn</t>
  </si>
  <si>
    <t>anna_k34</t>
  </si>
  <si>
    <t>anna.kowalski34@email.pl</t>
  </si>
  <si>
    <t>m_rahman34</t>
  </si>
  <si>
    <t>mohammed.rahman34@email.bd</t>
  </si>
  <si>
    <t>yumi_tanaka33</t>
  </si>
  <si>
    <t>yumi.tanaka33@edu.jp</t>
  </si>
  <si>
    <t>carlos_m33</t>
  </si>
  <si>
    <t>carlos.mendez33@mail.mx</t>
  </si>
  <si>
    <t>aisha_m34</t>
  </si>
  <si>
    <t>aisha.mohammed34@email.ke</t>
  </si>
  <si>
    <t>david_chen34</t>
  </si>
  <si>
    <t>david.chen34@company.sg</t>
  </si>
  <si>
    <t>maria_p34</t>
  </si>
  <si>
    <t>maria.papadopoulos34@email.gr</t>
  </si>
  <si>
    <t>j_wilson34</t>
  </si>
  <si>
    <t>james.wilson34@email.au</t>
  </si>
  <si>
    <t>f_zahra34</t>
  </si>
  <si>
    <t>fatima.zahra34@mail.pk</t>
  </si>
  <si>
    <t>kenji_y34</t>
  </si>
  <si>
    <t>kenji.yamada34@mail.jp</t>
  </si>
  <si>
    <t>ngozi_e34</t>
  </si>
  <si>
    <t>ngozi.eze34@company.ng</t>
  </si>
  <si>
    <t>thomas_s34</t>
  </si>
  <si>
    <t>thomas.schmidt34@email.de</t>
  </si>
  <si>
    <t>lina_c34</t>
  </si>
  <si>
    <t>lina.chen34@mail.cn</t>
  </si>
  <si>
    <t>ahmed_h34</t>
  </si>
  <si>
    <t>ahmed.hassan34@email.eg</t>
  </si>
  <si>
    <t>sophie_m34</t>
  </si>
  <si>
    <t>sophie.martin34@edu.fr</t>
  </si>
  <si>
    <t>raj_kumar34</t>
  </si>
  <si>
    <t>raj.kumar34@company.in</t>
  </si>
  <si>
    <t>maria_g35</t>
  </si>
  <si>
    <t>maria.gonzalez35@email.mx</t>
  </si>
  <si>
    <t>yuki_k34</t>
  </si>
  <si>
    <t>yuki.kobayashi34@mail.jp</t>
  </si>
  <si>
    <t>kwame_a34</t>
  </si>
  <si>
    <t>kwame.asante34@email.gh</t>
  </si>
  <si>
    <t>anna_p34</t>
  </si>
  <si>
    <t>anna.petrova34@email.ru</t>
  </si>
  <si>
    <t>liam_obrien34</t>
  </si>
  <si>
    <t>liam.obrien34@company.ie</t>
  </si>
  <si>
    <t>ying_w34</t>
  </si>
  <si>
    <t>ying.wang34@mail.cn</t>
  </si>
  <si>
    <t>adeola_y34</t>
  </si>
  <si>
    <t>adeola.yusuf34@email.ng</t>
  </si>
  <si>
    <t>marco_b34</t>
  </si>
  <si>
    <t>marco.bianchi34@email.it</t>
  </si>
  <si>
    <t>jennifer_k34</t>
  </si>
  <si>
    <t>jennifer.kim34@email.com</t>
  </si>
  <si>
    <t>rahman_h34</t>
  </si>
  <si>
    <t>rahman.hussain34@company.pk</t>
  </si>
  <si>
    <t>sofia_m34</t>
  </si>
  <si>
    <t>sofia.martinez34@mail.es</t>
  </si>
  <si>
    <t>kenji_sato35</t>
  </si>
  <si>
    <t>kenji.sato35@edu.jp</t>
  </si>
  <si>
    <t>fatou_b34</t>
  </si>
  <si>
    <t>fatoumata.bello34@email.sn</t>
  </si>
  <si>
    <t>david_w34</t>
  </si>
  <si>
    <t>david.wilson34@company.co.uk</t>
  </si>
  <si>
    <t>lina_park34</t>
  </si>
  <si>
    <t>lina.park34@email.kr</t>
  </si>
  <si>
    <t>ahmed_alm34</t>
  </si>
  <si>
    <t>ahmed.almansoori34@email.ae</t>
  </si>
  <si>
    <t>maria_costa34</t>
  </si>
  <si>
    <t>maria.costa34@mail.com.br</t>
  </si>
  <si>
    <t>chinedu_n34</t>
  </si>
  <si>
    <t>chinedu.nwankwo34@company.ng</t>
  </si>
  <si>
    <t>isabelle_m34</t>
  </si>
  <si>
    <t>isabelle.moreau34@email.ca</t>
  </si>
  <si>
    <t>rahman_ali35</t>
  </si>
  <si>
    <t>rahman.ali35@mail.id</t>
  </si>
  <si>
    <t>sarah_j34</t>
  </si>
  <si>
    <t>sarah.johnson34@email.com</t>
  </si>
  <si>
    <t>wei_zhang34</t>
  </si>
  <si>
    <t>wei.zhang34@company.cn</t>
  </si>
  <si>
    <t>anna_k35</t>
  </si>
  <si>
    <t>anna.kowalski35@email.pl</t>
  </si>
  <si>
    <t>m_rahman35</t>
  </si>
  <si>
    <t>mohammed.rahman35@email.bd</t>
  </si>
  <si>
    <t>yumi_tanaka34</t>
  </si>
  <si>
    <t>yumi.tanaka34@edu.jp</t>
  </si>
  <si>
    <t>carlos_m34</t>
  </si>
  <si>
    <t>carlos.mendez34@mail.mx</t>
  </si>
  <si>
    <t>aisha_m35</t>
  </si>
  <si>
    <t>aisha.mohammed35@email.ke</t>
  </si>
  <si>
    <t>david_chen35</t>
  </si>
  <si>
    <t>david.chen35@company.sg</t>
  </si>
  <si>
    <t>maria_p35</t>
  </si>
  <si>
    <t>maria.papadopoulos35@email.gr</t>
  </si>
  <si>
    <t>j_wilson35</t>
  </si>
  <si>
    <t>james.wilson35@email.au</t>
  </si>
  <si>
    <t>f_zahra35</t>
  </si>
  <si>
    <t>fatima.zahra35@mail.pk</t>
  </si>
  <si>
    <t>kenji_y35</t>
  </si>
  <si>
    <t>kenji.yamada35@mail.jp</t>
  </si>
  <si>
    <t>ngozi_e35</t>
  </si>
  <si>
    <t>ngozi.eze35@company.ng</t>
  </si>
  <si>
    <t>thomas_s35</t>
  </si>
  <si>
    <t>thomas.schmidt35@email.de</t>
  </si>
  <si>
    <t>lina_c35</t>
  </si>
  <si>
    <t>lina.chen35@mail.cn</t>
  </si>
  <si>
    <t>ahmed_h35</t>
  </si>
  <si>
    <t>ahmed.hassan35@email.eg</t>
  </si>
  <si>
    <t>sophie_m35</t>
  </si>
  <si>
    <t>sophie.martin35@edu.fr</t>
  </si>
  <si>
    <t>raj_kumar35</t>
  </si>
  <si>
    <t>raj.kumar35@company.in</t>
  </si>
  <si>
    <t>maria_g36</t>
  </si>
  <si>
    <t>maria.gonzalez36@email.mx</t>
  </si>
  <si>
    <t>yuki_k35</t>
  </si>
  <si>
    <t>yuki.kobayashi35@mail.jp</t>
  </si>
  <si>
    <t>kwame_a35</t>
  </si>
  <si>
    <t>kwame.asante35@email.gh</t>
  </si>
  <si>
    <t>anna_p35</t>
  </si>
  <si>
    <t>anna.petrova35@email.ru</t>
  </si>
  <si>
    <t>liam_obrien35</t>
  </si>
  <si>
    <t>liam.obrien35@company.ie</t>
  </si>
  <si>
    <t>ying_w35</t>
  </si>
  <si>
    <t>ying.wang35@mail.cn</t>
  </si>
  <si>
    <t>adeola_y35</t>
  </si>
  <si>
    <t>adeola.yusuf35@email.ng</t>
  </si>
  <si>
    <t>marco_b35</t>
  </si>
  <si>
    <t>marco.bianchi35@email.it</t>
  </si>
  <si>
    <t>jennifer_k35</t>
  </si>
  <si>
    <t>jennifer.kim35@email.com</t>
  </si>
  <si>
    <t>rahman_h35</t>
  </si>
  <si>
    <t>rahman.hussain35@company.pk</t>
  </si>
  <si>
    <t>sofia_m35</t>
  </si>
  <si>
    <t>sofia.martinez35@mail.es</t>
  </si>
  <si>
    <t>kenji_sato36</t>
  </si>
  <si>
    <t>kenji.sato36@edu.jp</t>
  </si>
  <si>
    <t>fatou_b35</t>
  </si>
  <si>
    <t>fatoumata.bello35@email.sn</t>
  </si>
  <si>
    <t>david_w35</t>
  </si>
  <si>
    <t>david.wilson35@company.co.uk</t>
  </si>
  <si>
    <t>lina_park35</t>
  </si>
  <si>
    <t>lina.park35@email.kr</t>
  </si>
  <si>
    <t>ahmed_alm35</t>
  </si>
  <si>
    <t>ahmed.almansoori35@email.ae</t>
  </si>
  <si>
    <t>maria_costa35</t>
  </si>
  <si>
    <t>maria.costa35@mail.com.br</t>
  </si>
  <si>
    <t>chinedu_n35</t>
  </si>
  <si>
    <t>chinedu.nwankwo35@company.ng</t>
  </si>
  <si>
    <t>isabelle_m35</t>
  </si>
  <si>
    <t>isabelle.moreau35@email.ca</t>
  </si>
  <si>
    <t>rahman_ali36</t>
  </si>
  <si>
    <t>rahman.ali36@mail.id</t>
  </si>
  <si>
    <t>sarah_j35</t>
  </si>
  <si>
    <t>sarah.johnson35@email.com</t>
  </si>
  <si>
    <t>wei_zhang35</t>
  </si>
  <si>
    <t>wei.zhang35@company.cn</t>
  </si>
  <si>
    <t>anna_k36</t>
  </si>
  <si>
    <t>anna.kowalski36@email.pl</t>
  </si>
  <si>
    <t>m_rahman36</t>
  </si>
  <si>
    <t>mohammed.rahman36@email.bd</t>
  </si>
  <si>
    <t>yumi_tanaka35</t>
  </si>
  <si>
    <t>yumi.tanaka35@edu.jp</t>
  </si>
  <si>
    <t>carlos_m35</t>
  </si>
  <si>
    <t>carlos.mendez35@mail.mx</t>
  </si>
  <si>
    <t>aisha_m36</t>
  </si>
  <si>
    <t>aisha.mohammed36@email.ke</t>
  </si>
  <si>
    <t>david_chen36</t>
  </si>
  <si>
    <t>david.chen36@company.sg</t>
  </si>
  <si>
    <t>maria_p36</t>
  </si>
  <si>
    <t>maria.papadopoulos36@email.gr</t>
  </si>
  <si>
    <t>j_wilson36</t>
  </si>
  <si>
    <t>james.wilson36@email.au</t>
  </si>
  <si>
    <t>f_zahra36</t>
  </si>
  <si>
    <t>fatima.zahra36@mail.pk</t>
  </si>
  <si>
    <t>kenji_y36</t>
  </si>
  <si>
    <t>kenji.yamada36@mail.jp</t>
  </si>
  <si>
    <t>ngozi_e36</t>
  </si>
  <si>
    <t>ngozi.eze36@company.ng</t>
  </si>
  <si>
    <t>thomas_s36</t>
  </si>
  <si>
    <t>thomas.schmidt36@email.de</t>
  </si>
  <si>
    <t>lina_c36</t>
  </si>
  <si>
    <t>lina.chen36@mail.cn</t>
  </si>
  <si>
    <t>ahmed_h36</t>
  </si>
  <si>
    <t>ahmed.hassan36@email.eg</t>
  </si>
  <si>
    <t>sophie_m36</t>
  </si>
  <si>
    <t>sophie.martin36@edu.fr</t>
  </si>
  <si>
    <t>raj_kumar36</t>
  </si>
  <si>
    <t>raj.kumar36@company.in</t>
  </si>
  <si>
    <t>maria_g37</t>
  </si>
  <si>
    <t>maria.gonzalez37@email.mx</t>
  </si>
  <si>
    <t>yuki_k36</t>
  </si>
  <si>
    <t>yuki.kobayashi36@mail.jp</t>
  </si>
  <si>
    <t>kwame_a36</t>
  </si>
  <si>
    <t>kwame.asante36@email.gh</t>
  </si>
  <si>
    <t>anna_p36</t>
  </si>
  <si>
    <t>anna.petrova36@email.ru</t>
  </si>
  <si>
    <t>liam_obrien36</t>
  </si>
  <si>
    <t>liam.obrien36@company.ie</t>
  </si>
  <si>
    <t>ying_w36</t>
  </si>
  <si>
    <t>ying.wang36@mail.cn</t>
  </si>
  <si>
    <t>adeola_y36</t>
  </si>
  <si>
    <t>adeola.yusuf36@email.ng</t>
  </si>
  <si>
    <t>marco_b36</t>
  </si>
  <si>
    <t>marco.bianchi36@email.it</t>
  </si>
  <si>
    <t>jennifer_k36</t>
  </si>
  <si>
    <t>jennifer.kim36@email.com</t>
  </si>
  <si>
    <t>rahman_h36</t>
  </si>
  <si>
    <t>rahman.hussain36@company.pk</t>
  </si>
  <si>
    <t>sofia_m36</t>
  </si>
  <si>
    <t>sofia.martinez36@mail.es</t>
  </si>
  <si>
    <t>kenji_sato37</t>
  </si>
  <si>
    <t>kenji.sato37@edu.jp</t>
  </si>
  <si>
    <t>fatou_b36</t>
  </si>
  <si>
    <t>fatoumata.bello36@email.sn</t>
  </si>
  <si>
    <t>david_w36</t>
  </si>
  <si>
    <t>david.wilson36@company.co.uk</t>
  </si>
  <si>
    <t>lina_park36</t>
  </si>
  <si>
    <t>lina.park36@email.kr</t>
  </si>
  <si>
    <t>ahmed_alm36</t>
  </si>
  <si>
    <t>ahmed.almansoori36@email.ae</t>
  </si>
  <si>
    <t>maria_costa36</t>
  </si>
  <si>
    <t>maria.costa36@mail.com.br</t>
  </si>
  <si>
    <t>chinedu_n36</t>
  </si>
  <si>
    <t>chinedu.nwankwo36@company.ng</t>
  </si>
  <si>
    <t>isabelle_m36</t>
  </si>
  <si>
    <t>isabelle.moreau36@email.ca</t>
  </si>
  <si>
    <t>rahman_ali37</t>
  </si>
  <si>
    <t>rahman.ali37@mail.id</t>
  </si>
  <si>
    <t>sarah_j36</t>
  </si>
  <si>
    <t>sarah.johnson36@email.com</t>
  </si>
  <si>
    <t>wei_zhang36</t>
  </si>
  <si>
    <t>wei.zhang36@company.cn</t>
  </si>
  <si>
    <t>anna_k37</t>
  </si>
  <si>
    <t>anna.kowalski37@email.pl</t>
  </si>
  <si>
    <t>m_rahman37</t>
  </si>
  <si>
    <t>mohammed.rahman37@email.bd</t>
  </si>
  <si>
    <t>yumi_tanaka36</t>
  </si>
  <si>
    <t>yumi.tanaka36@edu.jp</t>
  </si>
  <si>
    <t>carlos_m36</t>
  </si>
  <si>
    <t>carlos.mendez36@mail.mx</t>
  </si>
  <si>
    <t>aisha_m37</t>
  </si>
  <si>
    <t>aisha.mohammed37@email.ke</t>
  </si>
  <si>
    <t>david_chen37</t>
  </si>
  <si>
    <t>david.chen37@company.sg</t>
  </si>
  <si>
    <t>maria_p37</t>
  </si>
  <si>
    <t>maria.papadopoulos37@email.gr</t>
  </si>
  <si>
    <t>j_wilson37</t>
  </si>
  <si>
    <t>james.wilson37@email.au</t>
  </si>
  <si>
    <t>f_zahra37</t>
  </si>
  <si>
    <t>fatima.zahra37@mail.pk</t>
  </si>
  <si>
    <t>kenji_y37</t>
  </si>
  <si>
    <t>kenji.yamada37@mail.jp</t>
  </si>
  <si>
    <t>ngozi_e37</t>
  </si>
  <si>
    <t>ngozi.eze37@company.ng</t>
  </si>
  <si>
    <t>thomas_s37</t>
  </si>
  <si>
    <t>thomas.schmidt37@email.de</t>
  </si>
  <si>
    <t>lina_c37</t>
  </si>
  <si>
    <t>lina.chen37@mail.cn</t>
  </si>
  <si>
    <t>ahmed_h37</t>
  </si>
  <si>
    <t>ahmed.hassan37@email.eg</t>
  </si>
  <si>
    <t>sophie_m37</t>
  </si>
  <si>
    <t>sophie.martin37@edu.fr</t>
  </si>
  <si>
    <t>raj_kumar37</t>
  </si>
  <si>
    <t>raj.kumar37@company.in</t>
  </si>
  <si>
    <t>maria_g38</t>
  </si>
  <si>
    <t>maria.gonzalez38@email.mx</t>
  </si>
  <si>
    <t>yuki_k37</t>
  </si>
  <si>
    <t>yuki.kobayashi37@mail.jp</t>
  </si>
  <si>
    <t>kwame_a37</t>
  </si>
  <si>
    <t>kwame.asante37@email.gh</t>
  </si>
  <si>
    <t>anna_p37</t>
  </si>
  <si>
    <t>anna.petrova37@email.ru</t>
  </si>
  <si>
    <t>liam_obrien37</t>
  </si>
  <si>
    <t>liam.obrien37@company.ie</t>
  </si>
  <si>
    <t>ying_w37</t>
  </si>
  <si>
    <t>ying.wang37@mail.cn</t>
  </si>
  <si>
    <t>adeola_y37</t>
  </si>
  <si>
    <t>adeola.yusuf37@email.ng</t>
  </si>
  <si>
    <t>marco_b37</t>
  </si>
  <si>
    <t>marco.bianchi37@email.it</t>
  </si>
  <si>
    <t>jennifer_k37</t>
  </si>
  <si>
    <t>jennifer.kim37@email.com</t>
  </si>
  <si>
    <t>rahman_h37</t>
  </si>
  <si>
    <t>rahman.hussain37@company.pk</t>
  </si>
  <si>
    <t>sofia_m37</t>
  </si>
  <si>
    <t>sofia.martinez37@mail.es</t>
  </si>
  <si>
    <t>kenji_sato38</t>
  </si>
  <si>
    <t>kenji.sato38@edu.jp</t>
  </si>
  <si>
    <t>fatou_b37</t>
  </si>
  <si>
    <t>fatoumata.bello37@email.sn</t>
  </si>
  <si>
    <t>david_w37</t>
  </si>
  <si>
    <t>david.wilson37@company.co.uk</t>
  </si>
  <si>
    <t>lina_park37</t>
  </si>
  <si>
    <t>lina.park37@email.kr</t>
  </si>
  <si>
    <t>ahmed_alm37</t>
  </si>
  <si>
    <t>ahmed.almansoori37@email.ae</t>
  </si>
  <si>
    <t>maria_costa37</t>
  </si>
  <si>
    <t>maria.costa37@mail.com.br</t>
  </si>
  <si>
    <t>chinedu_n37</t>
  </si>
  <si>
    <t>chinedu.nwankwo37@company.ng</t>
  </si>
  <si>
    <t>isabelle_m37</t>
  </si>
  <si>
    <t>isabelle.moreau37@email.ca</t>
  </si>
  <si>
    <t>rahman_ali38</t>
  </si>
  <si>
    <t>rahman.ali38@mail.id</t>
  </si>
  <si>
    <t>sarah_j37</t>
  </si>
  <si>
    <t>sarah.johnson37@email.com</t>
  </si>
  <si>
    <t>wei_zhang37</t>
  </si>
  <si>
    <t>wei.zhang37@company.cn</t>
  </si>
  <si>
    <t>anna_k38</t>
  </si>
  <si>
    <t>anna.kowalski38@email.pl</t>
  </si>
  <si>
    <t>m_rahman38</t>
  </si>
  <si>
    <t>mohammed.rahman38@email.bd</t>
  </si>
  <si>
    <t>yumi_tanaka37</t>
  </si>
  <si>
    <t>yumi.tanaka37@edu.jp</t>
  </si>
  <si>
    <t>carlos_m37</t>
  </si>
  <si>
    <t>carlos.mendez37@mail.mx</t>
  </si>
  <si>
    <t>aisha_m38</t>
  </si>
  <si>
    <t>aisha.mohammed38@email.ke</t>
  </si>
  <si>
    <t>david_chen38</t>
  </si>
  <si>
    <t>david.chen38@company.sg</t>
  </si>
  <si>
    <t>maria_p38</t>
  </si>
  <si>
    <t>maria.papadopoulos38@email.gr</t>
  </si>
  <si>
    <t>j_wilson38</t>
  </si>
  <si>
    <t>james.wilson38@email.au</t>
  </si>
  <si>
    <t>f_zahra38</t>
  </si>
  <si>
    <t>fatima.zahra38@mail.pk</t>
  </si>
  <si>
    <t>kenji_y38</t>
  </si>
  <si>
    <t>kenji.yamada38@mail.jp</t>
  </si>
  <si>
    <t>ngozi_e38</t>
  </si>
  <si>
    <t>ngozi.eze38@company.ng</t>
  </si>
  <si>
    <t>thomas_s38</t>
  </si>
  <si>
    <t>thomas.schmidt38@email.de</t>
  </si>
  <si>
    <t>lina_c38</t>
  </si>
  <si>
    <t>lina.chen38@mail.cn</t>
  </si>
  <si>
    <t>ahmed_h38</t>
  </si>
  <si>
    <t>ahmed.hassan38@email.eg</t>
  </si>
  <si>
    <t>sophie_m38</t>
  </si>
  <si>
    <t>sophie.martin38@edu.fr</t>
  </si>
  <si>
    <t>raj_kumar38</t>
  </si>
  <si>
    <t>raj.kumar38@company.in</t>
  </si>
  <si>
    <t>maria_g39</t>
  </si>
  <si>
    <t>maria.gonzalez39@email.mx</t>
  </si>
  <si>
    <t>yuki_k38</t>
  </si>
  <si>
    <t>yuki.kobayashi38@mail.jp</t>
  </si>
  <si>
    <t>kwame_a38</t>
  </si>
  <si>
    <t>kwame.asante38@email.gh</t>
  </si>
  <si>
    <t>anna_p38</t>
  </si>
  <si>
    <t>anna.petrova38@email.ru</t>
  </si>
  <si>
    <t>liam_obrien38</t>
  </si>
  <si>
    <t>liam.obrien38@company.ie</t>
  </si>
  <si>
    <t>ying_w38</t>
  </si>
  <si>
    <t>ying.wang38@mail.cn</t>
  </si>
  <si>
    <t>adeola_y38</t>
  </si>
  <si>
    <t>adeola.yusuf38@email.ng</t>
  </si>
  <si>
    <t>marco_b38</t>
  </si>
  <si>
    <t>marco.bianchi38@email.it</t>
  </si>
  <si>
    <t>jennifer_k38</t>
  </si>
  <si>
    <t>jennifer.kim38@email.com</t>
  </si>
  <si>
    <t>rahman_h38</t>
  </si>
  <si>
    <t>rahman.hussain38@company.pk</t>
  </si>
  <si>
    <t>sofia_m38</t>
  </si>
  <si>
    <t>sofia.martinez38@mail.es</t>
  </si>
  <si>
    <t>kenji_sato39</t>
  </si>
  <si>
    <t>kenji.sato39@edu.jp</t>
  </si>
  <si>
    <t>fatou_b38</t>
  </si>
  <si>
    <t>fatoumata.bello38@email.sn</t>
  </si>
  <si>
    <t>david_w38</t>
  </si>
  <si>
    <t>david.wilson38@company.co.uk</t>
  </si>
  <si>
    <t>lina_park38</t>
  </si>
  <si>
    <t>lina.park38@email.kr</t>
  </si>
  <si>
    <t>ahmed_alm38</t>
  </si>
  <si>
    <t>ahmed.almansoori38@email.ae</t>
  </si>
  <si>
    <t>maria_costa38</t>
  </si>
  <si>
    <t>maria.costa38@mail.com.br</t>
  </si>
  <si>
    <t>chinedu_n38</t>
  </si>
  <si>
    <t>chinedu.nwankwo38@company.ng</t>
  </si>
  <si>
    <t>isabelle_m38</t>
  </si>
  <si>
    <t>isabelle.moreau38@email.ca</t>
  </si>
  <si>
    <t>rahman_ali39</t>
  </si>
  <si>
    <t>rahman.ali39@mail.id</t>
  </si>
  <si>
    <t>sarah_j38</t>
  </si>
  <si>
    <t>sarah.johnson38@email.com</t>
  </si>
  <si>
    <t>wei_zhang38</t>
  </si>
  <si>
    <t>wei.zhang38@company.cn</t>
  </si>
  <si>
    <t>anna_k39</t>
  </si>
  <si>
    <t>anna.kowalski39@email.pl</t>
  </si>
  <si>
    <t>m_rahman39</t>
  </si>
  <si>
    <t>mohammed.rahman39@email.bd</t>
  </si>
  <si>
    <t>yumi_tanaka38</t>
  </si>
  <si>
    <t>yumi.tanaka38@edu.jp</t>
  </si>
  <si>
    <t>carlos_m38</t>
  </si>
  <si>
    <t>carlos.mendez38@mail.mx</t>
  </si>
  <si>
    <t>aisha_m39</t>
  </si>
  <si>
    <t>aisha.mohammed39@email.ke</t>
  </si>
  <si>
    <t>david_chen39</t>
  </si>
  <si>
    <t>david.chen39@company.sg</t>
  </si>
  <si>
    <t>maria_p39</t>
  </si>
  <si>
    <t>maria.papadopoulos39@email.gr</t>
  </si>
  <si>
    <t>j_wilson39</t>
  </si>
  <si>
    <t>james.wilson39@email.au</t>
  </si>
  <si>
    <t>f_zahra39</t>
  </si>
  <si>
    <t>fatima.zahra39@mail.pk</t>
  </si>
  <si>
    <t>kenji_y39</t>
  </si>
  <si>
    <t>kenji.yamada39@mail.jp</t>
  </si>
  <si>
    <t>ngozi_e39</t>
  </si>
  <si>
    <t>ngozi.eze39@company.ng</t>
  </si>
  <si>
    <t>thomas_s39</t>
  </si>
  <si>
    <t>thomas.schmidt39@email.de</t>
  </si>
  <si>
    <t>lina_c39</t>
  </si>
  <si>
    <t>lina.chen39@mail.cn</t>
  </si>
  <si>
    <t>ahmed_h39</t>
  </si>
  <si>
    <t>ahmed.hassan39@email.eg</t>
  </si>
  <si>
    <t>sophie_m39</t>
  </si>
  <si>
    <t>sophie.martin39@edu.fr</t>
  </si>
  <si>
    <t>raj_kumar39</t>
  </si>
  <si>
    <t>raj.kumar39@company.in</t>
  </si>
  <si>
    <t>maria_g40</t>
  </si>
  <si>
    <t>maria.gonzalez40@email.mx</t>
  </si>
  <si>
    <t>yuki_k39</t>
  </si>
  <si>
    <t>yuki.kobayashi39@mail.jp</t>
  </si>
  <si>
    <t>kwame_a39</t>
  </si>
  <si>
    <t>kwame.asante39@email.gh</t>
  </si>
  <si>
    <t>anna_p39</t>
  </si>
  <si>
    <t>anna.petrova39@email.ru</t>
  </si>
  <si>
    <t>liam_obrien39</t>
  </si>
  <si>
    <t>liam.obrien39@company.ie</t>
  </si>
  <si>
    <t>ying_w39</t>
  </si>
  <si>
    <t>ying.wang39@mail.cn</t>
  </si>
  <si>
    <t>adeola_y39</t>
  </si>
  <si>
    <t>adeola.yusuf39@email.ng</t>
  </si>
  <si>
    <t>marco_b39</t>
  </si>
  <si>
    <t>marco.bianchi39@email.it</t>
  </si>
  <si>
    <t>jennifer_k39</t>
  </si>
  <si>
    <t>jennifer.kim39@email.com</t>
  </si>
  <si>
    <t>rahman_h39</t>
  </si>
  <si>
    <t>rahman.hussain39@company.pk</t>
  </si>
  <si>
    <t>sofia_m39</t>
  </si>
  <si>
    <t>sofia.martinez39@mail.es</t>
  </si>
  <si>
    <t>kenji_sato40</t>
  </si>
  <si>
    <t>kenji.sato40@edu.jp</t>
  </si>
  <si>
    <t>fatou_b39</t>
  </si>
  <si>
    <t>fatoumata.bello39@email.sn</t>
  </si>
  <si>
    <t>david_w39</t>
  </si>
  <si>
    <t>david.wilson39@company.co.uk</t>
  </si>
  <si>
    <t>lina_park39</t>
  </si>
  <si>
    <t>lina.park39@email.kr</t>
  </si>
  <si>
    <t>ahmed_alm39</t>
  </si>
  <si>
    <t>ahmed.almansoori39@email.ae</t>
  </si>
  <si>
    <t>maria_costa39</t>
  </si>
  <si>
    <t>maria.costa39@mail.com.br</t>
  </si>
  <si>
    <t>chinedu_n39</t>
  </si>
  <si>
    <t>chinedu.nwankwo39@company.ng</t>
  </si>
  <si>
    <t>isabelle_m39</t>
  </si>
  <si>
    <t>isabelle.moreau39@email.ca</t>
  </si>
  <si>
    <t>rahman_ali40</t>
  </si>
  <si>
    <t>rahman.ali40@mail.id</t>
  </si>
  <si>
    <t>sarah_j39</t>
  </si>
  <si>
    <t>sarah.johnson39@email.com</t>
  </si>
  <si>
    <t>wei_zhang39</t>
  </si>
  <si>
    <t>wei.zhang39@company.cn</t>
  </si>
  <si>
    <t>anna_k40</t>
  </si>
  <si>
    <t>anna.kowalski40@email.pl</t>
  </si>
  <si>
    <t>m_rahman40</t>
  </si>
  <si>
    <t>mohammed.rahman40@email.bd</t>
  </si>
  <si>
    <t>yumi_tanaka39</t>
  </si>
  <si>
    <t>yumi.tanaka39@edu.jp</t>
  </si>
  <si>
    <t>carlos_m39</t>
  </si>
  <si>
    <t>carlos.mendez39@mail.mx</t>
  </si>
  <si>
    <t>aisha_m40</t>
  </si>
  <si>
    <t>aisha.mohammed40@email.ke</t>
  </si>
  <si>
    <t>david_chen40</t>
  </si>
  <si>
    <t>david.chen40@company.sg</t>
  </si>
  <si>
    <t>maria_p40</t>
  </si>
  <si>
    <t>maria.papadopoulos40@email.gr</t>
  </si>
  <si>
    <t>j_wilson40</t>
  </si>
  <si>
    <t>james.wilson40@email.au</t>
  </si>
  <si>
    <t>f_zahra40</t>
  </si>
  <si>
    <t>fatima.z</t>
  </si>
  <si>
    <t>Debt Ratio</t>
  </si>
  <si>
    <t>Days Inactive</t>
  </si>
  <si>
    <t xml:space="preserve">Credit Score Band </t>
  </si>
  <si>
    <t xml:space="preserve">Age Group </t>
  </si>
  <si>
    <t xml:space="preserve">Income categories </t>
  </si>
  <si>
    <t>+1-718-555-0199</t>
  </si>
  <si>
    <t>+81-90-1234-5678</t>
  </si>
  <si>
    <t>+91-987-654-3210</t>
  </si>
  <si>
    <t>+44-20-7946-0958</t>
  </si>
  <si>
    <t>+1-312-555-0123</t>
  </si>
  <si>
    <t>+86-138-0013-8000</t>
  </si>
  <si>
    <t>São Paulo</t>
  </si>
  <si>
    <t>+55-11-91234-5678</t>
  </si>
  <si>
    <t>+234-703-456-7890</t>
  </si>
  <si>
    <t>Hans Müller</t>
  </si>
  <si>
    <t>+49-170-1234567</t>
  </si>
  <si>
    <t>+971-50-345-6789</t>
  </si>
  <si>
    <t>+1-416-555-0189</t>
  </si>
  <si>
    <t>+81-80-9876-5432</t>
  </si>
  <si>
    <t>+91-989-876-5432</t>
  </si>
  <si>
    <t>+44-16-1837-4650</t>
  </si>
  <si>
    <t>+971-56-789-0123</t>
  </si>
  <si>
    <t>+55-21-99876-5432</t>
  </si>
  <si>
    <t>+81-75-234-5678</t>
  </si>
  <si>
    <t>+234-802-345-6789</t>
  </si>
  <si>
    <t>+1-213-555-0176</t>
  </si>
  <si>
    <t>+86-139-8765-4321</t>
  </si>
  <si>
    <t>+49-171-9876543</t>
  </si>
  <si>
    <t>+1-604-555-0167</t>
  </si>
  <si>
    <t>+91-876-543-2109</t>
  </si>
  <si>
    <t>+971-55-678-9012</t>
  </si>
  <si>
    <t>+55-11-98765-4321</t>
  </si>
  <si>
    <t>+81-70-3456-7890</t>
  </si>
  <si>
    <t>+234-815-678-9012</t>
  </si>
  <si>
    <t>+44-79-8765-4321</t>
  </si>
  <si>
    <t>+86-137-1234-5678</t>
  </si>
  <si>
    <t>+49-172-3456789</t>
  </si>
  <si>
    <t>+1-514-555-0154</t>
  </si>
  <si>
    <t>+91-765-432-1098</t>
  </si>
  <si>
    <t>+971-52-456-7890</t>
  </si>
  <si>
    <t>+55-21-97654-3210</t>
  </si>
  <si>
    <t>+81-90-6789-0123</t>
  </si>
  <si>
    <t>+234-706-789-0123</t>
  </si>
  <si>
    <t>+33-6-1234-5678</t>
  </si>
  <si>
    <t>+1-832-555-0134</t>
  </si>
  <si>
    <t>+91-854-321-0987</t>
  </si>
  <si>
    <t>+353-85-123-4567</t>
  </si>
  <si>
    <t>+86-136-8765-4321</t>
  </si>
  <si>
    <t>+7-915-123-45-67</t>
  </si>
  <si>
    <t>+52-55-1234-5678</t>
  </si>
  <si>
    <t>+34-612-345-678</t>
  </si>
  <si>
    <t>+233-24-456-7890</t>
  </si>
  <si>
    <t>+81-80-2345-6789</t>
  </si>
  <si>
    <t>+254-712-345-678</t>
  </si>
  <si>
    <t>+82-10-1234-5678</t>
  </si>
  <si>
    <t>+49-173-4567890</t>
  </si>
  <si>
    <t>+39-345-678-9012</t>
  </si>
  <si>
    <t>+1-602-555-0178</t>
  </si>
  <si>
    <t>+91-743-210-9876</t>
  </si>
  <si>
    <t>+221-77-123-45-67</t>
  </si>
  <si>
    <t>+7-921-987-65-43</t>
  </si>
  <si>
    <t>+86-139-2345-6789</t>
  </si>
  <si>
    <t>+44-78-9123-4567</t>
  </si>
  <si>
    <t>+234-803-456-7890</t>
  </si>
  <si>
    <t>+33-7-8765-4321</t>
  </si>
  <si>
    <t>+20-100-123-4567</t>
  </si>
  <si>
    <t>+1-206-555-0162</t>
  </si>
  <si>
    <t>+60-12-345-6789</t>
  </si>
  <si>
    <t>Bogotá</t>
  </si>
  <si>
    <t>+57-300-123-4567</t>
  </si>
  <si>
    <t>+82-10-9876-5432</t>
  </si>
  <si>
    <t>+353-86-234-5678</t>
  </si>
  <si>
    <t>+65-9123-4567</t>
  </si>
  <si>
    <t>+54-9-11-2345-6789</t>
  </si>
  <si>
    <t>+92-300-1234567</t>
  </si>
  <si>
    <t>+81-90-4567-8901</t>
  </si>
  <si>
    <t>+61-412-345-678</t>
  </si>
  <si>
    <t>+212-612-345-678</t>
  </si>
  <si>
    <t>+55-11-93456-7890</t>
  </si>
  <si>
    <t>+1-647-555-0192</t>
  </si>
  <si>
    <t>+91-832-109-8765</t>
  </si>
  <si>
    <t>+31-6-1234-5678</t>
  </si>
  <si>
    <t>+880-1712-345678</t>
  </si>
  <si>
    <t>+33-7-2345-6789</t>
  </si>
  <si>
    <t>+81-80-5678-9012</t>
  </si>
  <si>
    <t>+234-807-890-1234</t>
  </si>
  <si>
    <t>+41-76-123-45-67</t>
  </si>
  <si>
    <t>+82-10-2345-6789</t>
  </si>
  <si>
    <t>+44-79-8234-5678</t>
  </si>
  <si>
    <t>+966-50-123-4567</t>
  </si>
  <si>
    <t>+84-912-345-678</t>
  </si>
  <si>
    <t>+1-415-555-0183</t>
  </si>
  <si>
    <t>+92-322-9876543</t>
  </si>
  <si>
    <t>+39-347-123-4567</t>
  </si>
  <si>
    <t>+380-67-123-4567</t>
  </si>
  <si>
    <t>+353-87-234-5678</t>
  </si>
  <si>
    <t>+82-10-3456-7890</t>
  </si>
  <si>
    <t>+20-122-345-6789</t>
  </si>
  <si>
    <t>+1-617-555-0156</t>
  </si>
  <si>
    <t>+351-912-345-678</t>
  </si>
  <si>
    <t>+234-809-012-3456</t>
  </si>
  <si>
    <t>+55-11-94567-8901</t>
  </si>
  <si>
    <t>+1-773-555-0198</t>
  </si>
  <si>
    <t>+84-903-456-789</t>
  </si>
  <si>
    <t>Laura Müller</t>
  </si>
  <si>
    <t>+49-174-5678901</t>
  </si>
  <si>
    <t>+44-77-4567-8901</t>
  </si>
  <si>
    <t>+968-9212-3456</t>
  </si>
  <si>
    <t>+52-33-1234-5678</t>
  </si>
  <si>
    <t>+81-80-7890-1234</t>
  </si>
  <si>
    <t>+234-812-345-6789</t>
  </si>
  <si>
    <t>+1-778-555-0172</t>
  </si>
  <si>
    <t>+62-812-3456-7890</t>
  </si>
  <si>
    <t>+353-85-345-6789</t>
  </si>
  <si>
    <t>+86-138-5678-9012</t>
  </si>
  <si>
    <t>+48-600-123-456</t>
  </si>
  <si>
    <t>+880-1812-345678</t>
  </si>
  <si>
    <t>+81-90-9012-3456</t>
  </si>
  <si>
    <t>+34-622-345-678</t>
  </si>
  <si>
    <t>+254-723-456-789</t>
  </si>
  <si>
    <t>+65-8234-5678</t>
  </si>
  <si>
    <t>+30-691-234-5678</t>
  </si>
  <si>
    <t>+61-423-456-789</t>
  </si>
  <si>
    <t>+92-321-9876543</t>
  </si>
  <si>
    <t>+81-80-1234-5678</t>
  </si>
  <si>
    <t>+234-813-456-7890</t>
  </si>
  <si>
    <t>+49-175-6789012</t>
  </si>
  <si>
    <t>+86-137-6789-0123</t>
  </si>
  <si>
    <t>+20-100-987-6543</t>
  </si>
  <si>
    <t>+33-6-3456-7890</t>
  </si>
  <si>
    <t>+52-55-2345-6789</t>
  </si>
  <si>
    <t>+81-90-2345-6789</t>
  </si>
  <si>
    <t>+233-54-567-8901</t>
  </si>
  <si>
    <t>+7-915-987-65-43</t>
  </si>
  <si>
    <t>+353-86-456-7890</t>
  </si>
  <si>
    <t>+86-139-3456-7890</t>
  </si>
  <si>
    <t>+234-814-567-8901</t>
  </si>
  <si>
    <t>+39-348-234-5678</t>
  </si>
  <si>
    <t>+1-310-555-0194</t>
  </si>
  <si>
    <t>+92-300-9876543</t>
  </si>
  <si>
    <t>+34-623-456-789</t>
  </si>
  <si>
    <t>+81-90-5678-9012</t>
  </si>
  <si>
    <t>+221-78-234-5678</t>
  </si>
  <si>
    <t>+44-79-5678-9012</t>
  </si>
  <si>
    <t>+82-10-4567-8901</t>
  </si>
  <si>
    <t>+971-50-678-9012</t>
  </si>
  <si>
    <t>+55-11-95678-9012</t>
  </si>
  <si>
    <t>+1-438-555-0187</t>
  </si>
  <si>
    <t>+60-13-456-7890</t>
  </si>
  <si>
    <t>+1-646-555-0168</t>
  </si>
  <si>
    <t>+86-138-7890-1234</t>
  </si>
  <si>
    <t>+48-700-234-567</t>
  </si>
  <si>
    <t>+880-1712-456789</t>
  </si>
  <si>
    <t>+52-55-3456-7890</t>
  </si>
  <si>
    <t>+254-724-567-890</t>
  </si>
  <si>
    <t>+65-8345-6789</t>
  </si>
  <si>
    <t>+30-692-345-6789</t>
  </si>
  <si>
    <t>+61-424-567-890</t>
  </si>
  <si>
    <t>+92-322-8765432</t>
  </si>
  <si>
    <t>+49-176-7890123</t>
  </si>
  <si>
    <t>+86-137-7890-1234</t>
  </si>
  <si>
    <t>+20-122-876-5432</t>
  </si>
  <si>
    <t>+33-6-4567-8901</t>
  </si>
  <si>
    <t>+52-33-2345-6789</t>
  </si>
  <si>
    <t>+81-90-3456-7890</t>
  </si>
  <si>
    <t>+233-55-678-9012</t>
  </si>
  <si>
    <t>+7-921-876-54-32</t>
  </si>
  <si>
    <t>+353-87-567-8901</t>
  </si>
  <si>
    <t>+86-139-4567-8901</t>
  </si>
  <si>
    <t>+39-349-345-6789</t>
  </si>
  <si>
    <t>+1-619-555-0196</t>
  </si>
  <si>
    <t>+92-301-8765432</t>
  </si>
  <si>
    <t>+34-624-567-890</t>
  </si>
  <si>
    <t>+221-79-345-6789</t>
  </si>
  <si>
    <t>+44-78-6789-0123</t>
  </si>
  <si>
    <t>+82-10-5678-9012</t>
  </si>
  <si>
    <t>+971-50-789-0123</t>
  </si>
  <si>
    <t>+55-21-96789-0123</t>
  </si>
  <si>
    <t>+234-816-789-0123</t>
  </si>
  <si>
    <t>+1-604-555-0191</t>
  </si>
  <si>
    <t>+62-813-4567-8901</t>
  </si>
  <si>
    <t>+1-773-555-0174</t>
  </si>
  <si>
    <t>+86-138-8901-2345</t>
  </si>
  <si>
    <t>+48-701-345-678</t>
  </si>
  <si>
    <t>+880-1812-567890</t>
  </si>
  <si>
    <t>+81-90-7890-1234</t>
  </si>
  <si>
    <t>+52-55-4567-8901</t>
  </si>
  <si>
    <t>+254-725-678-901</t>
  </si>
  <si>
    <t>+65-8456-7890</t>
  </si>
  <si>
    <t>+30-693-456-7890</t>
  </si>
  <si>
    <t>+61-425-678-901</t>
  </si>
  <si>
    <t>+92-323-7654321</t>
  </si>
  <si>
    <t>+81-80-3456-7890</t>
  </si>
  <si>
    <t>+49-177-8901234</t>
  </si>
  <si>
    <t>+86-137-8901-2345</t>
  </si>
  <si>
    <t>+20-100-876-5432</t>
  </si>
  <si>
    <t>+33-6-5678-9012</t>
  </si>
  <si>
    <t>+52-81-2345-6789</t>
  </si>
  <si>
    <t>+233-56-789-0123</t>
  </si>
  <si>
    <t>+7-915-765-43-21</t>
  </si>
  <si>
    <t>+353-88-678-9012</t>
  </si>
  <si>
    <t>+86-139-5678-9012</t>
  </si>
  <si>
    <t>+39-350-456-7890</t>
  </si>
  <si>
    <t>+1-206-555-0198</t>
  </si>
  <si>
    <t>+92-302-7654321</t>
  </si>
  <si>
    <t>+34-625-678-901</t>
  </si>
  <si>
    <t>+221-80-456-7890</t>
  </si>
  <si>
    <t>+44-79-7890-1234</t>
  </si>
  <si>
    <t>+82-10-6789-0123</t>
  </si>
  <si>
    <t>+971-50-890-1234</t>
  </si>
  <si>
    <t>+55-11-97890-1234</t>
  </si>
  <si>
    <t>+234-817-890-1234</t>
  </si>
  <si>
    <t>+1-647-555-0194</t>
  </si>
  <si>
    <t>+62-814-5678-9012</t>
  </si>
  <si>
    <t>+1-646-555-0172</t>
  </si>
  <si>
    <t>+86-138-9012-3456</t>
  </si>
  <si>
    <t>+48-702-456-789</t>
  </si>
  <si>
    <t>+880-1812-678901</t>
  </si>
  <si>
    <t>+81-90-8901-2345</t>
  </si>
  <si>
    <t>+52-55-5678-9012</t>
  </si>
  <si>
    <t>+254-726-789-012</t>
  </si>
  <si>
    <t>+65-8567-8901</t>
  </si>
  <si>
    <t>+30-694-567-8901</t>
  </si>
  <si>
    <t>+61-426-789-012</t>
  </si>
  <si>
    <t>+92-324-6543210</t>
  </si>
  <si>
    <t>+81-80-4567-8901</t>
  </si>
  <si>
    <t>+49-178-9012345</t>
  </si>
  <si>
    <t>+86-137-9012-3456</t>
  </si>
  <si>
    <t>+20-122-765-4321</t>
  </si>
  <si>
    <t>+33-6-6789-0123</t>
  </si>
  <si>
    <t>+52-55-6789-0123</t>
  </si>
  <si>
    <t>+233-57-890-1234</t>
  </si>
  <si>
    <t>+7-921-654-32-10</t>
  </si>
  <si>
    <t>+353-89-789-0123</t>
  </si>
  <si>
    <t>+86-139-6789-0123</t>
  </si>
  <si>
    <t>+39-351-567-8901</t>
  </si>
  <si>
    <t>+1-310-555-0192</t>
  </si>
  <si>
    <t>+92-303-6543210</t>
  </si>
  <si>
    <t>+34-626-789-012</t>
  </si>
  <si>
    <t>+221-81-567-8901</t>
  </si>
  <si>
    <t>+44-79-8901-2345</t>
  </si>
  <si>
    <t>+82-10-7890-1234</t>
  </si>
  <si>
    <t>+971-50-901-2345</t>
  </si>
  <si>
    <t>+55-11-98901-2345</t>
  </si>
  <si>
    <t>+234-818-901-2345</t>
  </si>
  <si>
    <t>+1-514-555-0196</t>
  </si>
  <si>
    <t>+62-815-6789-0123</t>
  </si>
  <si>
    <t>+1-773-555-0176</t>
  </si>
  <si>
    <t>+86-138-0123-4567</t>
  </si>
  <si>
    <t>+48-703-567-890</t>
  </si>
  <si>
    <t>+880-1812-789012</t>
  </si>
  <si>
    <t>+254-727-890-123</t>
  </si>
  <si>
    <t>+65-8678-9012</t>
  </si>
  <si>
    <t>+30-695-678-9012</t>
  </si>
  <si>
    <t>+61-427-890-123</t>
  </si>
  <si>
    <t>+92-325-5432109</t>
  </si>
  <si>
    <t>+49-179-0123456</t>
  </si>
  <si>
    <t>+86-137-0123-4567</t>
  </si>
  <si>
    <t>+20-100-765-4321</t>
  </si>
  <si>
    <t>+33-6-7890-1234</t>
  </si>
  <si>
    <t>+52-33-3456-7890</t>
  </si>
  <si>
    <t>+233-58-901-2345</t>
  </si>
  <si>
    <t>+7-915-543-21-09</t>
  </si>
  <si>
    <t>+353-90-890-1234</t>
  </si>
  <si>
    <t>+86-139-7890-1234</t>
  </si>
  <si>
    <t>+39-352-678-9012</t>
  </si>
  <si>
    <t>+1-415-555-0194</t>
  </si>
  <si>
    <t>+92-304-5432109</t>
  </si>
  <si>
    <t>+34-627-890-123</t>
  </si>
  <si>
    <t>+221-82-678-9012</t>
  </si>
  <si>
    <t>+44-79-9012-3456</t>
  </si>
  <si>
    <t>+82-10-8901-2345</t>
  </si>
  <si>
    <t>+971-50-012-3456</t>
  </si>
  <si>
    <t>+55-21-99012-3456</t>
  </si>
  <si>
    <t>+234-819-012-3456</t>
  </si>
  <si>
    <t>+1-604-555-0198</t>
  </si>
  <si>
    <t>+62-816-7890-1234</t>
  </si>
  <si>
    <t>+1-646-555-0180</t>
  </si>
  <si>
    <t>+86-138-1234-5678</t>
  </si>
  <si>
    <t>+48-704-678-901</t>
  </si>
  <si>
    <t>+880-1812-890123</t>
  </si>
  <si>
    <t>+81-90-0123-4567</t>
  </si>
  <si>
    <t>+52-55-7890-1234</t>
  </si>
  <si>
    <t>+254-728-901-234</t>
  </si>
  <si>
    <t>+65-8789-0123</t>
  </si>
  <si>
    <t>+30-696-789-0123</t>
  </si>
  <si>
    <t>+61-428-901-234</t>
  </si>
  <si>
    <t>+92-326-4321098</t>
  </si>
  <si>
    <t>+81-80-6789-0123</t>
  </si>
  <si>
    <t>+49-180-1234567</t>
  </si>
  <si>
    <t>+20-122-654-3210</t>
  </si>
  <si>
    <t>+33-6-8901-2345</t>
  </si>
  <si>
    <t>+52-55-8901-2345</t>
  </si>
  <si>
    <t>+233-59-012-3456</t>
  </si>
  <si>
    <t>+7-921-432-10-98</t>
  </si>
  <si>
    <t>+353-91-901-2345</t>
  </si>
  <si>
    <t>+86-139-8901-2345</t>
  </si>
  <si>
    <t>+39-353-789-0123</t>
  </si>
  <si>
    <t>+1-206-555-0196</t>
  </si>
  <si>
    <t>+92-305-4321098</t>
  </si>
  <si>
    <t>+34-628-901-234</t>
  </si>
  <si>
    <t>+221-83-789-0123</t>
  </si>
  <si>
    <t>+44-79-0123-4567</t>
  </si>
  <si>
    <t>+82-10-9012-3456</t>
  </si>
  <si>
    <t>+971-50-123-4567</t>
  </si>
  <si>
    <t>+55-11-99123-4567</t>
  </si>
  <si>
    <t>+234-820-123-4567</t>
  </si>
  <si>
    <t>+62-817-8901-2345</t>
  </si>
  <si>
    <t>+1-773-555-0184</t>
  </si>
  <si>
    <t>+86-138-2345-6789</t>
  </si>
  <si>
    <t>+48-705-789-012</t>
  </si>
  <si>
    <t>+880-1812-901234</t>
  </si>
  <si>
    <t>+52-55-9012-3456</t>
  </si>
  <si>
    <t>+254-729-012-345</t>
  </si>
  <si>
    <t>+65-8890-1234</t>
  </si>
  <si>
    <t>+30-697-890-1234</t>
  </si>
  <si>
    <t>+61-429-012-345</t>
  </si>
  <si>
    <t>+92-327-3210987</t>
  </si>
  <si>
    <t>+49-181-2345678</t>
  </si>
  <si>
    <t>+86-137-2345-6789</t>
  </si>
  <si>
    <t>+20-122-543-2109</t>
  </si>
  <si>
    <t>+33-6-9012-3456</t>
  </si>
  <si>
    <t>+52-81-4567-8901</t>
  </si>
  <si>
    <t>+233-60-123-4567</t>
  </si>
  <si>
    <t>+7-915-321-09-87</t>
  </si>
  <si>
    <t>+353-92-012-3456</t>
  </si>
  <si>
    <t>+86-139-9012-3456</t>
  </si>
  <si>
    <t>+39-354-890-1234</t>
  </si>
  <si>
    <t>+1-310-555-0198</t>
  </si>
  <si>
    <t>+92-306-3210987</t>
  </si>
  <si>
    <t>+34-629-012-345</t>
  </si>
  <si>
    <t>+221-84-890-1234</t>
  </si>
  <si>
    <t>+44-79-1234-5678</t>
  </si>
  <si>
    <t>+82-10-0123-4567</t>
  </si>
  <si>
    <t>+971-50-234-5678</t>
  </si>
  <si>
    <t>+55-11-99234-5678</t>
  </si>
  <si>
    <t>+234-821-234-5678</t>
  </si>
  <si>
    <t>+1-514-555-0198</t>
  </si>
  <si>
    <t>+62-818-9012-3456</t>
  </si>
  <si>
    <t>+1-646-555-0188</t>
  </si>
  <si>
    <t>+86-138-3456-7890</t>
  </si>
  <si>
    <t>+48-706-890-123</t>
  </si>
  <si>
    <t>+880-1812-012345</t>
  </si>
  <si>
    <t>+52-55-0123-4567</t>
  </si>
  <si>
    <t>+254-730-123-456</t>
  </si>
  <si>
    <t>+65-8990-1234</t>
  </si>
  <si>
    <t>+30-698-901-2345</t>
  </si>
  <si>
    <t>+61-430-123-456</t>
  </si>
  <si>
    <t>+92-328-2109876</t>
  </si>
  <si>
    <t>+81-80-8901-2345</t>
  </si>
  <si>
    <t>+49-182-3456789</t>
  </si>
  <si>
    <t>+86-137-3456-7890</t>
  </si>
  <si>
    <t>+20-122-432-1098</t>
  </si>
  <si>
    <t>+33-6-0123-4567</t>
  </si>
  <si>
    <t>+52-33-5678-9012</t>
  </si>
  <si>
    <t>+233-61-234-5678</t>
  </si>
  <si>
    <t>+7-921-210-98-76</t>
  </si>
  <si>
    <t>+353-93-123-4567</t>
  </si>
  <si>
    <t>+86-139-0123-4567</t>
  </si>
  <si>
    <t>+39-355-901-2345</t>
  </si>
  <si>
    <t>+1-415-555-0196</t>
  </si>
  <si>
    <t>+92-307-2109876</t>
  </si>
  <si>
    <t>+34-630-123-456</t>
  </si>
  <si>
    <t>+221-85-901-2345</t>
  </si>
  <si>
    <t>+44-79-2345-6789</t>
  </si>
  <si>
    <t>+55-21-99345-6789</t>
  </si>
  <si>
    <t>+234-822-345-6789</t>
  </si>
  <si>
    <t>+1-604-555-0194</t>
  </si>
  <si>
    <t>+62-819-0123-4567</t>
  </si>
  <si>
    <t>+1-773-555-0192</t>
  </si>
  <si>
    <t>+86-138-4567-8901</t>
  </si>
  <si>
    <t>+48-707-901-234</t>
  </si>
  <si>
    <t>+880-1812-123456</t>
  </si>
  <si>
    <t>+254-731-234-567</t>
  </si>
  <si>
    <t>+65-9090-1234</t>
  </si>
  <si>
    <t>+30-699-012-3456</t>
  </si>
  <si>
    <t>+61-431-234-567</t>
  </si>
  <si>
    <t>+92-329-1098765</t>
  </si>
  <si>
    <t>+81-80-9012-3456</t>
  </si>
  <si>
    <t>+49-183-4567890</t>
  </si>
  <si>
    <t>+86-137-4567-8901</t>
  </si>
  <si>
    <t>+20-122-321-0987</t>
  </si>
  <si>
    <t>+233-62-345-6789</t>
  </si>
  <si>
    <t>+7-915-109-87-65</t>
  </si>
  <si>
    <t>+353-94-234-5678</t>
  </si>
  <si>
    <t>+86-139-1234-5678</t>
  </si>
  <si>
    <t>+39-356-012-3456</t>
  </si>
  <si>
    <t>+1-206-555-0194</t>
  </si>
  <si>
    <t>+92-308-1098765</t>
  </si>
  <si>
    <t>+34-631-234-567</t>
  </si>
  <si>
    <t>+221-86-012-3456</t>
  </si>
  <si>
    <t>+44-79-3456-7890</t>
  </si>
  <si>
    <t>+971-50-456-7890</t>
  </si>
  <si>
    <t>+55-11-99456-7890</t>
  </si>
  <si>
    <t>+234-823-456-7890</t>
  </si>
  <si>
    <t>+1-647-555-0196</t>
  </si>
  <si>
    <t>+62-820-1234-5678</t>
  </si>
  <si>
    <t>+1-646-555-0196</t>
  </si>
  <si>
    <t>+48-708-012-345</t>
  </si>
  <si>
    <t>+880-1812-234567</t>
  </si>
  <si>
    <t>+254-732-345-678</t>
  </si>
  <si>
    <t>+65-9190-1234</t>
  </si>
  <si>
    <t>+30-700-123-4567</t>
  </si>
  <si>
    <t>+61-432-345-678</t>
  </si>
  <si>
    <t>+92-330-0987654</t>
  </si>
  <si>
    <t>+81-80-0123-4567</t>
  </si>
  <si>
    <t>+49-184-5678901</t>
  </si>
  <si>
    <t>+86-137-5678-9012</t>
  </si>
  <si>
    <t>+20-122-210-9876</t>
  </si>
  <si>
    <t>+33-6-2345-6789</t>
  </si>
  <si>
    <t>+52-81-6789-0123</t>
  </si>
  <si>
    <t>+233-63-456-7890</t>
  </si>
  <si>
    <t>+7-921-098-76-54</t>
  </si>
  <si>
    <t>+353-95-345-6789</t>
  </si>
  <si>
    <t>+39-357-123-4567</t>
  </si>
  <si>
    <t>+92-309-0987654</t>
  </si>
  <si>
    <t>+34-632-345-678</t>
  </si>
  <si>
    <t>+221-87-123-4567</t>
  </si>
  <si>
    <t>+44-79-4567-8901</t>
  </si>
  <si>
    <t>+971-50-567-8901</t>
  </si>
  <si>
    <t>+55-11-99567-8901</t>
  </si>
  <si>
    <t>+234-824-567-8901</t>
  </si>
  <si>
    <t>+1-514-555-0194</t>
  </si>
  <si>
    <t>+62-821-2345-6789</t>
  </si>
  <si>
    <t>+1-773-555-0196</t>
  </si>
  <si>
    <t>+86-138-6789-0123</t>
  </si>
  <si>
    <t>+48-709-123-456</t>
  </si>
  <si>
    <t>+254-733-456-789</t>
  </si>
  <si>
    <t>+65-9290-1234</t>
  </si>
  <si>
    <t>+30-701-234-5678</t>
  </si>
  <si>
    <t>+61-433-456-789</t>
  </si>
  <si>
    <t>+92-331-9876543</t>
  </si>
  <si>
    <t>+49-185-6789012</t>
  </si>
  <si>
    <t>+20-122-109-8765</t>
  </si>
  <si>
    <t>+52-33-7890-0123</t>
  </si>
  <si>
    <t>+233-64-567-8901</t>
  </si>
  <si>
    <t>+353-96-456-7890</t>
  </si>
  <si>
    <t>+39-358-234-5678</t>
  </si>
  <si>
    <t>+1-415-555-0198</t>
  </si>
  <si>
    <t>+92-310-9876543</t>
  </si>
  <si>
    <t>+34-633-456-789</t>
  </si>
  <si>
    <t>+221-88-234-5678</t>
  </si>
  <si>
    <t>+55-21-99678-9012</t>
  </si>
  <si>
    <t>+234-825-678-9012</t>
  </si>
  <si>
    <t>+1-604-555-0196</t>
  </si>
  <si>
    <t>+62-822-3456-7890</t>
  </si>
  <si>
    <t>+1-646-555-0198</t>
  </si>
  <si>
    <t>+48-710-234-567</t>
  </si>
  <si>
    <t>+880-1812-456789</t>
  </si>
  <si>
    <t>+254-734-567-890</t>
  </si>
  <si>
    <t>+65-9390-1234</t>
  </si>
  <si>
    <t>+30-702-345-6789</t>
  </si>
  <si>
    <t>+61-434-567-890</t>
  </si>
  <si>
    <t>+92-332-8765432</t>
  </si>
  <si>
    <t>+49-186-7890123</t>
  </si>
  <si>
    <t>+20-122-098-7654</t>
  </si>
  <si>
    <t>+233-65-678-9012</t>
  </si>
  <si>
    <t>+353-97-567-8901</t>
  </si>
  <si>
    <t>+39-359-345-6789</t>
  </si>
  <si>
    <t>+92-311-8765432</t>
  </si>
  <si>
    <t>+34-634-567-890</t>
  </si>
  <si>
    <t>+221-89-345-6789</t>
  </si>
  <si>
    <t>+44-79-6789-0123</t>
  </si>
  <si>
    <t>+55-11-99789-0123</t>
  </si>
  <si>
    <t>+234-826-789-0123</t>
  </si>
  <si>
    <t>+1-647-555-0198</t>
  </si>
  <si>
    <t>+62-823-4567-8901</t>
  </si>
  <si>
    <t>+48-711-345-678</t>
  </si>
  <si>
    <t>+254-735-678-901</t>
  </si>
  <si>
    <t>+65-9490-1234</t>
  </si>
  <si>
    <t>+30-703-456-7890</t>
  </si>
  <si>
    <t>+61-435-678-901</t>
  </si>
  <si>
    <t>+92-333-7654321</t>
  </si>
  <si>
    <t>+49-187-8901234</t>
  </si>
  <si>
    <t>+20-122-987-6543</t>
  </si>
  <si>
    <t>+52-81-7890-0123</t>
  </si>
  <si>
    <t>+233-66-789-0123</t>
  </si>
  <si>
    <t>+7-921-765-43-21</t>
  </si>
  <si>
    <t>+353-98-678-9012</t>
  </si>
  <si>
    <t>+39-360-456-7890</t>
  </si>
  <si>
    <t>+1-310-555-0196</t>
  </si>
  <si>
    <t>+92-312-7654321</t>
  </si>
  <si>
    <t>+34-635-678-901</t>
  </si>
  <si>
    <t>+221-90-456-7890</t>
  </si>
  <si>
    <t>+55-11-99890-1234</t>
  </si>
  <si>
    <t>+234-827-890-1234</t>
  </si>
  <si>
    <t>+62-824-5678-9012</t>
  </si>
  <si>
    <t>+1-646-555-0194</t>
  </si>
  <si>
    <t>+48-712-456-789</t>
  </si>
  <si>
    <t>+254-736-789-012</t>
  </si>
  <si>
    <t>+65-9590-1234</t>
  </si>
  <si>
    <t>+30-704-567-8901</t>
  </si>
  <si>
    <t>+61-436-789-012</t>
  </si>
  <si>
    <t>+92-334-6543210</t>
  </si>
  <si>
    <t>+49-188-9012345</t>
  </si>
  <si>
    <t>+52-33-8901-0123</t>
  </si>
  <si>
    <t>+233-67-890-1234</t>
  </si>
  <si>
    <t>+353-99-789-0123</t>
  </si>
  <si>
    <t>+39-361-567-8901</t>
  </si>
  <si>
    <t>+92-313-6543210</t>
  </si>
  <si>
    <t>+34-636-789-012</t>
  </si>
  <si>
    <t>+221-91-567-8901</t>
  </si>
  <si>
    <t>+55-21-99901-2345</t>
  </si>
  <si>
    <t>+234-828-901-2345</t>
  </si>
  <si>
    <t>+62-825-6789-0123</t>
  </si>
  <si>
    <t>+1-773-555-0194</t>
  </si>
  <si>
    <t>+48-713-567-890</t>
  </si>
  <si>
    <t>+52-55-7890-0123</t>
  </si>
  <si>
    <t>+254-737-890-123</t>
  </si>
  <si>
    <t>+65-9690-1234</t>
  </si>
  <si>
    <t>+30-705-678-9012</t>
  </si>
  <si>
    <t>+61-437-890-123</t>
  </si>
  <si>
    <t>+92-335-5432109</t>
  </si>
  <si>
    <t>+49-189-0123456</t>
  </si>
  <si>
    <t>+52-55-8901-0123</t>
  </si>
  <si>
    <t>+233-68-901-2345</t>
  </si>
  <si>
    <t>+7-921-543-21-09</t>
  </si>
  <si>
    <t>+353-00-890-1234</t>
  </si>
  <si>
    <t>+39-362-678-9012</t>
  </si>
  <si>
    <t>+92-314-5432109</t>
  </si>
  <si>
    <t>+34-637-890-123</t>
  </si>
  <si>
    <t>+221-92-678-9012</t>
  </si>
  <si>
    <t>+55-11-99912-3456</t>
  </si>
  <si>
    <t>+234-829-012-3456</t>
  </si>
  <si>
    <t>+62-826-7890-1234</t>
  </si>
  <si>
    <t>+48-714-678-901</t>
  </si>
  <si>
    <t>+254-738-901-234</t>
  </si>
  <si>
    <t>+65-9790-1234</t>
  </si>
  <si>
    <t>+30-706-789-0123</t>
  </si>
  <si>
    <t>+61-438-901-234</t>
  </si>
  <si>
    <t>+92-336-4321098</t>
  </si>
  <si>
    <t>+49-190-1234567</t>
  </si>
  <si>
    <t>+52-81-9012-0123</t>
  </si>
  <si>
    <t>+233-69-012-3456</t>
  </si>
  <si>
    <t>+353-01-901-2345</t>
  </si>
  <si>
    <t>+39-363-789-0123</t>
  </si>
  <si>
    <t>+92-315-4321098</t>
  </si>
  <si>
    <t>+34-638-901-234</t>
  </si>
  <si>
    <t>+221-93-789-0123</t>
  </si>
  <si>
    <t>+55-11-99923-4567</t>
  </si>
  <si>
    <t>+234-830-123-4567</t>
  </si>
  <si>
    <t>+62-827-8901-2345</t>
  </si>
  <si>
    <t>+48-715-789-012</t>
  </si>
  <si>
    <t>+52-55-9012-0123</t>
  </si>
  <si>
    <t>+254-739-012-345</t>
  </si>
  <si>
    <t>+65-9890-1234</t>
  </si>
  <si>
    <t>+30-707-890-1234</t>
  </si>
  <si>
    <t>+61-439-012-345</t>
  </si>
  <si>
    <t>+92-337-3210987</t>
  </si>
  <si>
    <t>+49-191-2345678</t>
  </si>
  <si>
    <t>+52-33-0123-0123</t>
  </si>
  <si>
    <t>+233-70-123-4567</t>
  </si>
  <si>
    <t>+7-921-321-09-87</t>
  </si>
  <si>
    <t>+353-02-012-3456</t>
  </si>
  <si>
    <t>+39-364-890-1234</t>
  </si>
  <si>
    <t>+92-316-3210987</t>
  </si>
  <si>
    <t>+34-639-012-345</t>
  </si>
  <si>
    <t>+221-94-890-1234</t>
  </si>
  <si>
    <t>+55-21-99934-5678</t>
  </si>
  <si>
    <t>+234-831-234-5678</t>
  </si>
  <si>
    <t>+62-828-9012-3456</t>
  </si>
  <si>
    <t>+48-716-890-123</t>
  </si>
  <si>
    <t>+52-55-0123-0123</t>
  </si>
  <si>
    <t>+254-740-123-456</t>
  </si>
  <si>
    <t>+65-9990-1234</t>
  </si>
  <si>
    <t>+30-708-901-2345</t>
  </si>
  <si>
    <t>+61-440-123-456</t>
  </si>
  <si>
    <t>+92-338-2109876</t>
  </si>
  <si>
    <t>+49-192-3456789</t>
  </si>
  <si>
    <t>+52-55-1234-0123</t>
  </si>
  <si>
    <t>+233-71-234-5678</t>
  </si>
  <si>
    <t>+353-03-123-4567</t>
  </si>
  <si>
    <t>+39-365-901-2345</t>
  </si>
  <si>
    <t>+92-317-2109876</t>
  </si>
  <si>
    <t>+34-640-123-456</t>
  </si>
  <si>
    <t>+221-95-901-2345</t>
  </si>
  <si>
    <t>+55-11-99945-6789</t>
  </si>
  <si>
    <t>+234-832-345-6789</t>
  </si>
  <si>
    <t>+62-829-0123-4567</t>
  </si>
  <si>
    <t>+48-717-901-234</t>
  </si>
  <si>
    <t>+254-741-234-567</t>
  </si>
  <si>
    <t>+65-0090-1234</t>
  </si>
  <si>
    <t>+30-709-012-3456</t>
  </si>
  <si>
    <t>+61-441-234-567</t>
  </si>
  <si>
    <t>+92-339-1098765</t>
  </si>
  <si>
    <t>+49-193-4567890</t>
  </si>
  <si>
    <t>+52-81-2345-0123</t>
  </si>
  <si>
    <t>+233-72-345-6789</t>
  </si>
  <si>
    <t>+353-04-234-5678</t>
  </si>
  <si>
    <t>+39-366-012-3456</t>
  </si>
  <si>
    <t>+92-318-1098765</t>
  </si>
  <si>
    <t>+34-641-234-567</t>
  </si>
  <si>
    <t>+221-96-012-3456</t>
  </si>
  <si>
    <t>+55-11-99956-7890</t>
  </si>
  <si>
    <t>+234-833-456-7890</t>
  </si>
  <si>
    <t>+62-830-1234-5678</t>
  </si>
  <si>
    <t>+48-718-012-345</t>
  </si>
  <si>
    <t>+52-55-2345-0123</t>
  </si>
  <si>
    <t>+254-742-345-678</t>
  </si>
  <si>
    <t>+65-0190-1234</t>
  </si>
  <si>
    <t>+30-710-123-4567</t>
  </si>
  <si>
    <t>+61-442-345-678</t>
  </si>
  <si>
    <t>+92-340-0987654</t>
  </si>
  <si>
    <t>+49-194-5678901</t>
  </si>
  <si>
    <t>+52-33-3456-0123</t>
  </si>
  <si>
    <t>+233-73-456-7890</t>
  </si>
  <si>
    <t>+353-05-345-6789</t>
  </si>
  <si>
    <t>+39-367-123-4567</t>
  </si>
  <si>
    <t>+92-319-0987654</t>
  </si>
  <si>
    <t>+34-642-345-678</t>
  </si>
  <si>
    <t>+221-97-123-4567</t>
  </si>
  <si>
    <t>+55-21-99967-8901</t>
  </si>
  <si>
    <t>+234-834-567-8901</t>
  </si>
  <si>
    <t>+62-831-2345-6789</t>
  </si>
  <si>
    <t>+48-719-123-456</t>
  </si>
  <si>
    <t>+52-55-3456-0123</t>
  </si>
  <si>
    <t>+254-743-456-789</t>
  </si>
  <si>
    <t>+65-0290-1234</t>
  </si>
  <si>
    <t>+30-711-234-5678</t>
  </si>
  <si>
    <t>+61-443-456-789</t>
  </si>
  <si>
    <t>+92-341-9876543</t>
  </si>
  <si>
    <t>+49-195-6789012</t>
  </si>
  <si>
    <t>+52-55-4567-0123</t>
  </si>
  <si>
    <t>+233-74-567-8901</t>
  </si>
  <si>
    <t>+353-06-456-7890</t>
  </si>
  <si>
    <t>+39-368-234-5678</t>
  </si>
  <si>
    <t>+92-320-9876543</t>
  </si>
  <si>
    <t>+34-643-456-789</t>
  </si>
  <si>
    <t>+221-98-234-5678</t>
  </si>
  <si>
    <t>+55-11-99978-9012</t>
  </si>
  <si>
    <t>+234-835-678-9012</t>
  </si>
  <si>
    <t>+62-832-3456-7890</t>
  </si>
  <si>
    <t>+48-720-234-567</t>
  </si>
  <si>
    <t>+254-744-567-890</t>
  </si>
  <si>
    <t>+65-0390-1234</t>
  </si>
  <si>
    <t>+30-712-345-6789</t>
  </si>
  <si>
    <t>+61-444-567-890</t>
  </si>
  <si>
    <t>+92-342-8765432</t>
  </si>
  <si>
    <t>+49-196-7890123</t>
  </si>
  <si>
    <t>+52-81-5678-0123</t>
  </si>
  <si>
    <t>+233-75-678-9012</t>
  </si>
  <si>
    <t>+353-07-567-8901</t>
  </si>
  <si>
    <t>+39-369-345-6789</t>
  </si>
  <si>
    <t>+92-321-8765432</t>
  </si>
  <si>
    <t>+34-644-567-890</t>
  </si>
  <si>
    <t>+221-99-345-6789</t>
  </si>
  <si>
    <t>+55-11-99989-0123</t>
  </si>
  <si>
    <t>+234-836-789-0123</t>
  </si>
  <si>
    <t>+62-833-4567-8901</t>
  </si>
  <si>
    <t>+48-721-345-678</t>
  </si>
  <si>
    <t>+52-55-5678-0123</t>
  </si>
  <si>
    <t>+254-745-678-901</t>
  </si>
  <si>
    <t>+65-0490-1234</t>
  </si>
  <si>
    <t>+30-713-456-7890</t>
  </si>
  <si>
    <t>+61-445-678-901</t>
  </si>
  <si>
    <t>+92-343-7654321</t>
  </si>
  <si>
    <t>+49-197-8901234</t>
  </si>
  <si>
    <t>+52-33-6789-0123</t>
  </si>
  <si>
    <t>+233-76-789-0123</t>
  </si>
  <si>
    <t>+353-08-678-9012</t>
  </si>
  <si>
    <t>+39-370-456-7890</t>
  </si>
  <si>
    <t>+92-322-7654321</t>
  </si>
  <si>
    <t>+34-645-678-901</t>
  </si>
  <si>
    <t>+221-00-456-7890</t>
  </si>
  <si>
    <t>+55-21-99990-1234</t>
  </si>
  <si>
    <t>+234-837-890-1234</t>
  </si>
  <si>
    <t>+62-834-5678-9012</t>
  </si>
  <si>
    <t>+48-722-456-789</t>
  </si>
  <si>
    <t>+254-746-789-012</t>
  </si>
  <si>
    <t>+65-0590-1234</t>
  </si>
  <si>
    <t>+30-714-567-8901</t>
  </si>
  <si>
    <t>+61-446-789-012</t>
  </si>
  <si>
    <t>+92-344-6543210</t>
  </si>
  <si>
    <t>+49-198-9012345</t>
  </si>
  <si>
    <t>+233-77-890-1234</t>
  </si>
  <si>
    <t>+353-09-789-0123</t>
  </si>
  <si>
    <t>+39-371-567-8901</t>
  </si>
  <si>
    <t>+92-323-6543210</t>
  </si>
  <si>
    <t>+34-646-789-012</t>
  </si>
  <si>
    <t>+221-01-567-8901</t>
  </si>
  <si>
    <t>+55-11-99901-2345</t>
  </si>
  <si>
    <t>+234-838-901-2345</t>
  </si>
  <si>
    <t>+62-835-6789-0123</t>
  </si>
  <si>
    <t>+48-723-567-890</t>
  </si>
  <si>
    <t>+254-747-890-123</t>
  </si>
  <si>
    <t>+65-0690-1234</t>
  </si>
  <si>
    <t>+30-715-678-9012</t>
  </si>
  <si>
    <t>+61-447-890-123</t>
  </si>
  <si>
    <t>+92-345-5432109</t>
  </si>
  <si>
    <t>+49-199-0123456</t>
  </si>
  <si>
    <t>+52-81-8901-0123</t>
  </si>
  <si>
    <t>+233-78-901-2345</t>
  </si>
  <si>
    <t>+353-10-890-1234</t>
  </si>
  <si>
    <t>+39-372-678-9012</t>
  </si>
  <si>
    <t>+92-324-5432109</t>
  </si>
  <si>
    <t>+34-647-890-123</t>
  </si>
  <si>
    <t>+221-02-678-9012</t>
  </si>
  <si>
    <t>+234-839-012-3456</t>
  </si>
  <si>
    <t>+62-836-7890-1234</t>
  </si>
  <si>
    <t>+48-724-678-901</t>
  </si>
  <si>
    <t>+254-748-901-234</t>
  </si>
  <si>
    <t>+65-0790-1234</t>
  </si>
  <si>
    <t>+30-716-789-0123</t>
  </si>
  <si>
    <t>+61-448-901-234</t>
  </si>
  <si>
    <t>+92-346-4321098</t>
  </si>
  <si>
    <t>+49-200-1234567</t>
  </si>
  <si>
    <t>+52-33-9012-0123</t>
  </si>
  <si>
    <t>+233-79-012-3456</t>
  </si>
  <si>
    <t>+353-11-901-2345</t>
  </si>
  <si>
    <t>+39-373-789-0123</t>
  </si>
  <si>
    <t>+92-325-4321098</t>
  </si>
  <si>
    <t>+34-648-901-234</t>
  </si>
  <si>
    <t>+221-03-789-0123</t>
  </si>
  <si>
    <t>+55-21-99923-4567</t>
  </si>
  <si>
    <t>+234-840-123-4567</t>
  </si>
  <si>
    <t>+62-837-8901-2345</t>
  </si>
  <si>
    <t>+48-725-789-012</t>
  </si>
  <si>
    <t>+254-749-012-345</t>
  </si>
  <si>
    <t>+65-0890-1234</t>
  </si>
  <si>
    <t>+30-717-890-1234</t>
  </si>
  <si>
    <t>+61-449-012-345</t>
  </si>
  <si>
    <t>+92-347-3210987</t>
  </si>
  <si>
    <t>+49-201-2345678</t>
  </si>
  <si>
    <t>+233-80-123-4567</t>
  </si>
  <si>
    <t>+353-12-012-3456</t>
  </si>
  <si>
    <t>+39-374-890-1234</t>
  </si>
  <si>
    <t>+92-326-3210987</t>
  </si>
  <si>
    <t>+34-649-012-345</t>
  </si>
  <si>
    <t>+221-04-890-1234</t>
  </si>
  <si>
    <t>+55-11-99934-5678</t>
  </si>
  <si>
    <t>+234-841-234-5678</t>
  </si>
  <si>
    <t>+62-838-9012-3456</t>
  </si>
  <si>
    <t>+48-726-890-123</t>
  </si>
  <si>
    <t>+254-750-123-456</t>
  </si>
  <si>
    <t>+65-0990-1234</t>
  </si>
  <si>
    <t>+30-718-901-2345</t>
  </si>
  <si>
    <t>+61-450-123-456</t>
  </si>
  <si>
    <t>+92-348-2109876</t>
  </si>
  <si>
    <t>+49-202-3456789</t>
  </si>
  <si>
    <t>+52-81-1234-0123</t>
  </si>
  <si>
    <t>+233-81-234-5678</t>
  </si>
  <si>
    <t>+353-13-123-4567</t>
  </si>
  <si>
    <t>+39-375-901-2345</t>
  </si>
  <si>
    <t>+92-327-2109876</t>
  </si>
  <si>
    <t>+34-650-123-456</t>
  </si>
  <si>
    <t>+221-05-901-2345</t>
  </si>
  <si>
    <t>+234-842-345-6789</t>
  </si>
  <si>
    <t>+62-839-0123-4567</t>
  </si>
  <si>
    <t>+48-727-901-234</t>
  </si>
  <si>
    <t>+254-751-234-567</t>
  </si>
  <si>
    <t>+65-1090-1234</t>
  </si>
  <si>
    <t>+30-719-012-3456</t>
  </si>
  <si>
    <t>+61-451-234-567</t>
  </si>
  <si>
    <t>+92-349-1098765</t>
  </si>
  <si>
    <t>+49-203-4567890</t>
  </si>
  <si>
    <t>+52-33-2345-0123</t>
  </si>
  <si>
    <t>+233-82-345-6789</t>
  </si>
  <si>
    <t>+353-14-234-5678</t>
  </si>
  <si>
    <t>+39-376-012-3456</t>
  </si>
  <si>
    <t>+92-328-1098765</t>
  </si>
  <si>
    <t>+34-651-234-567</t>
  </si>
  <si>
    <t>+221-06-012-3456</t>
  </si>
  <si>
    <t>+55-21-99956-7890</t>
  </si>
  <si>
    <t>+234-843-456-7890</t>
  </si>
  <si>
    <t>+62-840-1234-5678</t>
  </si>
  <si>
    <t>+48-728-012-345</t>
  </si>
  <si>
    <t>+254-752-345-678</t>
  </si>
  <si>
    <t>+65-1190-1234</t>
  </si>
  <si>
    <t>+30-720-123-4567</t>
  </si>
  <si>
    <t>+61-452-345-678</t>
  </si>
  <si>
    <t>+92-350-9876543</t>
  </si>
  <si>
    <t>+49-204-5678901</t>
  </si>
  <si>
    <t>+233-83-456-7890</t>
  </si>
  <si>
    <t>+353-15-345-6789</t>
  </si>
  <si>
    <t>+39-377-123-4567</t>
  </si>
  <si>
    <t>+92-329-9876543</t>
  </si>
  <si>
    <t>+34-652-345-678</t>
  </si>
  <si>
    <t>+221-07-123-4567</t>
  </si>
  <si>
    <t>+55-11-99967-8901</t>
  </si>
  <si>
    <t>+234-844-567-8901</t>
  </si>
  <si>
    <t>+62-841-2345-6789</t>
  </si>
  <si>
    <t>+48-729-123-456</t>
  </si>
  <si>
    <t>+254-753-456-789</t>
  </si>
  <si>
    <t>+65-1290-1234</t>
  </si>
  <si>
    <t>+30-721-234-5678</t>
  </si>
  <si>
    <t>+61-453-456-789</t>
  </si>
  <si>
    <t>+92-351-8765432</t>
  </si>
  <si>
    <t>+49-205-6789012</t>
  </si>
  <si>
    <t>+52-81-4567-0123</t>
  </si>
  <si>
    <t>+233-84-567-8901</t>
  </si>
  <si>
    <t>+353-16-456-7890</t>
  </si>
  <si>
    <t>+39-378-234-5678</t>
  </si>
  <si>
    <t>+92-330-8765432</t>
  </si>
  <si>
    <t>+34-653-456-789</t>
  </si>
  <si>
    <t>+221-08-234-5678</t>
  </si>
  <si>
    <t>+234-845-678-9012</t>
  </si>
  <si>
    <t>+62-842-3456-7890</t>
  </si>
  <si>
    <t>+48-730-234-567</t>
  </si>
  <si>
    <t>+254-754-567-890</t>
  </si>
  <si>
    <t>+65-1390-1234</t>
  </si>
  <si>
    <t>+30-722-345-6789</t>
  </si>
  <si>
    <t>+61-454-567-890</t>
  </si>
  <si>
    <t>+92-352-7654321</t>
  </si>
  <si>
    <t>+49-206-7890123</t>
  </si>
  <si>
    <t>+52-33-5678-0123</t>
  </si>
  <si>
    <t>+233-85-678-9012</t>
  </si>
  <si>
    <t>+353-17-567-8901</t>
  </si>
  <si>
    <t>+39-379-345-6789</t>
  </si>
  <si>
    <t>+92-331-7654321</t>
  </si>
  <si>
    <t>+34-654-567-890</t>
  </si>
  <si>
    <t>+221-09-345-6789</t>
  </si>
  <si>
    <t>+55-21-99989-0123</t>
  </si>
  <si>
    <t>+234-846-789-0123</t>
  </si>
  <si>
    <t>+62-843-4567-8901</t>
  </si>
  <si>
    <t>+48-731-345-678</t>
  </si>
  <si>
    <t>+254-755-678-901</t>
  </si>
  <si>
    <t>+65-1490-1234</t>
  </si>
  <si>
    <t>+30-723-456-7890</t>
  </si>
  <si>
    <t>+61-455-678-901</t>
  </si>
  <si>
    <t>+92-353-6543210</t>
  </si>
  <si>
    <t>+49-207-8901234</t>
  </si>
  <si>
    <t>+233-86-789-0123</t>
  </si>
  <si>
    <t>+353-18-678-9012</t>
  </si>
  <si>
    <t>+39-380-456-7890</t>
  </si>
  <si>
    <t>+92-332-6543210</t>
  </si>
  <si>
    <t>+34-655-678-901</t>
  </si>
  <si>
    <t>+221-10-456-7890</t>
  </si>
  <si>
    <t>+55-11-99990-1234</t>
  </si>
  <si>
    <t>+234-847-890-1234</t>
  </si>
  <si>
    <t>+62-844-5678-9012</t>
  </si>
  <si>
    <t>+48-732-456-789</t>
  </si>
  <si>
    <t>+254-756-789-012</t>
  </si>
  <si>
    <t>+65-1590-1234</t>
  </si>
  <si>
    <t>+30-724-567-8901</t>
  </si>
  <si>
    <t>+61-456-789-012</t>
  </si>
  <si>
    <t>+92-354-5432109</t>
  </si>
  <si>
    <t>+49-208-9012345</t>
  </si>
  <si>
    <t>+233-87-890-1234</t>
  </si>
  <si>
    <t>+353-19-789-0123</t>
  </si>
  <si>
    <t>+39-381-567-8901</t>
  </si>
  <si>
    <t>+92-333-5432109</t>
  </si>
  <si>
    <t>+34-656-789-012</t>
  </si>
  <si>
    <t>+221-11-567-8901</t>
  </si>
  <si>
    <t>+234-848-901-2345</t>
  </si>
  <si>
    <t>+62-845-6789-0123</t>
  </si>
  <si>
    <t>+48-733-567-890</t>
  </si>
  <si>
    <t>+254-757-890-123</t>
  </si>
  <si>
    <t>+65-1690-1234</t>
  </si>
  <si>
    <t>+30-725-678-9012</t>
  </si>
  <si>
    <t>+61-457-890-123</t>
  </si>
  <si>
    <t>+92-355-4321098</t>
  </si>
  <si>
    <t>+49-209-0123456</t>
  </si>
  <si>
    <t>+233-88-901-2345</t>
  </si>
  <si>
    <t>+353-20-890-1234</t>
  </si>
  <si>
    <t>+39-382-678-9012</t>
  </si>
  <si>
    <t>+92-334-4321098</t>
  </si>
  <si>
    <t>+34-657-890-123</t>
  </si>
  <si>
    <t>+221-12-678-9012</t>
  </si>
  <si>
    <t>+55-21-99912-3456</t>
  </si>
  <si>
    <t>+234-849-012-3456</t>
  </si>
  <si>
    <t>+62-846-7890-1234</t>
  </si>
  <si>
    <t>+48-734-678-901</t>
  </si>
  <si>
    <t>+254-758-901-234</t>
  </si>
  <si>
    <t>+65-1790-1234</t>
  </si>
  <si>
    <t>+30-726-789-0123</t>
  </si>
  <si>
    <t>+61-458-901-234</t>
  </si>
  <si>
    <t>+92-356-3210987</t>
  </si>
  <si>
    <t>+49-210-1234567</t>
  </si>
  <si>
    <t>+233-89-012-3456</t>
  </si>
  <si>
    <t>+353-21-901-2345</t>
  </si>
  <si>
    <t>+39-383-789-0123</t>
  </si>
  <si>
    <t>+92-335-3210987</t>
  </si>
  <si>
    <t>+34-658-901-234</t>
  </si>
  <si>
    <t>+221-13-789-0123</t>
  </si>
  <si>
    <t>+234-850-123-4567</t>
  </si>
  <si>
    <t>+62-847-8901-2345</t>
  </si>
  <si>
    <t>+48-735-789-012</t>
  </si>
  <si>
    <t>+254-759-012-345</t>
  </si>
  <si>
    <t>+65-1890-1234</t>
  </si>
  <si>
    <t>+30-727-890-1234</t>
  </si>
  <si>
    <t>+61-459-012-345</t>
  </si>
  <si>
    <t>+92-357-2109876</t>
  </si>
  <si>
    <t>+49-211-2345678</t>
  </si>
  <si>
    <t>+52-81-0123-0123</t>
  </si>
  <si>
    <t>+233-90-123-4567</t>
  </si>
  <si>
    <t>+353-22-012-3456</t>
  </si>
  <si>
    <t>+39-384-890-1234</t>
  </si>
  <si>
    <t>+92-336-2109876</t>
  </si>
  <si>
    <t>+34-659-012-345</t>
  </si>
  <si>
    <t>+221-14-890-1234</t>
  </si>
  <si>
    <t>+234-851-234-5678</t>
  </si>
  <si>
    <t>+62-848-9012-3456</t>
  </si>
  <si>
    <t>+48-736-890-123</t>
  </si>
  <si>
    <t>+254-760-123-456</t>
  </si>
  <si>
    <t>+65-1990-1234</t>
  </si>
  <si>
    <t>+30-728-901-2345</t>
  </si>
  <si>
    <t>+61-460-123-456</t>
  </si>
  <si>
    <t>+92-358-1098765</t>
  </si>
  <si>
    <t>+49-212-3456789</t>
  </si>
  <si>
    <t>+52-33-1234-0123</t>
  </si>
  <si>
    <t>+233-91-234-5678</t>
  </si>
  <si>
    <t>+353-23-123-4567</t>
  </si>
  <si>
    <t>+39-385-901-2345</t>
  </si>
  <si>
    <t>+92-337-1098765</t>
  </si>
  <si>
    <t>+34-660-123-456</t>
  </si>
  <si>
    <t>+221-15-901-2345</t>
  </si>
  <si>
    <t>+55-21-99945-6789</t>
  </si>
  <si>
    <t>+234-852-345-6789</t>
  </si>
  <si>
    <t>+62-849-0123-4567</t>
  </si>
  <si>
    <t>+48-737-901-234</t>
  </si>
  <si>
    <t>+254-761-234-567</t>
  </si>
  <si>
    <t>+65-2090-1234</t>
  </si>
  <si>
    <t>+30-729-012-3456</t>
  </si>
  <si>
    <t>+61-461-234-567</t>
  </si>
  <si>
    <t>+92-359-0987654</t>
  </si>
  <si>
    <t>+49-213-4567890</t>
  </si>
  <si>
    <t>+233-92-345-6789</t>
  </si>
  <si>
    <t>+353-24-234-5678</t>
  </si>
  <si>
    <t>+39-386-012-3456</t>
  </si>
  <si>
    <t>+92-338-0987654</t>
  </si>
  <si>
    <t>+34-661-234-567</t>
  </si>
  <si>
    <t>+221-16-012-3456</t>
  </si>
  <si>
    <t>+234-853-456-7890</t>
  </si>
  <si>
    <t>+62-850-1234-5678</t>
  </si>
  <si>
    <t>+48-738-012-345</t>
  </si>
  <si>
    <t>+254-762-345-678</t>
  </si>
  <si>
    <t>+65-2190-1234</t>
  </si>
  <si>
    <t>+30-730-123-4567</t>
  </si>
  <si>
    <t>+61-462-345-678</t>
  </si>
  <si>
    <t/>
  </si>
  <si>
    <t>Stacked bar chart</t>
  </si>
  <si>
    <t>bar chart</t>
  </si>
  <si>
    <t>100% stacked bar</t>
  </si>
  <si>
    <t>Count of Username</t>
  </si>
  <si>
    <t>Average of Balance (USD)</t>
  </si>
  <si>
    <t>Average of Debt Ratio</t>
  </si>
  <si>
    <t>Grand Total</t>
  </si>
  <si>
    <t>Donut Chart</t>
  </si>
  <si>
    <t>Average of Debt (USD)</t>
  </si>
  <si>
    <t>Average of Credit Score</t>
  </si>
  <si>
    <t>Lower-Middle</t>
  </si>
  <si>
    <t>Upper-Middle</t>
  </si>
  <si>
    <t>Sum of Balance (USD)</t>
  </si>
  <si>
    <t>Total customers</t>
  </si>
  <si>
    <t>Average balance</t>
  </si>
  <si>
    <t>EXCEPTIONAL</t>
  </si>
  <si>
    <t>FAIR</t>
  </si>
  <si>
    <t>GOOD</t>
  </si>
  <si>
    <t>VERY GOOD</t>
  </si>
  <si>
    <t>18-24</t>
  </si>
  <si>
    <t>25-34</t>
  </si>
  <si>
    <t>35-44</t>
  </si>
  <si>
    <t>45-54</t>
  </si>
  <si>
    <t>55+</t>
  </si>
  <si>
    <t xml:space="preserve">Global Banking Customer Risk Dashboard </t>
  </si>
  <si>
    <t>Total Customers</t>
  </si>
  <si>
    <t>Average Balance</t>
  </si>
  <si>
    <t>Avg Credit Score</t>
  </si>
  <si>
    <t>Avg Debt Ratio</t>
  </si>
  <si>
    <t>High Risk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</si>
</sst>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,&quot;K&quot;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28"/>
      <color theme="0"/>
      <name val="Calibri"/>
      <scheme val="minor"/>
    </font>
    <font>
      <sz val="2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Calibri"/>
      <scheme val="minor"/>
    </font>
    <font>
      <b/>
      <sz val="18"/>
      <color rgb="FFFFFFFF"/>
      <name val="Calibri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A7D4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pivotButton="1" applyNumberFormat="1"/>
    <xf numFmtId="0" fontId="18" fillId="33" borderId="0" xfId="0" applyFont="1" applyFill="1" applyAlignment="1">
      <alignment wrapText="1"/>
    </xf>
    <xf numFmtId="0" fontId="0" fillId="33" borderId="0" xfId="0" applyFill="1"/>
    <xf numFmtId="0" fontId="0" fillId="33" borderId="0" xfId="0" applyFill="1" applyAlignment="1">
      <alignment horizontal="center"/>
    </xf>
    <xf numFmtId="164" fontId="0" fillId="0" borderId="0" xfId="0" applyNumberFormat="1"/>
    <xf numFmtId="0" fontId="23" fillId="34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3" borderId="0" xfId="0" applyFont="1" applyFill="1" applyAlignment="1">
      <alignment horizontal="center" vertical="top" wrapText="1"/>
    </xf>
    <xf numFmtId="0" fontId="20" fillId="34" borderId="0" xfId="0" applyFont="1" applyFill="1" applyAlignment="1">
      <alignment horizontal="center" vertical="center"/>
    </xf>
    <xf numFmtId="10" fontId="20" fillId="34" borderId="0" xfId="0" applyNumberFormat="1" applyFont="1" applyFill="1" applyAlignment="1">
      <alignment horizontal="center" vertical="center"/>
    </xf>
    <xf numFmtId="0" fontId="19" fillId="34" borderId="0" xfId="0" applyFont="1" applyFill="1" applyAlignment="1">
      <alignment horizontal="center" vertical="top" wrapText="1"/>
    </xf>
    <xf numFmtId="164" fontId="20" fillId="34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1" fontId="20" fillId="34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 vertical="center"/>
    </dxf>
    <dxf>
      <numFmt numFmtId="0" formatCode="General"/>
      <alignment horizontal="center"/>
    </dxf>
    <dxf>
      <numFmt numFmtId="14" formatCode="0.00%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0.0,&quot;K&quot;"/>
    </dxf>
  </dxfs>
  <tableStyles count="0" defaultTableStyle="TableStyleMedium2" defaultPivotStyle="PivotStyleLight16"/>
  <colors>
    <mruColors>
      <color rgb="FF5A7D41"/>
      <color rgb="FFB3ED9D"/>
      <color rgb="FF466087"/>
      <color rgb="FF324D1F"/>
      <color rgb="FFA19AFC"/>
      <color rgb="FF6DF2EC"/>
      <color rgb="FF5ED1CB"/>
      <color rgb="FF0BBFB6"/>
      <color rgb="FF56E3A4"/>
      <color rgb="FF15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Banking Customer Analytics Dataset 14.xlsx]Pivot tables!PivotTable18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Profile by KYC Category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tables'!$K$2:$K$3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tables'!$J$4:$J$6</c:f>
              <c:strCache>
                <c:ptCount val="2"/>
                <c:pt idx="0">
                  <c:v>Pending</c:v>
                </c:pt>
                <c:pt idx="1">
                  <c:v>Verified</c:v>
                </c:pt>
              </c:strCache>
            </c:strRef>
          </c:cat>
          <c:val>
            <c:numRef>
              <c:f>'Pivot tables'!$K$4:$K$6</c:f>
              <c:numCache>
                <c:formatCode>General</c:formatCode>
                <c:ptCount val="2"/>
                <c:pt idx="0">
                  <c:v>127</c:v>
                </c:pt>
                <c:pt idx="1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A-4030-889D-52F0F5731585}"/>
            </c:ext>
          </c:extLst>
        </c:ser>
        <c:ser>
          <c:idx val="1"/>
          <c:order val="1"/>
          <c:tx>
            <c:strRef>
              <c:f>'Pivot tables'!$L$2:$L$3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tables'!$J$4:$J$6</c:f>
              <c:strCache>
                <c:ptCount val="2"/>
                <c:pt idx="0">
                  <c:v>Pending</c:v>
                </c:pt>
                <c:pt idx="1">
                  <c:v>Verified</c:v>
                </c:pt>
              </c:strCache>
            </c:strRef>
          </c:cat>
          <c:val>
            <c:numRef>
              <c:f>'Pivot tables'!$L$4:$L$6</c:f>
              <c:numCache>
                <c:formatCode>General</c:formatCode>
                <c:ptCount val="2"/>
                <c:pt idx="1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A-4030-889D-52F0F5731585}"/>
            </c:ext>
          </c:extLst>
        </c:ser>
        <c:ser>
          <c:idx val="2"/>
          <c:order val="2"/>
          <c:tx>
            <c:strRef>
              <c:f>'Pivot tables'!$M$2:$M$3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tables'!$J$4:$J$6</c:f>
              <c:strCache>
                <c:ptCount val="2"/>
                <c:pt idx="0">
                  <c:v>Pending</c:v>
                </c:pt>
                <c:pt idx="1">
                  <c:v>Verified</c:v>
                </c:pt>
              </c:strCache>
            </c:strRef>
          </c:cat>
          <c:val>
            <c:numRef>
              <c:f>'Pivot tables'!$M$4:$M$6</c:f>
              <c:numCache>
                <c:formatCode>General</c:formatCode>
                <c:ptCount val="2"/>
                <c:pt idx="0">
                  <c:v>126</c:v>
                </c:pt>
                <c:pt idx="1">
                  <c:v>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2A-4030-889D-52F0F5731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1452679"/>
        <c:axId val="1431462919"/>
      </c:barChart>
      <c:catAx>
        <c:axId val="1431452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62919"/>
        <c:crosses val="autoZero"/>
        <c:auto val="1"/>
        <c:lblAlgn val="ctr"/>
        <c:lblOffset val="100"/>
        <c:noMultiLvlLbl val="0"/>
      </c:catAx>
      <c:valAx>
        <c:axId val="1431462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5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Banking Customer Analytics Dataset 14.xlsx]Pivot tables!PivotTable15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Debt Ratio by Risk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tables'!$G$3:$G$6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tables'!$H$3:$H$6</c:f>
              <c:numCache>
                <c:formatCode>0.00%</c:formatCode>
                <c:ptCount val="3"/>
                <c:pt idx="0">
                  <c:v>0.45638133413767956</c:v>
                </c:pt>
                <c:pt idx="1">
                  <c:v>0.22404098490062549</c:v>
                </c:pt>
                <c:pt idx="2">
                  <c:v>0.2971802722284636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F-4097-8F69-891D22AD4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295943"/>
        <c:axId val="1417213447"/>
      </c:barChart>
      <c:catAx>
        <c:axId val="141629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13447"/>
        <c:crosses val="autoZero"/>
        <c:auto val="1"/>
        <c:lblAlgn val="ctr"/>
        <c:lblOffset val="100"/>
        <c:noMultiLvlLbl val="0"/>
      </c:catAx>
      <c:valAx>
        <c:axId val="141721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29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Banking Customer Analytics Dataset 14.xlsx]Pivot 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Profile by Credit Score Band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tables'!$K$19:$K$20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tables'!$J$21:$J$25</c:f>
              <c:strCache>
                <c:ptCount val="4"/>
                <c:pt idx="0">
                  <c:v>EXCEPTIONAL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</c:strCache>
            </c:strRef>
          </c:cat>
          <c:val>
            <c:numRef>
              <c:f>'Pivot tables'!$K$21:$K$25</c:f>
              <c:numCache>
                <c:formatCode>General</c:formatCode>
                <c:ptCount val="4"/>
                <c:pt idx="1">
                  <c:v>293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2-41B2-87AB-0553CB21BFF5}"/>
            </c:ext>
          </c:extLst>
        </c:ser>
        <c:ser>
          <c:idx val="1"/>
          <c:order val="1"/>
          <c:tx>
            <c:strRef>
              <c:f>'Pivot tables'!$L$19:$L$20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tables'!$J$21:$J$25</c:f>
              <c:strCache>
                <c:ptCount val="4"/>
                <c:pt idx="0">
                  <c:v>EXCEPTIONAL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</c:strCache>
            </c:strRef>
          </c:cat>
          <c:val>
            <c:numRef>
              <c:f>'Pivot tables'!$L$21:$L$25</c:f>
              <c:numCache>
                <c:formatCode>General</c:formatCode>
                <c:ptCount val="4"/>
                <c:pt idx="0">
                  <c:v>166</c:v>
                </c:pt>
                <c:pt idx="2">
                  <c:v>174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2-41B2-87AB-0553CB21BFF5}"/>
            </c:ext>
          </c:extLst>
        </c:ser>
        <c:ser>
          <c:idx val="2"/>
          <c:order val="2"/>
          <c:tx>
            <c:strRef>
              <c:f>'Pivot tables'!$M$19:$M$20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tables'!$J$21:$J$25</c:f>
              <c:strCache>
                <c:ptCount val="4"/>
                <c:pt idx="0">
                  <c:v>EXCEPTIONAL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</c:strCache>
            </c:strRef>
          </c:cat>
          <c:val>
            <c:numRef>
              <c:f>'Pivot tables'!$M$21:$M$25</c:f>
              <c:numCache>
                <c:formatCode>General</c:formatCode>
                <c:ptCount val="4"/>
                <c:pt idx="1">
                  <c:v>44</c:v>
                </c:pt>
                <c:pt idx="2">
                  <c:v>545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2-41B2-87AB-0553CB21B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4178183"/>
        <c:axId val="1429185031"/>
      </c:barChart>
      <c:catAx>
        <c:axId val="1424178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85031"/>
        <c:crosses val="autoZero"/>
        <c:auto val="1"/>
        <c:lblAlgn val="ctr"/>
        <c:lblOffset val="100"/>
        <c:noMultiLvlLbl val="0"/>
      </c:catAx>
      <c:valAx>
        <c:axId val="1429185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7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Banking Customer Analytics Dataset 14.xlsx]Pivot tables!PivotTable12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Balance by Account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tables'!$D$3:$D$10</c:f>
              <c:strCache>
                <c:ptCount val="7"/>
                <c:pt idx="0">
                  <c:v>Business</c:v>
                </c:pt>
                <c:pt idx="1">
                  <c:v>Current</c:v>
                </c:pt>
                <c:pt idx="2">
                  <c:v>Digital-Only</c:v>
                </c:pt>
                <c:pt idx="3">
                  <c:v>Joint</c:v>
                </c:pt>
                <c:pt idx="4">
                  <c:v>Premium</c:v>
                </c:pt>
                <c:pt idx="5">
                  <c:v>Savings</c:v>
                </c:pt>
                <c:pt idx="6">
                  <c:v>Student</c:v>
                </c:pt>
              </c:strCache>
            </c:strRef>
          </c:cat>
          <c:val>
            <c:numRef>
              <c:f>'Pivot tables'!$E$3:$E$10</c:f>
              <c:numCache>
                <c:formatCode>General</c:formatCode>
                <c:ptCount val="7"/>
                <c:pt idx="0">
                  <c:v>179411.91490963832</c:v>
                </c:pt>
                <c:pt idx="1">
                  <c:v>33615.001785714303</c:v>
                </c:pt>
                <c:pt idx="2">
                  <c:v>18689.922647058804</c:v>
                </c:pt>
                <c:pt idx="3">
                  <c:v>93282.368384879694</c:v>
                </c:pt>
                <c:pt idx="4">
                  <c:v>287354.48794117611</c:v>
                </c:pt>
                <c:pt idx="5">
                  <c:v>63502.545507812538</c:v>
                </c:pt>
                <c:pt idx="6">
                  <c:v>3733.0027559055115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A-4020-AA39-757F10DF9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7386120"/>
        <c:axId val="7388168"/>
      </c:barChart>
      <c:catAx>
        <c:axId val="7386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68"/>
        <c:crosses val="autoZero"/>
        <c:auto val="1"/>
        <c:lblAlgn val="ctr"/>
        <c:lblOffset val="100"/>
        <c:noMultiLvlLbl val="0"/>
      </c:catAx>
      <c:valAx>
        <c:axId val="738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KYC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2-4E26-9FA1-6EF84B79F3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2-4E26-9FA1-6EF84B79F3B6}"/>
              </c:ext>
            </c:extLst>
          </c:dPt>
          <c:cat>
            <c:strLit>
              <c:ptCount val="2"/>
              <c:pt idx="0">
                <c:v>Pending</c:v>
              </c:pt>
              <c:pt idx="1">
                <c:v>Verified</c:v>
              </c:pt>
            </c:strLit>
          </c:cat>
          <c:val>
            <c:numLit>
              <c:formatCode>General</c:formatCode>
              <c:ptCount val="2"/>
              <c:pt idx="0">
                <c:v>253</c:v>
              </c:pt>
              <c:pt idx="1">
                <c:v>1345</c:v>
              </c:pt>
            </c:numLit>
          </c:val>
          <c:extLst>
            <c:ext xmlns:c16="http://schemas.microsoft.com/office/drawing/2014/chart" uri="{C3380CC4-5D6E-409C-BE32-E72D297353CC}">
              <c16:uniqueId val="{00000004-6D52-4E26-9FA1-6EF84B79F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Risk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3-4F74-B32B-34E61DAD1A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3-4F74-B32B-34E61DAD1A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93-4F74-B32B-34E61DAD1A40}"/>
              </c:ext>
            </c:extLst>
          </c:dPt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458</c:v>
              </c:pt>
              <c:pt idx="1">
                <c:v>470</c:v>
              </c:pt>
              <c:pt idx="2">
                <c:v>670</c:v>
              </c:pt>
            </c:numLit>
          </c:val>
          <c:extLst>
            <c:ext xmlns:c16="http://schemas.microsoft.com/office/drawing/2014/chart" uri="{C3380CC4-5D6E-409C-BE32-E72D297353CC}">
              <c16:uniqueId val="{00000006-C693-4F74-B32B-34E61DAD1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266700</xdr:colOff>
      <xdr:row>0</xdr:row>
      <xdr:rowOff>152400</xdr:rowOff>
    </xdr:from>
    <xdr:to>
      <xdr:col>16</xdr:col>
      <xdr:colOff>476250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ccount Type">
              <a:extLst>
                <a:ext uri="{FF2B5EF4-FFF2-40B4-BE49-F238E27FC236}">
                  <a16:creationId xmlns:a16="http://schemas.microsoft.com/office/drawing/2014/main" id="{4CB5DC93-0E25-2724-1001-337F7E2A9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coun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500" y="15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781050</xdr:colOff>
      <xdr:row>0</xdr:row>
      <xdr:rowOff>133350</xdr:rowOff>
    </xdr:from>
    <xdr:to>
      <xdr:col>19</xdr:col>
      <xdr:colOff>238125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KYC Status">
              <a:extLst>
                <a:ext uri="{FF2B5EF4-FFF2-40B4-BE49-F238E27FC236}">
                  <a16:creationId xmlns:a16="http://schemas.microsoft.com/office/drawing/2014/main" id="{FF30E69B-E72A-BB67-C957-3B89C5AFE96C}"/>
                </a:ext>
                <a:ext uri="{147F2762-F138-4A5C-976F-8EAC2B608ADB}">
                  <a16:predDERef xmlns:a16="http://schemas.microsoft.com/office/drawing/2014/main" pred="{4CB5DC93-0E25-2724-1001-337F7E2A9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YC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9100" y="133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171450</xdr:colOff>
      <xdr:row>4</xdr:row>
      <xdr:rowOff>142875</xdr:rowOff>
    </xdr:from>
    <xdr:to>
      <xdr:col>47</xdr:col>
      <xdr:colOff>276225</xdr:colOff>
      <xdr:row>27</xdr:row>
      <xdr:rowOff>19050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E926FDC-D915-48C7-A187-F626AE775A16}"/>
            </a:ext>
            <a:ext uri="{147F2762-F138-4A5C-976F-8EAC2B608ADB}">
              <a16:predDERef xmlns:a16="http://schemas.microsoft.com/office/drawing/2014/main" pred="{FB349A92-D939-4EF0-91D0-4DAB19A8D864}"/>
            </a:ext>
          </a:extLst>
        </xdr:cNvPr>
        <xdr:cNvSpPr/>
      </xdr:nvSpPr>
      <xdr:spPr>
        <a:xfrm>
          <a:off x="21193125" y="1276350"/>
          <a:ext cx="6810375" cy="452437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95250</xdr:colOff>
      <xdr:row>27</xdr:row>
      <xdr:rowOff>114300</xdr:rowOff>
    </xdr:from>
    <xdr:to>
      <xdr:col>36</xdr:col>
      <xdr:colOff>38100</xdr:colOff>
      <xdr:row>50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DD48883-2D45-4E88-B819-2A3395F7AD23}"/>
            </a:ext>
            <a:ext uri="{147F2762-F138-4A5C-976F-8EAC2B608ADB}">
              <a16:predDERef xmlns:a16="http://schemas.microsoft.com/office/drawing/2014/main" pred="{9E926FDC-D915-48C7-A187-F626AE775A16}"/>
            </a:ext>
          </a:extLst>
        </xdr:cNvPr>
        <xdr:cNvSpPr/>
      </xdr:nvSpPr>
      <xdr:spPr>
        <a:xfrm>
          <a:off x="15020925" y="5895975"/>
          <a:ext cx="6038850" cy="428625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171450</xdr:colOff>
      <xdr:row>27</xdr:row>
      <xdr:rowOff>152400</xdr:rowOff>
    </xdr:from>
    <xdr:to>
      <xdr:col>25</xdr:col>
      <xdr:colOff>590550</xdr:colOff>
      <xdr:row>50</xdr:row>
      <xdr:rowOff>47625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367C4E1-7A08-4CD4-99FC-C693C8069449}"/>
            </a:ext>
            <a:ext uri="{147F2762-F138-4A5C-976F-8EAC2B608ADB}">
              <a16:predDERef xmlns:a16="http://schemas.microsoft.com/office/drawing/2014/main" pred="{FB349A92-D939-4EF0-91D0-4DAB19A8D864}"/>
            </a:ext>
          </a:extLst>
        </xdr:cNvPr>
        <xdr:cNvSpPr/>
      </xdr:nvSpPr>
      <xdr:spPr>
        <a:xfrm>
          <a:off x="8705850" y="5934075"/>
          <a:ext cx="6200775" cy="427672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104775</xdr:colOff>
      <xdr:row>4</xdr:row>
      <xdr:rowOff>142875</xdr:rowOff>
    </xdr:from>
    <xdr:to>
      <xdr:col>36</xdr:col>
      <xdr:colOff>9525</xdr:colOff>
      <xdr:row>27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A049FCB-D343-E614-CDED-D068C5A4AB7B}"/>
            </a:ext>
            <a:ext uri="{147F2762-F138-4A5C-976F-8EAC2B608ADB}">
              <a16:predDERef xmlns:a16="http://schemas.microsoft.com/office/drawing/2014/main" pred="{FB349A92-D939-4EF0-91D0-4DAB19A8D864}"/>
            </a:ext>
          </a:extLst>
        </xdr:cNvPr>
        <xdr:cNvSpPr/>
      </xdr:nvSpPr>
      <xdr:spPr>
        <a:xfrm>
          <a:off x="15030450" y="1276350"/>
          <a:ext cx="6000750" cy="450532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133350</xdr:colOff>
      <xdr:row>4</xdr:row>
      <xdr:rowOff>180975</xdr:rowOff>
    </xdr:from>
    <xdr:to>
      <xdr:col>25</xdr:col>
      <xdr:colOff>542925</xdr:colOff>
      <xdr:row>27</xdr:row>
      <xdr:rowOff>9525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B6803A4-403E-971C-35BB-5D11DF8D9D46}"/>
            </a:ext>
            <a:ext uri="{147F2762-F138-4A5C-976F-8EAC2B608ADB}">
              <a16:predDERef xmlns:a16="http://schemas.microsoft.com/office/drawing/2014/main" pred="{8A049FCB-D343-E614-CDED-D068C5A4AB7B}"/>
            </a:ext>
          </a:extLst>
        </xdr:cNvPr>
        <xdr:cNvSpPr/>
      </xdr:nvSpPr>
      <xdr:spPr>
        <a:xfrm>
          <a:off x="8667750" y="1314450"/>
          <a:ext cx="6191250" cy="447675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4</xdr:row>
      <xdr:rowOff>180975</xdr:rowOff>
    </xdr:from>
    <xdr:to>
      <xdr:col>14</xdr:col>
      <xdr:colOff>561975</xdr:colOff>
      <xdr:row>37</xdr:row>
      <xdr:rowOff>95250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E13B441-9A76-49BF-4F9E-8E902CCFA88F}"/>
            </a:ext>
            <a:ext uri="{147F2762-F138-4A5C-976F-8EAC2B608ADB}">
              <a16:predDERef xmlns:a16="http://schemas.microsoft.com/office/drawing/2014/main" pred="{FB6803A4-403E-971C-35BB-5D11DF8D9D46}"/>
            </a:ext>
          </a:extLst>
        </xdr:cNvPr>
        <xdr:cNvSpPr/>
      </xdr:nvSpPr>
      <xdr:spPr>
        <a:xfrm>
          <a:off x="0" y="1314450"/>
          <a:ext cx="8486775" cy="646747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485775</xdr:colOff>
      <xdr:row>5</xdr:row>
      <xdr:rowOff>47625</xdr:rowOff>
    </xdr:from>
    <xdr:to>
      <xdr:col>14</xdr:col>
      <xdr:colOff>66675</xdr:colOff>
      <xdr:row>35</xdr:row>
      <xdr:rowOff>38100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84D7B9A6-268A-4DCC-9A61-713517229D67}"/>
            </a:ext>
            <a:ext uri="{147F2762-F138-4A5C-976F-8EAC2B608ADB}">
              <a16:predDERef xmlns:a16="http://schemas.microsoft.com/office/drawing/2014/main" pred="{2E13B441-9A76-49BF-4F9E-8E902CCFA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5</xdr:row>
      <xdr:rowOff>57150</xdr:rowOff>
    </xdr:from>
    <xdr:to>
      <xdr:col>25</xdr:col>
      <xdr:colOff>257175</xdr:colOff>
      <xdr:row>24</xdr:row>
      <xdr:rowOff>133350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158C908-CE84-4AF5-9A27-B257ADE2A9BA}"/>
            </a:ext>
            <a:ext uri="{147F2762-F138-4A5C-976F-8EAC2B608ADB}">
              <a16:predDERef xmlns:a16="http://schemas.microsoft.com/office/drawing/2014/main" pred="{84D7B9A6-268A-4DCC-9A61-713517229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476250</xdr:colOff>
      <xdr:row>4</xdr:row>
      <xdr:rowOff>428625</xdr:rowOff>
    </xdr:from>
    <xdr:to>
      <xdr:col>46</xdr:col>
      <xdr:colOff>514350</xdr:colOff>
      <xdr:row>24</xdr:row>
      <xdr:rowOff>133350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645C7ADF-0085-46D1-913B-77548B7D126C}"/>
            </a:ext>
            <a:ext uri="{147F2762-F138-4A5C-976F-8EAC2B608ADB}">
              <a16:predDERef xmlns:a16="http://schemas.microsoft.com/office/drawing/2014/main" pred="{1158C908-CE84-4AF5-9A27-B257ADE2A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447675</xdr:colOff>
      <xdr:row>5</xdr:row>
      <xdr:rowOff>38100</xdr:rowOff>
    </xdr:from>
    <xdr:to>
      <xdr:col>35</xdr:col>
      <xdr:colOff>238125</xdr:colOff>
      <xdr:row>24</xdr:row>
      <xdr:rowOff>95250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69D460D-5870-4A99-B205-5973C12C5CB0}"/>
            </a:ext>
            <a:ext uri="{147F2762-F138-4A5C-976F-8EAC2B608ADB}">
              <a16:predDERef xmlns:a16="http://schemas.microsoft.com/office/drawing/2014/main" pred="{645C7ADF-0085-46D1-913B-77548B7D1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476250</xdr:colOff>
      <xdr:row>28</xdr:row>
      <xdr:rowOff>180975</xdr:rowOff>
    </xdr:from>
    <xdr:to>
      <xdr:col>35</xdr:col>
      <xdr:colOff>304800</xdr:colOff>
      <xdr:row>48</xdr:row>
      <xdr:rowOff>38100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AAF6DE-66CF-4442-B6C4-179A4BCA152A}"/>
            </a:ext>
            <a:ext uri="{147F2762-F138-4A5C-976F-8EAC2B608ADB}">
              <a16:predDERef xmlns:a16="http://schemas.microsoft.com/office/drawing/2014/main" pred="{D69D460D-5870-4A99-B205-5973C12C5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29</xdr:row>
      <xdr:rowOff>95250</xdr:rowOff>
    </xdr:from>
    <xdr:to>
      <xdr:col>25</xdr:col>
      <xdr:colOff>209550</xdr:colOff>
      <xdr:row>48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349A92-D939-4EF0-91D0-4DAB19A8D864}"/>
            </a:ext>
            <a:ext uri="{147F2762-F138-4A5C-976F-8EAC2B608ADB}">
              <a16:predDERef xmlns:a16="http://schemas.microsoft.com/office/drawing/2014/main" pred="{00AAF6DE-66CF-4442-B6C4-179A4BCA1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204574884257" createdVersion="8" refreshedVersion="8" minRefreshableVersion="3" recordCount="1599" xr:uid="{46C87D87-6D9F-46BD-9107-87959CF0F35C}">
  <cacheSource type="worksheet">
    <worksheetSource name="Global_Banking_Customer_Analytics_Dataset_2"/>
  </cacheSource>
  <cacheFields count="24">
    <cacheField name="Full Name" numFmtId="0">
      <sharedItems/>
    </cacheField>
    <cacheField name="Username" numFmtId="0">
      <sharedItems/>
    </cacheField>
    <cacheField name="Account Type" numFmtId="0">
      <sharedItems count="7">
        <s v="Premium"/>
        <s v="Digital-Only"/>
        <s v="Business"/>
        <s v="Joint"/>
        <s v="Savings"/>
        <s v="Current"/>
        <s v="Student"/>
      </sharedItems>
    </cacheField>
    <cacheField name="Country" numFmtId="0">
      <sharedItems count="39">
        <s v="US"/>
        <s v="Japan"/>
        <s v="India"/>
        <s v="UK"/>
        <s v="China"/>
        <s v="Brazil"/>
        <s v="Nigeria"/>
        <s v="Germany"/>
        <s v="UAE"/>
        <s v="Canada"/>
        <s v="France"/>
        <s v="Ireland"/>
        <s v="Russia"/>
        <s v="Mexico"/>
        <s v="Spain"/>
        <s v="Ghana"/>
        <s v="Kenya"/>
        <s v="South Korea"/>
        <s v="Italy"/>
        <s v="Senegal"/>
        <s v="Egypt"/>
        <s v="Malaysia"/>
        <s v="Colombia"/>
        <s v="Singapore"/>
        <s v="Argentina"/>
        <s v="Pakistan"/>
        <s v="Australia"/>
        <s v="Morocco"/>
        <s v="Netherlands"/>
        <s v="Bangladesh"/>
        <s v="Switzerland"/>
        <s v="Saudi Arabia"/>
        <s v="Vietnam"/>
        <s v="Ukraine"/>
        <s v="Portugal"/>
        <s v="Oman"/>
        <s v="Indonesia"/>
        <s v="Poland"/>
        <s v="Greece"/>
      </sharedItems>
    </cacheField>
    <cacheField name="City" numFmtId="0">
      <sharedItems/>
    </cacheField>
    <cacheField name="Age" numFmtId="0">
      <sharedItems containsSemiMixedTypes="0" containsString="0" containsNumber="1" containsInteger="1" minValue="19" maxValue="95"/>
    </cacheField>
    <cacheField name="Gender" numFmtId="0">
      <sharedItems/>
    </cacheField>
    <cacheField name="Email" numFmtId="0">
      <sharedItems/>
    </cacheField>
    <cacheField name="Phone Number" numFmtId="0">
      <sharedItems/>
    </cacheField>
    <cacheField name="Account Creation Date" numFmtId="14">
      <sharedItems containsNonDate="0" containsDate="1" containsString="0" containsBlank="1" minDate="2016-03-25T00:00:00" maxDate="2025-05-23T00:00:00"/>
    </cacheField>
    <cacheField name="Last Active Date" numFmtId="14">
      <sharedItems containsNonDate="0" containsDate="1" containsString="0" containsBlank="1" minDate="2024-01-08T00:00:00" maxDate="2024-01-16T00:00:00"/>
    </cacheField>
    <cacheField name="Balance (USD)" numFmtId="0">
      <sharedItems containsString="0" containsBlank="1" containsNumber="1" minValue="1650.2" maxValue="316300.75"/>
    </cacheField>
    <cacheField name="Debt (USD)" numFmtId="0">
      <sharedItems containsString="0" containsBlank="1" containsNumber="1" minValue="3200" maxValue="132000.25"/>
    </cacheField>
    <cacheField name="Credit Score" numFmtId="0">
      <sharedItems containsString="0" containsBlank="1" containsNumber="1" containsInteger="1" minValue="595" maxValue="845"/>
    </cacheField>
    <cacheField name="Income Level (USD Annual)" numFmtId="0">
      <sharedItems containsString="0" containsBlank="1" containsNumber="1" containsInteger="1" minValue="16000" maxValue="338000"/>
    </cacheField>
    <cacheField name="Risk Category" numFmtId="0">
      <sharedItems count="4">
        <s v="Medium"/>
        <s v="Low"/>
        <s v="High"/>
        <s v=""/>
      </sharedItems>
    </cacheField>
    <cacheField name="KYC Status" numFmtId="0">
      <sharedItems count="3">
        <s v="Verified"/>
        <s v="Pending"/>
        <s v=""/>
      </sharedItems>
    </cacheField>
    <cacheField name="Fraud Flag" numFmtId="0">
      <sharedItems containsString="0" containsBlank="1" containsNumber="1" containsInteger="1" minValue="0" maxValue="0"/>
    </cacheField>
    <cacheField name="Account Status" numFmtId="0">
      <sharedItems/>
    </cacheField>
    <cacheField name="Debt Ratio" numFmtId="10">
      <sharedItems containsMixedTypes="1" containsNumber="1" minValue="7.7783333333333329E-2" maxValue="0.70004687499999996"/>
    </cacheField>
    <cacheField name="Days Inactive" numFmtId="0">
      <sharedItems containsSemiMixedTypes="0" containsString="0" containsNumber="1" containsInteger="1" minValue="0" maxValue="45306"/>
    </cacheField>
    <cacheField name="Credit Score Band " numFmtId="0">
      <sharedItems count="4">
        <s v="GOOD"/>
        <s v="EXCEPTIONAL"/>
        <s v="VERY GOOD"/>
        <s v="FAIR"/>
      </sharedItems>
    </cacheField>
    <cacheField name="Age Group " numFmtId="0">
      <sharedItems count="5">
        <s v="35-44"/>
        <s v="25-34"/>
        <s v="45-54"/>
        <s v="18-24"/>
        <s v="55+"/>
      </sharedItems>
    </cacheField>
    <cacheField name="Income categories " numFmtId="0">
      <sharedItems count="4">
        <s v="Lower-Middle"/>
        <s v="Low"/>
        <s v="Upper-Middle"/>
        <s v="High"/>
      </sharedItems>
    </cacheField>
  </cacheFields>
  <extLst>
    <ext xmlns:x14="http://schemas.microsoft.com/office/spreadsheetml/2009/9/main" uri="{725AE2AE-9491-48be-B2B4-4EB974FC3084}">
      <x14:pivotCacheDefinition pivotCacheId="21364516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s v="Carlos M. Rivera Jr."/>
    <s v="carlos_rivera23"/>
    <x v="0"/>
    <x v="0"/>
    <s v="New York"/>
    <n v="42"/>
    <s v="Male"/>
    <s v="carlos.rivera23@email.com"/>
    <s v="+1-718-555-0199"/>
    <d v="2019-03-15T00:00:00"/>
    <d v="2024-01-12T00:00:00"/>
    <n v="45250.75"/>
    <n v="12500.5"/>
    <n v="745"/>
    <n v="85000"/>
    <x v="0"/>
    <x v="0"/>
    <n v="0"/>
    <s v="Active"/>
    <n v="0.14706470588235293"/>
    <n v="3"/>
    <x v="0"/>
    <x v="0"/>
    <x v="0"/>
  </r>
  <r>
    <s v="Aiko Tanaka"/>
    <s v="aiko_tanaka"/>
    <x v="1"/>
    <x v="1"/>
    <s v="Tokyo"/>
    <n v="28"/>
    <s v="Female"/>
    <s v="aiko.tanaka@mail.jp"/>
    <s v="+81-90-1234-5678"/>
    <d v="2022-07-22T00:00:00"/>
    <d v="2024-01-14T00:00:00"/>
    <n v="12800"/>
    <n v="3500.25"/>
    <n v="810"/>
    <n v="45000"/>
    <x v="1"/>
    <x v="0"/>
    <n v="0"/>
    <s v="Active"/>
    <n v="7.7783333333333329E-2"/>
    <n v="1"/>
    <x v="1"/>
    <x v="1"/>
    <x v="1"/>
  </r>
  <r>
    <s v="Md. Rahim Uddin"/>
    <s v="rahim_uddin"/>
    <x v="2"/>
    <x v="2"/>
    <s v="Mumbai"/>
    <n v="35"/>
    <s v="Male"/>
    <s v="rahim.uddin@business.in"/>
    <s v="+91-987-654-3210"/>
    <d v="2020-11-05T00:00:00"/>
    <d v="2024-01-10T00:00:00"/>
    <n v="87500.800000000003"/>
    <n v="45000.75"/>
    <n v="680"/>
    <n v="120000"/>
    <x v="0"/>
    <x v="1"/>
    <n v="0"/>
    <s v="Active"/>
    <n v="0.37500624999999999"/>
    <n v="5"/>
    <x v="0"/>
    <x v="0"/>
    <x v="0"/>
  </r>
  <r>
    <s v="Anna-Louise Clarke"/>
    <s v="anna_clarke"/>
    <x v="3"/>
    <x v="3"/>
    <s v="London"/>
    <n v="31"/>
    <s v="Female"/>
    <s v="anna.clarke@email.co.uk"/>
    <s v="+44-20-7946-0958"/>
    <d v="2021-09-18T00:00:00"/>
    <d v="2024-01-13T00:00:00"/>
    <n v="25600.3"/>
    <n v="18000"/>
    <n v="720"/>
    <n v="75000"/>
    <x v="1"/>
    <x v="0"/>
    <n v="0"/>
    <s v="Active"/>
    <n v="0.24"/>
    <n v="2"/>
    <x v="0"/>
    <x v="1"/>
    <x v="0"/>
  </r>
  <r>
    <s v="John 'Jack' Thompson"/>
    <s v="jack_thompson"/>
    <x v="4"/>
    <x v="0"/>
    <s v="Chicago"/>
    <n v="45"/>
    <s v="Male"/>
    <s v="jack.thompson@email.com"/>
    <s v="+1-312-555-0123"/>
    <d v="2018-05-30T00:00:00"/>
    <d v="2024-01-11T00:00:00"/>
    <n v="67500.45"/>
    <n v="25000.799999999999"/>
    <n v="695"/>
    <n v="95000"/>
    <x v="0"/>
    <x v="0"/>
    <n v="0"/>
    <s v="Active"/>
    <n v="0.26316631578947369"/>
    <n v="4"/>
    <x v="0"/>
    <x v="2"/>
    <x v="0"/>
  </r>
  <r>
    <s v="Wei Zhang"/>
    <s v="wei_zhang95"/>
    <x v="5"/>
    <x v="4"/>
    <s v="Shanghai"/>
    <n v="26"/>
    <s v="Male"/>
    <s v="wei.zhang@mail.cn"/>
    <s v="+86-138-0013-8000"/>
    <d v="2023-02-14T00:00:00"/>
    <d v="2024-01-15T00:00:00"/>
    <n v="9800.25"/>
    <n v="4200.5"/>
    <n v="780"/>
    <n v="38000"/>
    <x v="1"/>
    <x v="0"/>
    <n v="0"/>
    <s v="Active"/>
    <n v="0.11053947368421052"/>
    <n v="0"/>
    <x v="2"/>
    <x v="1"/>
    <x v="1"/>
  </r>
  <r>
    <s v="Maria Silva Santos"/>
    <s v="maria_silva"/>
    <x v="4"/>
    <x v="5"/>
    <s v="São Paulo"/>
    <n v="39"/>
    <s v="Female"/>
    <s v="maria.santos@email.com.br"/>
    <s v="+55-11-91234-5678"/>
    <d v="2019-08-12T00:00:00"/>
    <d v="2024-01-09T00:00:00"/>
    <n v="32400.6"/>
    <n v="15800.25"/>
    <n v="710"/>
    <n v="68000"/>
    <x v="0"/>
    <x v="0"/>
    <n v="0"/>
    <s v="Active"/>
    <n v="0.23235661764705881"/>
    <n v="6"/>
    <x v="0"/>
    <x v="0"/>
    <x v="1"/>
  </r>
  <r>
    <s v="Chiamaka Okoro"/>
    <s v="chiamaka_o"/>
    <x v="1"/>
    <x v="6"/>
    <s v="Lagos"/>
    <n v="24"/>
    <s v="Female"/>
    <s v="chiamaka.okoro@mail.ng"/>
    <s v="+234-703-456-7890"/>
    <d v="2023-05-20T00:00:00"/>
    <d v="2024-01-14T00:00:00"/>
    <n v="5600.75"/>
    <n v="3200"/>
    <n v="650"/>
    <n v="29000"/>
    <x v="0"/>
    <x v="1"/>
    <n v="0"/>
    <s v="Active"/>
    <n v="0.1103448275862069"/>
    <n v="1"/>
    <x v="3"/>
    <x v="3"/>
    <x v="1"/>
  </r>
  <r>
    <s v="Hans Müller"/>
    <s v="hans_muller"/>
    <x v="2"/>
    <x v="7"/>
    <s v="Berlin"/>
    <n v="52"/>
    <s v="Male"/>
    <s v="hans.muller@company.de"/>
    <s v="+49-170-1234567"/>
    <d v="2017-12-03T00:00:00"/>
    <d v="2024-01-08T00:00:00"/>
    <n v="124500.9"/>
    <n v="75000.399999999994"/>
    <n v="665"/>
    <n v="150000"/>
    <x v="2"/>
    <x v="0"/>
    <n v="0"/>
    <s v="Active"/>
    <n v="0.5000026666666666"/>
    <n v="7"/>
    <x v="3"/>
    <x v="2"/>
    <x v="2"/>
  </r>
  <r>
    <s v="Fatima Al Mansouri"/>
    <s v="fatima_alm"/>
    <x v="3"/>
    <x v="8"/>
    <s v="Dubai"/>
    <n v="36"/>
    <s v="Female"/>
    <s v="fatima.mansouri@email.ae"/>
    <s v="+971-50-345-6789"/>
    <d v="2021-04-25T00:00:00"/>
    <d v="2024-01-12T00:00:00"/>
    <n v="78900.25"/>
    <n v="32000.75"/>
    <n v="730"/>
    <n v="110000"/>
    <x v="0"/>
    <x v="0"/>
    <n v="0"/>
    <s v="Active"/>
    <n v="0.29091590909090909"/>
    <n v="3"/>
    <x v="0"/>
    <x v="0"/>
    <x v="0"/>
  </r>
  <r>
    <s v="James Wilson-Smith"/>
    <s v="james_wilson"/>
    <x v="6"/>
    <x v="9"/>
    <s v="Toronto"/>
    <n v="21"/>
    <s v="Male"/>
    <s v="james.wilson@edu.ca"/>
    <s v="+1-416-555-0189"/>
    <d v="2023-09-10T00:00:00"/>
    <d v="2024-01-13T00:00:00"/>
    <n v="3200.5"/>
    <n v="12500.8"/>
    <n v="625"/>
    <n v="22000"/>
    <x v="2"/>
    <x v="1"/>
    <n v="0"/>
    <s v="Active"/>
    <n v="0.56821818181818173"/>
    <n v="2"/>
    <x v="3"/>
    <x v="3"/>
    <x v="1"/>
  </r>
  <r>
    <s v="Yuki Nakamura"/>
    <s v="yuki_nakamura"/>
    <x v="0"/>
    <x v="1"/>
    <s v="Osaka"/>
    <n v="48"/>
    <s v="Female"/>
    <s v="yuki.nakamura@mail.jp"/>
    <s v="+81-80-9876-5432"/>
    <d v="2020-01-17T00:00:00"/>
    <d v="2024-01-10T00:00:00"/>
    <n v="95600.4"/>
    <n v="28000.6"/>
    <n v="775"/>
    <n v="125000"/>
    <x v="1"/>
    <x v="0"/>
    <n v="0"/>
    <s v="Active"/>
    <n v="0.22400479999999998"/>
    <n v="5"/>
    <x v="2"/>
    <x v="2"/>
    <x v="0"/>
  </r>
  <r>
    <s v="Rajesh Kumar Patel"/>
    <s v="rajesh_patel"/>
    <x v="4"/>
    <x v="2"/>
    <s v="Delhi"/>
    <n v="33"/>
    <s v="Male"/>
    <s v="rajesh.patel@email.in"/>
    <s v="+91-989-876-5432"/>
    <d v="2021-11-30T00:00:00"/>
    <d v="2024-01-11T00:00:00"/>
    <n v="42300.800000000003"/>
    <n v="19500.25"/>
    <n v="690"/>
    <n v="78000"/>
    <x v="0"/>
    <x v="0"/>
    <n v="0"/>
    <s v="Active"/>
    <n v="0.25000320512820512"/>
    <n v="4"/>
    <x v="0"/>
    <x v="1"/>
    <x v="0"/>
  </r>
  <r>
    <s v="Sarah Johnson-Williams"/>
    <s v="sarah_jw"/>
    <x v="5"/>
    <x v="3"/>
    <s v="Manchester"/>
    <n v="29"/>
    <s v="Female"/>
    <s v="sarah.jw@email.co.uk"/>
    <s v="+44-16-1837-4650"/>
    <d v="2022-03-22T00:00:00"/>
    <d v="2024-01-14T00:00:00"/>
    <n v="15800.9"/>
    <n v="8200.75"/>
    <n v="745"/>
    <n v="52000"/>
    <x v="1"/>
    <x v="0"/>
    <n v="0"/>
    <s v="Active"/>
    <n v="0.15770673076923078"/>
    <n v="1"/>
    <x v="0"/>
    <x v="1"/>
    <x v="1"/>
  </r>
  <r>
    <s v="Mohammed Hassan"/>
    <s v="mohammed_h"/>
    <x v="2"/>
    <x v="8"/>
    <s v="Abu Dhabi"/>
    <n v="44"/>
    <s v="Male"/>
    <s v="mohammed.hassan@business.ae"/>
    <s v="+971-56-789-0123"/>
    <d v="2018-07-19T00:00:00"/>
    <d v="2024-01-09T00:00:00"/>
    <n v="187600.3"/>
    <n v="92000.8"/>
    <n v="655"/>
    <n v="180000"/>
    <x v="2"/>
    <x v="0"/>
    <n v="0"/>
    <s v="Active"/>
    <n v="0.51111555555555555"/>
    <n v="6"/>
    <x v="3"/>
    <x v="0"/>
    <x v="2"/>
  </r>
  <r>
    <s v="Luciana Costa"/>
    <s v="lucia_costa"/>
    <x v="1"/>
    <x v="5"/>
    <s v="Rio de Janeiro"/>
    <n v="27"/>
    <s v="Female"/>
    <s v="luciana.costa@mail.br"/>
    <s v="+55-21-99876-5432"/>
    <d v="2023-01-15T00:00:00"/>
    <d v="2024-01-15T00:00:00"/>
    <n v="7200.4"/>
    <n v="4800.8999999999996"/>
    <n v="720"/>
    <n v="41000"/>
    <x v="1"/>
    <x v="0"/>
    <n v="0"/>
    <s v="Active"/>
    <n v="0.1170951219512195"/>
    <n v="0"/>
    <x v="0"/>
    <x v="1"/>
    <x v="1"/>
  </r>
  <r>
    <s v="Kenji Sato"/>
    <s v="kenji_sato"/>
    <x v="0"/>
    <x v="1"/>
    <s v="Kyoto"/>
    <n v="55"/>
    <s v="Male"/>
    <s v="kenji.sato@company.jp"/>
    <s v="+81-75-234-5678"/>
    <d v="2016-09-28T00:00:00"/>
    <d v="2024-01-08T00:00:00"/>
    <n v="203400.75"/>
    <n v="45000.25"/>
    <n v="805"/>
    <n v="220000"/>
    <x v="1"/>
    <x v="0"/>
    <n v="0"/>
    <s v="Active"/>
    <n v="0.20454659090909091"/>
    <n v="7"/>
    <x v="1"/>
    <x v="4"/>
    <x v="3"/>
  </r>
  <r>
    <s v="Adebola Okafor"/>
    <s v="adebola_o"/>
    <x v="4"/>
    <x v="6"/>
    <s v="Abuja"/>
    <n v="38"/>
    <s v="Male"/>
    <s v="adebola.okafor@email.ng"/>
    <s v="+234-802-345-6789"/>
    <d v="2020-06-14T00:00:00"/>
    <d v="2024-01-12T00:00:00"/>
    <n v="28900.6"/>
    <n v="13400.8"/>
    <n v="675"/>
    <n v="72000"/>
    <x v="0"/>
    <x v="0"/>
    <n v="0"/>
    <s v="Active"/>
    <n v="0.18612222222222222"/>
    <n v="3"/>
    <x v="0"/>
    <x v="0"/>
    <x v="1"/>
  </r>
  <r>
    <s v="Emma-Rose Gallagher"/>
    <s v="emma_rose"/>
    <x v="6"/>
    <x v="0"/>
    <s v="Los Angeles"/>
    <n v="20"/>
    <s v="Female"/>
    <s v="emma.gallagher@edu.com"/>
    <s v="+1-213-555-0176"/>
    <d v="2023-08-05T00:00:00"/>
    <d v="2024-01-13T00:00:00"/>
    <n v="1850.25"/>
    <n v="9500.4"/>
    <n v="610"/>
    <n v="18000"/>
    <x v="2"/>
    <x v="1"/>
    <n v="0"/>
    <s v="Active"/>
    <n v="0.52779999999999994"/>
    <n v="2"/>
    <x v="3"/>
    <x v="3"/>
    <x v="1"/>
  </r>
  <r>
    <s v="Chen Wei"/>
    <s v="chen_wei88"/>
    <x v="5"/>
    <x v="4"/>
    <s v="Beijing"/>
    <n v="32"/>
    <s v="Male"/>
    <s v="chen.wei@mail.cn"/>
    <s v="+86-139-8765-4321"/>
    <d v="2021-02-28T00:00:00"/>
    <d v="2024-01-10T00:00:00"/>
    <n v="24300.7"/>
    <n v="11200.5"/>
    <n v="760"/>
    <n v="67000"/>
    <x v="1"/>
    <x v="0"/>
    <n v="0"/>
    <s v="Active"/>
    <n v="0.16717164179104477"/>
    <n v="5"/>
    <x v="2"/>
    <x v="1"/>
    <x v="1"/>
  </r>
  <r>
    <s v="Sophie Schmidt"/>
    <s v="sophie_schmidt"/>
    <x v="4"/>
    <x v="7"/>
    <s v="Hamburg"/>
    <n v="41"/>
    <s v="Female"/>
    <s v="sophie.schmidt@email.de"/>
    <s v="+49-171-9876543"/>
    <d v="2019-04-18T00:00:00"/>
    <d v="2024-01-11T00:00:00"/>
    <n v="38700.25"/>
    <n v="14500.6"/>
    <n v="735"/>
    <n v="89000"/>
    <x v="1"/>
    <x v="0"/>
    <n v="0"/>
    <s v="Active"/>
    <n v="0.16292808988764046"/>
    <n v="4"/>
    <x v="0"/>
    <x v="0"/>
    <x v="0"/>
  </r>
  <r>
    <s v="David Chen-Li"/>
    <s v="david_chenli"/>
    <x v="3"/>
    <x v="9"/>
    <s v="Vancouver"/>
    <n v="37"/>
    <s v="Male"/>
    <s v="david.chenli@email.ca"/>
    <s v="+1-604-555-0167"/>
    <d v="2020-10-22T00:00:00"/>
    <d v="2024-01-09T00:00:00"/>
    <n v="54200.800000000003"/>
    <n v="22800.75"/>
    <n v="710"/>
    <n v="105000"/>
    <x v="0"/>
    <x v="0"/>
    <n v="0"/>
    <s v="Active"/>
    <n v="0.21715000000000001"/>
    <n v="6"/>
    <x v="0"/>
    <x v="0"/>
    <x v="0"/>
  </r>
  <r>
    <s v="Priya Sharma"/>
    <s v="priya_sharma"/>
    <x v="1"/>
    <x v="2"/>
    <s v="Bangalore"/>
    <n v="26"/>
    <s v="Female"/>
    <s v="priya.sharma@mail.in"/>
    <s v="+91-876-543-2109"/>
    <d v="2023-03-10T00:00:00"/>
    <d v="2024-01-14T00:00:00"/>
    <n v="8900.4"/>
    <n v="5200.25"/>
    <n v="690"/>
    <n v="35000"/>
    <x v="0"/>
    <x v="1"/>
    <n v="0"/>
    <s v="Active"/>
    <n v="0.14857857142857142"/>
    <n v="1"/>
    <x v="0"/>
    <x v="1"/>
    <x v="1"/>
  </r>
  <r>
    <s v="Ahmed Abdullah"/>
    <s v="ahmed_abdullah"/>
    <x v="2"/>
    <x v="8"/>
    <s v="Sharjah"/>
    <n v="49"/>
    <s v="Male"/>
    <s v="ahmed.abdullah@company.ae"/>
    <s v="+971-55-678-9012"/>
    <d v="2017-11-15T00:00:00"/>
    <d v="2024-01-08T00:00:00"/>
    <n v="156800.6"/>
    <n v="78000.399999999994"/>
    <n v="645"/>
    <n v="165000"/>
    <x v="2"/>
    <x v="0"/>
    <n v="0"/>
    <s v="Active"/>
    <n v="0.47272969696969691"/>
    <n v="7"/>
    <x v="3"/>
    <x v="2"/>
    <x v="2"/>
  </r>
  <r>
    <s v="Isabella Rossi"/>
    <s v="isabella_r"/>
    <x v="5"/>
    <x v="5"/>
    <s v="São Paulo"/>
    <n v="30"/>
    <s v="Female"/>
    <s v="isabella.rossi@email.com.br"/>
    <s v="+55-11-98765-4321"/>
    <d v="2021-12-05T00:00:00"/>
    <d v="2024-01-12T00:00:00"/>
    <n v="19200.75"/>
    <n v="8600.9"/>
    <n v="755"/>
    <n v="58000"/>
    <x v="1"/>
    <x v="0"/>
    <n v="0"/>
    <s v="Active"/>
    <n v="0.14829137931034483"/>
    <n v="3"/>
    <x v="2"/>
    <x v="1"/>
    <x v="1"/>
  </r>
  <r>
    <s v="Takashi Yamamoto"/>
    <s v="takashi_y"/>
    <x v="0"/>
    <x v="1"/>
    <s v="Tokyo"/>
    <n v="53"/>
    <s v="Male"/>
    <s v="takashi.yamamoto@mail.jp"/>
    <s v="+81-70-3456-7890"/>
    <d v="2018-02-28T00:00:00"/>
    <d v="2024-01-10T00:00:00"/>
    <n v="178900.25"/>
    <n v="52000.800000000003"/>
    <n v="790"/>
    <n v="195000"/>
    <x v="1"/>
    <x v="0"/>
    <n v="0"/>
    <s v="Active"/>
    <n v="0.26667076923076927"/>
    <n v="5"/>
    <x v="2"/>
    <x v="2"/>
    <x v="3"/>
  </r>
  <r>
    <s v="Chukwuma Eze"/>
    <s v="chukwuma_e"/>
    <x v="4"/>
    <x v="6"/>
    <s v="Lagos"/>
    <n v="43"/>
    <s v="Male"/>
    <s v="chukwuma.eze@email.ng"/>
    <s v="+234-815-678-9012"/>
    <d v="2019-07-14T00:00:00"/>
    <d v="2024-01-11T00:00:00"/>
    <n v="45600.9"/>
    <n v="21300.6"/>
    <n v="665"/>
    <n v="95000"/>
    <x v="0"/>
    <x v="0"/>
    <n v="0"/>
    <s v="Active"/>
    <n v="0.22421684210526313"/>
    <n v="4"/>
    <x v="3"/>
    <x v="0"/>
    <x v="0"/>
  </r>
  <r>
    <s v="Benjamin Taylor"/>
    <s v="ben_taylor"/>
    <x v="6"/>
    <x v="3"/>
    <s v="London"/>
    <n v="19"/>
    <s v="Male"/>
    <s v="ben.taylor@edu.ac.uk"/>
    <s v="+44-79-8765-4321"/>
    <d v="2023-10-08T00:00:00"/>
    <d v="2024-01-13T00:00:00"/>
    <n v="2250.8000000000002"/>
    <n v="11200.75"/>
    <n v="595"/>
    <n v="16000"/>
    <x v="2"/>
    <x v="1"/>
    <n v="0"/>
    <s v="Active"/>
    <n v="0.70004687499999996"/>
    <n v="2"/>
    <x v="3"/>
    <x v="3"/>
    <x v="1"/>
  </r>
  <r>
    <s v="Mei Lin"/>
    <s v="mei_lin92"/>
    <x v="1"/>
    <x v="4"/>
    <s v="Guangzhou"/>
    <n v="29"/>
    <s v="Female"/>
    <s v="mei.lin@mail.cn"/>
    <s v="+86-137-1234-5678"/>
    <d v="2022-08-15T00:00:00"/>
    <d v="2024-01-14T00:00:00"/>
    <n v="11200.3"/>
    <n v="4800.3999999999996"/>
    <n v="775"/>
    <n v="43000"/>
    <x v="1"/>
    <x v="0"/>
    <n v="0"/>
    <s v="Active"/>
    <n v="0.11163720930232557"/>
    <n v="1"/>
    <x v="2"/>
    <x v="1"/>
    <x v="1"/>
  </r>
  <r>
    <s v="Klaus Weber"/>
    <s v="klaus_weber"/>
    <x v="2"/>
    <x v="7"/>
    <s v="Munich"/>
    <n v="47"/>
    <s v="Male"/>
    <s v="klaus.weber@firm.de"/>
    <s v="+49-172-3456789"/>
    <d v="2018-09-20T00:00:00"/>
    <d v="2024-01-09T00:00:00"/>
    <n v="134200.4"/>
    <n v="65000.25"/>
    <n v="670"/>
    <n v="140000"/>
    <x v="2"/>
    <x v="0"/>
    <n v="0"/>
    <s v="Active"/>
    <n v="0.46428750000000002"/>
    <n v="6"/>
    <x v="0"/>
    <x v="2"/>
    <x v="2"/>
  </r>
  <r>
    <s v="Olivia Martin"/>
    <s v="olivia_martin"/>
    <x v="3"/>
    <x v="9"/>
    <s v="Montreal"/>
    <n v="34"/>
    <s v="Female"/>
    <s v="olivia.martin@email.ca"/>
    <s v="+1-514-555-0154"/>
    <d v="2020-12-03T00:00:00"/>
    <d v="2024-01-12T00:00:00"/>
    <n v="62300.6"/>
    <n v="24500.799999999999"/>
    <n v="725"/>
    <n v="98000"/>
    <x v="0"/>
    <x v="0"/>
    <n v="0"/>
    <s v="Active"/>
    <n v="0.25000816326530612"/>
    <n v="3"/>
    <x v="0"/>
    <x v="1"/>
    <x v="0"/>
  </r>
  <r>
    <s v="Arjun Desai"/>
    <s v="arjun_desai"/>
    <x v="4"/>
    <x v="2"/>
    <s v="Chennai"/>
    <n v="40"/>
    <s v="Male"/>
    <s v="arjun.desai@email.in"/>
    <s v="+91-765-432-1098"/>
    <d v="2019-05-25T00:00:00"/>
    <d v="2024-01-10T00:00:00"/>
    <n v="51800.75"/>
    <n v="23800.400000000001"/>
    <n v="700"/>
    <n v="110000"/>
    <x v="0"/>
    <x v="0"/>
    <n v="0"/>
    <s v="Active"/>
    <n v="0.21636727272727274"/>
    <n v="5"/>
    <x v="0"/>
    <x v="0"/>
    <x v="0"/>
  </r>
  <r>
    <s v="Layla Al Qasimi"/>
    <s v="layla_alq"/>
    <x v="5"/>
    <x v="8"/>
    <s v="Dubai"/>
    <n v="27"/>
    <s v="Female"/>
    <s v="layla.alqasimi@email.ae"/>
    <s v="+971-52-456-7890"/>
    <d v="2022-04-17T00:00:00"/>
    <d v="2024-01-14T00:00:00"/>
    <n v="14300.2"/>
    <n v="6200.75"/>
    <n v="740"/>
    <n v="49000"/>
    <x v="1"/>
    <x v="0"/>
    <n v="0"/>
    <s v="Active"/>
    <n v="0.12654591836734694"/>
    <n v="1"/>
    <x v="0"/>
    <x v="1"/>
    <x v="1"/>
  </r>
  <r>
    <s v="Ricardo Oliveira"/>
    <s v="ricardo_o"/>
    <x v="0"/>
    <x v="5"/>
    <s v="Rio de Janeiro"/>
    <n v="51"/>
    <s v="Male"/>
    <s v="ricardo.oliveira@email.com.br"/>
    <s v="+55-21-97654-3210"/>
    <d v="2017-06-12T00:00:00"/>
    <d v="2024-01-08T00:00:00"/>
    <n v="198700.79999999999"/>
    <n v="58000.6"/>
    <n v="780"/>
    <n v="210000"/>
    <x v="1"/>
    <x v="0"/>
    <n v="0"/>
    <s v="Active"/>
    <n v="0.27619333333333335"/>
    <n v="7"/>
    <x v="2"/>
    <x v="2"/>
    <x v="3"/>
  </r>
  <r>
    <s v="Yumi Kobayashi"/>
    <s v="yumi_k"/>
    <x v="1"/>
    <x v="1"/>
    <s v="Osaka"/>
    <n v="25"/>
    <s v="Female"/>
    <s v="yumi.kobayashi@mail.jp"/>
    <s v="+81-90-6789-0123"/>
    <d v="2023-04-05T00:00:00"/>
    <d v="2024-01-15T00:00:00"/>
    <n v="6800.9"/>
    <n v="3800.25"/>
    <n v="720"/>
    <n v="32000"/>
    <x v="0"/>
    <x v="1"/>
    <n v="0"/>
    <s v="Active"/>
    <n v="0.1187578125"/>
    <n v="0"/>
    <x v="0"/>
    <x v="1"/>
    <x v="1"/>
  </r>
  <r>
    <s v="Femi Balogun"/>
    <s v="femi_balogun"/>
    <x v="2"/>
    <x v="6"/>
    <s v="Port Harcourt"/>
    <n v="46"/>
    <s v="Male"/>
    <s v="femi.balogun@company.ng"/>
    <s v="+234-706-789-0123"/>
    <d v="2018-08-30T00:00:00"/>
    <d v="2024-01-09T00:00:00"/>
    <n v="123800.25"/>
    <n v="59000.75"/>
    <n v="635"/>
    <n v="135000"/>
    <x v="2"/>
    <x v="0"/>
    <n v="0"/>
    <s v="Active"/>
    <n v="0.43704259259259259"/>
    <n v="6"/>
    <x v="3"/>
    <x v="2"/>
    <x v="2"/>
  </r>
  <r>
    <s v="Charlotte Dubois"/>
    <s v="charlotte_d"/>
    <x v="3"/>
    <x v="10"/>
    <s v="Paris"/>
    <n v="33"/>
    <s v="Female"/>
    <s v="charlotte.dubois@email.fr"/>
    <s v="+33-6-1234-5678"/>
    <d v="2021-01-14T00:00:00"/>
    <d v="2024-01-11T00:00:00"/>
    <n v="47800.4"/>
    <n v="19500.900000000001"/>
    <n v="750"/>
    <n v="92000"/>
    <x v="1"/>
    <x v="0"/>
    <n v="0"/>
    <s v="Active"/>
    <n v="0.2119663043478261"/>
    <n v="4"/>
    <x v="2"/>
    <x v="1"/>
    <x v="0"/>
  </r>
  <r>
    <s v="Michael Brown"/>
    <s v="mike_brown"/>
    <x v="4"/>
    <x v="0"/>
    <s v="Houston"/>
    <n v="39"/>
    <s v="Male"/>
    <s v="mike.brown@email.com"/>
    <s v="+1-832-555-0134"/>
    <d v="2019-11-22T00:00:00"/>
    <d v="2024-01-10T00:00:00"/>
    <n v="34200.6"/>
    <n v="12800.25"/>
    <n v="710"/>
    <n v="78000"/>
    <x v="0"/>
    <x v="0"/>
    <n v="0"/>
    <s v="Active"/>
    <n v="0.16410576923076922"/>
    <n v="5"/>
    <x v="0"/>
    <x v="0"/>
    <x v="0"/>
  </r>
  <r>
    <s v="Ananya Reddy"/>
    <s v="ananya_reddy"/>
    <x v="6"/>
    <x v="2"/>
    <s v="Mumbai"/>
    <n v="22"/>
    <s v="Female"/>
    <s v="ananya.reddy@edu.in"/>
    <s v="+91-854-321-0987"/>
    <d v="2023-07-19T00:00:00"/>
    <d v="2024-01-13T00:00:00"/>
    <n v="1950.4"/>
    <n v="8800.6"/>
    <n v="605"/>
    <n v="20000"/>
    <x v="2"/>
    <x v="1"/>
    <n v="0"/>
    <s v="Active"/>
    <n v="0.44003000000000003"/>
    <n v="2"/>
    <x v="3"/>
    <x v="3"/>
    <x v="1"/>
  </r>
  <r>
    <s v="Liam O'Connor"/>
    <s v="liam_oconnor"/>
    <x v="5"/>
    <x v="11"/>
    <s v="Dublin"/>
    <n v="28"/>
    <s v="Male"/>
    <s v="liam.oconnor@email.ie"/>
    <s v="+353-85-123-4567"/>
    <d v="2022-02-28T00:00:00"/>
    <d v="2024-01-14T00:00:00"/>
    <n v="12800.75"/>
    <n v="5400.8"/>
    <n v="730"/>
    <n v="45000"/>
    <x v="1"/>
    <x v="0"/>
    <n v="0"/>
    <s v="Active"/>
    <n v="0.12001777777777778"/>
    <n v="1"/>
    <x v="0"/>
    <x v="1"/>
    <x v="1"/>
  </r>
  <r>
    <s v="Xiao Wang"/>
    <s v="xiao_wang"/>
    <x v="2"/>
    <x v="4"/>
    <s v="Shenzhen"/>
    <n v="44"/>
    <s v="Male"/>
    <s v="xiao.wang@company.cn"/>
    <s v="+86-136-8765-4321"/>
    <d v="2018-04-15T00:00:00"/>
    <d v="2024-01-09T00:00:00"/>
    <n v="167400.6"/>
    <n v="82000.399999999994"/>
    <n v="685"/>
    <n v="175000"/>
    <x v="2"/>
    <x v="0"/>
    <n v="0"/>
    <s v="Active"/>
    <n v="0.46857371428571426"/>
    <n v="6"/>
    <x v="0"/>
    <x v="0"/>
    <x v="2"/>
  </r>
  <r>
    <s v="Elena Petrova"/>
    <s v="elena_p"/>
    <x v="4"/>
    <x v="12"/>
    <s v="Moscow"/>
    <n v="36"/>
    <s v="Female"/>
    <s v="elena.petrova@email.ru"/>
    <s v="+7-915-123-45-67"/>
    <d v="2020-07-08T00:00:00"/>
    <d v="2024-01-12T00:00:00"/>
    <n v="29800.799999999999"/>
    <n v="13400.25"/>
    <n v="695"/>
    <n v="68000"/>
    <x v="0"/>
    <x v="0"/>
    <n v="0"/>
    <s v="Active"/>
    <n v="0.1970625"/>
    <n v="3"/>
    <x v="0"/>
    <x v="0"/>
    <x v="1"/>
  </r>
  <r>
    <s v="Juan Carlos Martinez"/>
    <s v="juan_c_m"/>
    <x v="1"/>
    <x v="13"/>
    <s v="Mexico City"/>
    <n v="31"/>
    <s v="Male"/>
    <s v="juan.martinez@mail.mx"/>
    <s v="+52-55-1234-5678"/>
    <d v="2022-09-12T00:00:00"/>
    <d v="2024-01-14T00:00:00"/>
    <n v="10200.5"/>
    <n v="4500.75"/>
    <n v="715"/>
    <n v="47000"/>
    <x v="1"/>
    <x v="0"/>
    <n v="0"/>
    <s v="Active"/>
    <n v="9.5760638297872347E-2"/>
    <n v="1"/>
    <x v="0"/>
    <x v="1"/>
    <x v="1"/>
  </r>
  <r>
    <s v="Sofia Garcia"/>
    <s v="sofia_g"/>
    <x v="3"/>
    <x v="14"/>
    <s v="Madrid"/>
    <n v="38"/>
    <s v="Female"/>
    <s v="sofia.garcia@email.es"/>
    <s v="+34-612-345-678"/>
    <d v="2020-03-25T00:00:00"/>
    <d v="2024-01-11T00:00:00"/>
    <n v="56700.3"/>
    <n v="22300.6"/>
    <n v="740"/>
    <n v="105000"/>
    <x v="0"/>
    <x v="0"/>
    <n v="0"/>
    <s v="Active"/>
    <n v="0.21238666666666664"/>
    <n v="4"/>
    <x v="0"/>
    <x v="0"/>
    <x v="0"/>
  </r>
  <r>
    <s v="Kwame Nkrumah"/>
    <s v="kwame_n"/>
    <x v="4"/>
    <x v="15"/>
    <s v="Accra"/>
    <n v="42"/>
    <s v="Male"/>
    <s v="kwame.nkrumah@email.gh"/>
    <s v="+233-24-456-7890"/>
    <d v="2019-06-18T00:00:00"/>
    <d v="2024-01-10T00:00:00"/>
    <n v="38700.75"/>
    <n v="16800.400000000001"/>
    <n v="660"/>
    <n v="82000"/>
    <x v="0"/>
    <x v="0"/>
    <n v="0"/>
    <s v="Active"/>
    <n v="0.20488292682926831"/>
    <n v="5"/>
    <x v="3"/>
    <x v="0"/>
    <x v="0"/>
  </r>
  <r>
    <s v="Hiroshi Tanaka"/>
    <s v="hiroshi_t"/>
    <x v="0"/>
    <x v="1"/>
    <s v="Nagoya"/>
    <n v="57"/>
    <s v="Male"/>
    <s v="hiroshi.tanaka@mail.jp"/>
    <s v="+81-80-2345-6789"/>
    <d v="2016-12-10T00:00:00"/>
    <d v="2024-01-08T00:00:00"/>
    <n v="234500.4"/>
    <n v="62000.800000000003"/>
    <n v="815"/>
    <n v="240000"/>
    <x v="1"/>
    <x v="0"/>
    <n v="0"/>
    <s v="Active"/>
    <n v="0.25833666666666666"/>
    <n v="7"/>
    <x v="1"/>
    <x v="4"/>
    <x v="3"/>
  </r>
  <r>
    <s v="Aisha Mohammed"/>
    <s v="aisha_m"/>
    <x v="5"/>
    <x v="16"/>
    <s v="Nairobi"/>
    <n v="26"/>
    <s v="Female"/>
    <s v="aisha.mohammed@email.ke"/>
    <s v="+254-712-345-678"/>
    <d v="2023-01-30T00:00:00"/>
    <d v="2024-01-15T00:00:00"/>
    <n v="8900.25"/>
    <n v="3800.9"/>
    <n v="680"/>
    <n v="36000"/>
    <x v="0"/>
    <x v="1"/>
    <n v="0"/>
    <s v="Active"/>
    <n v="0.10558055555555555"/>
    <n v="0"/>
    <x v="0"/>
    <x v="1"/>
    <x v="1"/>
  </r>
  <r>
    <s v="Daniel Kim"/>
    <s v="daniel_kim"/>
    <x v="2"/>
    <x v="17"/>
    <s v="Seoul"/>
    <n v="48"/>
    <s v="Male"/>
    <s v="daniel.kim@company.kr"/>
    <s v="+82-10-1234-5678"/>
    <d v="2017-10-05T00:00:00"/>
    <d v="2024-01-09T00:00:00"/>
    <n v="189600.75"/>
    <n v="87000.25"/>
    <n v="700"/>
    <n v="190000"/>
    <x v="2"/>
    <x v="0"/>
    <n v="0"/>
    <s v="Active"/>
    <n v="0.45789605263157895"/>
    <n v="6"/>
    <x v="0"/>
    <x v="2"/>
    <x v="2"/>
  </r>
  <r>
    <s v="Lisa Schmidt"/>
    <s v="lisa_schmidt"/>
    <x v="6"/>
    <x v="7"/>
    <s v="Berlin"/>
    <n v="20"/>
    <s v="Female"/>
    <s v="lisa.schmidt@edu.de"/>
    <s v="+49-173-4567890"/>
    <d v="2023-08-22T00:00:00"/>
    <d v="2024-01-13T00:00:00"/>
    <n v="2450.6"/>
    <n v="10500.4"/>
    <n v="615"/>
    <n v="17000"/>
    <x v="2"/>
    <x v="1"/>
    <n v="0"/>
    <s v="Active"/>
    <n v="0.61767058823529408"/>
    <n v="2"/>
    <x v="3"/>
    <x v="3"/>
    <x v="1"/>
  </r>
  <r>
    <s v="Marco Rossi"/>
    <s v="marco_r"/>
    <x v="3"/>
    <x v="18"/>
    <s v="Rome"/>
    <n v="35"/>
    <s v="Male"/>
    <s v="marco.rossi@email.it"/>
    <s v="+39-345-678-9012"/>
    <d v="2021-05-14T00:00:00"/>
    <d v="2024-01-12T00:00:00"/>
    <n v="51200.9"/>
    <n v="21800.75"/>
    <n v="730"/>
    <n v="96000"/>
    <x v="0"/>
    <x v="0"/>
    <n v="0"/>
    <s v="Active"/>
    <n v="0.22709114583333334"/>
    <n v="3"/>
    <x v="0"/>
    <x v="0"/>
    <x v="0"/>
  </r>
  <r>
    <s v="Jennifer Lopez"/>
    <s v="jen_lopez"/>
    <x v="1"/>
    <x v="0"/>
    <s v="Phoenix"/>
    <n v="29"/>
    <s v="Female"/>
    <s v="jen.lopez@mail.com"/>
    <s v="+1-602-555-0178"/>
    <d v="2022-11-07T00:00:00"/>
    <d v="2024-01-14T00:00:00"/>
    <n v="11500.8"/>
    <n v="5200.3"/>
    <n v="760"/>
    <n v="52000"/>
    <x v="1"/>
    <x v="0"/>
    <n v="0"/>
    <s v="Active"/>
    <n v="0.10000576923076923"/>
    <n v="1"/>
    <x v="2"/>
    <x v="1"/>
    <x v="1"/>
  </r>
  <r>
    <s v="Rahul Mehta"/>
    <s v="rahul_mehta"/>
    <x v="4"/>
    <x v="2"/>
    <s v="Kolkata"/>
    <n v="45"/>
    <s v="Male"/>
    <s v="rahul.mehta@email.in"/>
    <s v="+91-743-210-9876"/>
    <d v="2018-01-20T00:00:00"/>
    <d v="2024-01-09T00:00:00"/>
    <n v="67800.399999999994"/>
    <n v="31200.6"/>
    <n v="675"/>
    <n v="125000"/>
    <x v="0"/>
    <x v="0"/>
    <n v="0"/>
    <s v="Active"/>
    <n v="0.24960479999999999"/>
    <n v="6"/>
    <x v="0"/>
    <x v="2"/>
    <x v="0"/>
  </r>
  <r>
    <s v="Fatoumata Diallo"/>
    <s v="fatou_d"/>
    <x v="5"/>
    <x v="19"/>
    <s v="Dakar"/>
    <n v="32"/>
    <s v="Female"/>
    <s v="fatou.diallo@email.sn"/>
    <s v="+221-77-123-45-67"/>
    <d v="2021-08-09T00:00:00"/>
    <d v="2024-01-11T00:00:00"/>
    <n v="23400.75"/>
    <n v="9800.25"/>
    <n v="710"/>
    <n v="61000"/>
    <x v="1"/>
    <x v="0"/>
    <n v="0"/>
    <s v="Active"/>
    <n v="0.16065983606557377"/>
    <n v="4"/>
    <x v="0"/>
    <x v="1"/>
    <x v="1"/>
  </r>
  <r>
    <s v="Alexander Petrov"/>
    <s v="alex_p"/>
    <x v="2"/>
    <x v="12"/>
    <s v="St. Petersburg"/>
    <n v="50"/>
    <s v="Male"/>
    <s v="alex.petrov@company.ru"/>
    <s v="+7-921-987-65-43"/>
    <d v="2017-03-12T00:00:00"/>
    <d v="2024-01-08T00:00:00"/>
    <n v="156300.20000000001"/>
    <n v="74000.800000000003"/>
    <n v="655"/>
    <n v="160000"/>
    <x v="2"/>
    <x v="0"/>
    <n v="0"/>
    <s v="Active"/>
    <n v="0.462505"/>
    <n v="7"/>
    <x v="3"/>
    <x v="2"/>
    <x v="2"/>
  </r>
  <r>
    <s v="Ying Chen"/>
    <s v="ying_chen"/>
    <x v="0"/>
    <x v="4"/>
    <s v="Beijing"/>
    <n v="54"/>
    <s v="Female"/>
    <s v="ying.chen@mail.cn"/>
    <s v="+86-139-2345-6789"/>
    <d v="2016-08-25T00:00:00"/>
    <d v="2024-01-10T00:00:00"/>
    <n v="287400.59999999998"/>
    <n v="75000.399999999994"/>
    <n v="825"/>
    <n v="260000"/>
    <x v="1"/>
    <x v="0"/>
    <n v="0"/>
    <s v="Active"/>
    <n v="0.28846307692307688"/>
    <n v="5"/>
    <x v="1"/>
    <x v="2"/>
    <x v="3"/>
  </r>
  <r>
    <s v="Samuel Johnson"/>
    <s v="sam_johnson"/>
    <x v="3"/>
    <x v="3"/>
    <s v="Birmingham"/>
    <n v="41"/>
    <s v="Male"/>
    <s v="sam.johnson@email.co.uk"/>
    <s v="+44-78-9123-4567"/>
    <d v="2019-09-30T00:00:00"/>
    <d v="2024-01-12T00:00:00"/>
    <n v="73400.25"/>
    <n v="28900.75"/>
    <n v="720"/>
    <n v="135000"/>
    <x v="0"/>
    <x v="0"/>
    <n v="0"/>
    <s v="Active"/>
    <n v="0.21407962962962962"/>
    <n v="3"/>
    <x v="0"/>
    <x v="0"/>
    <x v="2"/>
  </r>
  <r>
    <s v="Ngozi Okonkwo"/>
    <s v="ngozio"/>
    <x v="2"/>
    <x v="6"/>
    <s v="Lagos"/>
    <n v="47"/>
    <s v="Female"/>
    <s v="ngozi.okonkwo@company.ng"/>
    <s v="+234-803-456-7890"/>
    <d v="2018-05-17T00:00:00"/>
    <d v="2024-01-09T00:00:00"/>
    <n v="142800.9"/>
    <n v="68000.600000000006"/>
    <n v="640"/>
    <n v="145000"/>
    <x v="2"/>
    <x v="0"/>
    <n v="0"/>
    <s v="Active"/>
    <n v="0.46896965517241385"/>
    <n v="6"/>
    <x v="3"/>
    <x v="2"/>
    <x v="2"/>
  </r>
  <r>
    <s v="Pierre Moreau"/>
    <s v="pierre_m"/>
    <x v="4"/>
    <x v="10"/>
    <s v="Lyon"/>
    <n v="37"/>
    <s v="Male"/>
    <s v="pierre.moreau@email.fr"/>
    <s v="+33-7-8765-4321"/>
    <d v="2020-04-11T00:00:00"/>
    <d v="2024-01-11T00:00:00"/>
    <n v="42300.800000000003"/>
    <n v="15600.4"/>
    <n v="745"/>
    <n v="88000"/>
    <x v="1"/>
    <x v="0"/>
    <n v="0"/>
    <s v="Active"/>
    <n v="0.17727727272727273"/>
    <n v="4"/>
    <x v="0"/>
    <x v="0"/>
    <x v="0"/>
  </r>
  <r>
    <s v="Amina Hassan"/>
    <s v="amina_h"/>
    <x v="1"/>
    <x v="20"/>
    <s v="Cairo"/>
    <n v="24"/>
    <s v="Female"/>
    <s v="amina.hassan@mail.eg"/>
    <s v="+20-100-123-4567"/>
    <d v="2023-02-28T00:00:00"/>
    <d v="2024-01-15T00:00:00"/>
    <n v="7400.6"/>
    <n v="4200.75"/>
    <n v="695"/>
    <n v="31000"/>
    <x v="0"/>
    <x v="1"/>
    <n v="0"/>
    <s v="Active"/>
    <n v="0.13550806451612904"/>
    <n v="0"/>
    <x v="0"/>
    <x v="3"/>
    <x v="1"/>
  </r>
  <r>
    <s v="Thomas Anderson"/>
    <s v="t_anderson"/>
    <x v="5"/>
    <x v="0"/>
    <s v="Seattle"/>
    <n v="33"/>
    <s v="Male"/>
    <s v="thomas.anderson@email.com"/>
    <s v="+1-206-555-0162"/>
    <d v="2021-07-19T00:00:00"/>
    <d v="2024-01-12T00:00:00"/>
    <n v="18700.400000000001"/>
    <n v="7200.9"/>
    <n v="770"/>
    <n v="63000"/>
    <x v="1"/>
    <x v="0"/>
    <n v="0"/>
    <s v="Active"/>
    <n v="0.1143"/>
    <n v="3"/>
    <x v="2"/>
    <x v="1"/>
    <x v="1"/>
  </r>
  <r>
    <s v="Siti Rahman"/>
    <s v="siti_rahman"/>
    <x v="3"/>
    <x v="21"/>
    <s v="Kuala Lumpur"/>
    <n v="39"/>
    <s v="Female"/>
    <s v="siti.rahman@email.my"/>
    <s v="+60-12-345-6789"/>
    <d v="2020-10-05T00:00:00"/>
    <d v="2024-01-10T00:00:00"/>
    <n v="58900.75"/>
    <n v="23400.25"/>
    <n v="705"/>
    <n v="112000"/>
    <x v="0"/>
    <x v="0"/>
    <n v="0"/>
    <s v="Active"/>
    <n v="0.20893080357142857"/>
    <n v="5"/>
    <x v="0"/>
    <x v="0"/>
    <x v="0"/>
  </r>
  <r>
    <s v="Diego Ramirez"/>
    <s v="diego_r"/>
    <x v="4"/>
    <x v="22"/>
    <s v="Bogotá"/>
    <n v="43"/>
    <s v="Male"/>
    <s v="diego.ramirez@email.co"/>
    <s v="+57-300-123-4567"/>
    <d v="2019-02-14T00:00:00"/>
    <d v="2024-01-09T00:00:00"/>
    <n v="45600.3"/>
    <n v="19800.8"/>
    <n v="680"/>
    <n v="97000"/>
    <x v="0"/>
    <x v="0"/>
    <n v="0"/>
    <s v="Active"/>
    <n v="0.20413195876288659"/>
    <n v="6"/>
    <x v="0"/>
    <x v="0"/>
    <x v="0"/>
  </r>
  <r>
    <s v="Hana Kim"/>
    <s v="hana_k"/>
    <x v="0"/>
    <x v="17"/>
    <s v="Busan"/>
    <n v="52"/>
    <s v="Female"/>
    <s v="hana.kim@mail.kr"/>
    <s v="+82-10-9876-5432"/>
    <d v="2017-11-08T00:00:00"/>
    <d v="2024-01-08T00:00:00"/>
    <n v="213800.4"/>
    <n v="58000.75"/>
    <n v="795"/>
    <n v="225000"/>
    <x v="1"/>
    <x v="0"/>
    <n v="0"/>
    <s v="Active"/>
    <n v="0.25778111111111113"/>
    <n v="7"/>
    <x v="2"/>
    <x v="2"/>
    <x v="3"/>
  </r>
  <r>
    <s v="James O'Malley"/>
    <s v="james_omalley"/>
    <x v="6"/>
    <x v="11"/>
    <s v="Cork"/>
    <n v="21"/>
    <s v="Male"/>
    <s v="james.omalley@edu.ie"/>
    <s v="+353-86-234-5678"/>
    <d v="2023-09-15T00:00:00"/>
    <d v="2024-01-13T00:00:00"/>
    <n v="2100.25"/>
    <n v="9800.6"/>
    <n v="600"/>
    <n v="19000"/>
    <x v="2"/>
    <x v="1"/>
    <n v="0"/>
    <s v="Active"/>
    <n v="0.51582105263157896"/>
    <n v="2"/>
    <x v="3"/>
    <x v="3"/>
    <x v="1"/>
  </r>
  <r>
    <s v="Ling Wong"/>
    <s v="ling_wong"/>
    <x v="2"/>
    <x v="23"/>
    <s v="Singapore"/>
    <n v="49"/>
    <s v="Male"/>
    <s v="ling.wong@company.sg"/>
    <s v="+65-9123-4567"/>
    <d v="2018-07-22T00:00:00"/>
    <d v="2024-01-09T00:00:00"/>
    <n v="178900.75"/>
    <n v="85000.4"/>
    <n v="690"/>
    <n v="185000"/>
    <x v="2"/>
    <x v="0"/>
    <n v="0"/>
    <s v="Active"/>
    <n v="0.45946162162162157"/>
    <n v="6"/>
    <x v="0"/>
    <x v="2"/>
    <x v="2"/>
  </r>
  <r>
    <s v="Maria Gonzalez"/>
    <s v="maria_g"/>
    <x v="5"/>
    <x v="24"/>
    <s v="Buenos Aires"/>
    <n v="30"/>
    <s v="Female"/>
    <s v="maria.gonzalez@email.ar"/>
    <s v="+54-9-11-2345-6789"/>
    <d v="2022-01-25T00:00:00"/>
    <d v="2024-01-14T00:00:00"/>
    <n v="12300.9"/>
    <n v="5400.25"/>
    <n v="740"/>
    <n v="55000"/>
    <x v="1"/>
    <x v="0"/>
    <n v="0"/>
    <s v="Active"/>
    <n v="9.8186363636363641E-2"/>
    <n v="1"/>
    <x v="0"/>
    <x v="1"/>
    <x v="1"/>
  </r>
  <r>
    <s v="Ahmed Khan"/>
    <s v="ahmed_k"/>
    <x v="4"/>
    <x v="25"/>
    <s v="Karachi"/>
    <n v="44"/>
    <s v="Male"/>
    <s v="ahmed.khan@email.pk"/>
    <s v="+92-300-1234567"/>
    <d v="2019-04-03T00:00:00"/>
    <d v="2024-01-10T00:00:00"/>
    <n v="51200.6"/>
    <n v="23500.75"/>
    <n v="665"/>
    <n v="108000"/>
    <x v="0"/>
    <x v="0"/>
    <n v="0"/>
    <s v="Active"/>
    <n v="0.21759953703703705"/>
    <n v="5"/>
    <x v="3"/>
    <x v="0"/>
    <x v="0"/>
  </r>
  <r>
    <s v="Yuki Sato"/>
    <s v="yuki_s"/>
    <x v="1"/>
    <x v="1"/>
    <s v="Tokyo"/>
    <n v="27"/>
    <s v="Female"/>
    <s v="yuki.sato@mail.jp"/>
    <s v="+81-90-4567-8901"/>
    <d v="2023-03-18T00:00:00"/>
    <d v="2024-01-14T00:00:00"/>
    <n v="8300.4"/>
    <n v="4600.8"/>
    <n v="710"/>
    <n v="34000"/>
    <x v="0"/>
    <x v="1"/>
    <n v="0"/>
    <s v="Active"/>
    <n v="0.13531764705882354"/>
    <n v="1"/>
    <x v="0"/>
    <x v="1"/>
    <x v="1"/>
  </r>
  <r>
    <s v="Robert Wilson"/>
    <s v="rob_wilson"/>
    <x v="3"/>
    <x v="26"/>
    <s v="Sydney"/>
    <n v="38"/>
    <s v="Male"/>
    <s v="rob.wilson@email.au"/>
    <s v="+61-412-345-678"/>
    <d v="2020-08-12T00:00:00"/>
    <d v="2024-01-11T00:00:00"/>
    <n v="67800.25"/>
    <n v="25600.400000000001"/>
    <n v="730"/>
    <n v="121000"/>
    <x v="0"/>
    <x v="0"/>
    <n v="0"/>
    <s v="Active"/>
    <n v="0.21157355371900827"/>
    <n v="4"/>
    <x v="0"/>
    <x v="0"/>
    <x v="0"/>
  </r>
  <r>
    <s v="Fatima Zahra"/>
    <s v="fatima_z"/>
    <x v="5"/>
    <x v="27"/>
    <s v="Casablanca"/>
    <n v="31"/>
    <s v="Female"/>
    <s v="fatima.zahra@email.ma"/>
    <s v="+212-612-345-678"/>
    <d v="2021-12-08T00:00:00"/>
    <d v="2024-01-12T00:00:00"/>
    <n v="15600.8"/>
    <n v="6800.9"/>
    <n v="725"/>
    <n v="59000"/>
    <x v="1"/>
    <x v="0"/>
    <n v="0"/>
    <s v="Active"/>
    <n v="0.11526949152542372"/>
    <n v="3"/>
    <x v="0"/>
    <x v="1"/>
    <x v="1"/>
  </r>
  <r>
    <s v="Miguel Santos"/>
    <s v="miguel_s"/>
    <x v="2"/>
    <x v="5"/>
    <s v="São Paulo"/>
    <n v="53"/>
    <s v="Male"/>
    <s v="miguel.santos@company.br"/>
    <s v="+55-11-93456-7890"/>
    <d v="2017-09-05T00:00:00"/>
    <d v="2024-01-08T00:00:00"/>
    <n v="198500.6"/>
    <n v="92000.25"/>
    <n v="675"/>
    <n v="205000"/>
    <x v="2"/>
    <x v="0"/>
    <n v="0"/>
    <s v="Active"/>
    <n v="0.44878170731707318"/>
    <n v="7"/>
    <x v="0"/>
    <x v="2"/>
    <x v="3"/>
  </r>
  <r>
    <s v="Sarah Chen"/>
    <s v="sarah_chen"/>
    <x v="0"/>
    <x v="9"/>
    <s v="Toronto"/>
    <n v="46"/>
    <s v="Female"/>
    <s v="sarah.chen@email.ca"/>
    <s v="+1-647-555-0192"/>
    <d v="2018-12-20T00:00:00"/>
    <d v="2024-01-10T00:00:00"/>
    <n v="187600.4"/>
    <n v="52000.800000000003"/>
    <n v="810"/>
    <n v="195000"/>
    <x v="1"/>
    <x v="0"/>
    <n v="0"/>
    <s v="Active"/>
    <n v="0.26667076923076927"/>
    <n v="5"/>
    <x v="1"/>
    <x v="2"/>
    <x v="3"/>
  </r>
  <r>
    <s v="Ravi Shankar"/>
    <s v="ravi_shankar"/>
    <x v="4"/>
    <x v="2"/>
    <s v="Delhi"/>
    <n v="41"/>
    <s v="Male"/>
    <s v="ravi.shankar@email.in"/>
    <s v="+91-832-109-8765"/>
    <d v="2019-10-15T00:00:00"/>
    <d v="2024-01-11T00:00:00"/>
    <n v="62300.75"/>
    <n v="28500.6"/>
    <n v="690"/>
    <n v="132000"/>
    <x v="0"/>
    <x v="0"/>
    <n v="0"/>
    <s v="Active"/>
    <n v="0.21591363636363636"/>
    <n v="4"/>
    <x v="0"/>
    <x v="0"/>
    <x v="2"/>
  </r>
  <r>
    <s v="Emma van der Berg"/>
    <s v="emma_vdb"/>
    <x v="5"/>
    <x v="28"/>
    <s v="Amsterdam"/>
    <n v="29"/>
    <s v="Female"/>
    <s v="emma.vanderberg@email.nl"/>
    <s v="+31-6-1234-5678"/>
    <d v="2022-05-22T00:00:00"/>
    <d v="2024-01-14T00:00:00"/>
    <n v="13400.2"/>
    <n v="5800.75"/>
    <n v="755"/>
    <n v="51000"/>
    <x v="1"/>
    <x v="0"/>
    <n v="0"/>
    <s v="Active"/>
    <n v="0.11374019607843137"/>
    <n v="1"/>
    <x v="2"/>
    <x v="1"/>
    <x v="1"/>
  </r>
  <r>
    <s v="Omar Farooq"/>
    <s v="omar_f"/>
    <x v="2"/>
    <x v="29"/>
    <s v="Dhaka"/>
    <n v="48"/>
    <s v="Male"/>
    <s v="omar.farooq@company.bd"/>
    <s v="+880-1712-345678"/>
    <d v="2018-03-28T00:00:00"/>
    <d v="2024-01-09T00:00:00"/>
    <n v="123700.8"/>
    <n v="59000.4"/>
    <n v="645"/>
    <n v="135000"/>
    <x v="2"/>
    <x v="0"/>
    <n v="0"/>
    <s v="Active"/>
    <n v="0.43703999999999998"/>
    <n v="6"/>
    <x v="3"/>
    <x v="2"/>
    <x v="2"/>
  </r>
  <r>
    <s v="Chloe Dubois"/>
    <s v="chloe_d"/>
    <x v="6"/>
    <x v="10"/>
    <s v="Paris"/>
    <n v="20"/>
    <s v="Female"/>
    <s v="chloe.dubois@edu.fr"/>
    <s v="+33-7-2345-6789"/>
    <d v="2023-10-10T00:00:00"/>
    <d v="2024-01-13T00:00:00"/>
    <n v="1950.8"/>
    <n v="9200.25"/>
    <n v="610"/>
    <n v="17000"/>
    <x v="2"/>
    <x v="1"/>
    <n v="0"/>
    <s v="Active"/>
    <n v="0.54119117647058823"/>
    <n v="2"/>
    <x v="3"/>
    <x v="3"/>
    <x v="1"/>
  </r>
  <r>
    <s v="Kenji Watanabe"/>
    <s v="kenji_w"/>
    <x v="0"/>
    <x v="1"/>
    <s v="Osaka"/>
    <n v="58"/>
    <s v="Male"/>
    <s v="kenji.watanabe@mail.jp"/>
    <s v="+81-80-5678-9012"/>
    <d v="2016-05-14T00:00:00"/>
    <d v="2024-01-08T00:00:00"/>
    <n v="256300.75"/>
    <n v="68000.899999999994"/>
    <n v="820"/>
    <n v="270000"/>
    <x v="1"/>
    <x v="0"/>
    <n v="0"/>
    <s v="Active"/>
    <n v="0.25185518518518518"/>
    <n v="7"/>
    <x v="1"/>
    <x v="4"/>
    <x v="3"/>
  </r>
  <r>
    <s v="Adeyemi Adebayo"/>
    <s v="adeyemi_a"/>
    <x v="4"/>
    <x v="6"/>
    <s v="Ibadan"/>
    <n v="39"/>
    <s v="Male"/>
    <s v="adeyemi.adebayo@email.ng"/>
    <s v="+234-807-890-1234"/>
    <d v="2020-02-29T00:00:00"/>
    <d v="2024-01-10T00:00:00"/>
    <n v="34500.6"/>
    <n v="15200.75"/>
    <n v="670"/>
    <n v="78000"/>
    <x v="0"/>
    <x v="0"/>
    <n v="0"/>
    <s v="Active"/>
    <n v="0.19488141025641026"/>
    <n v="5"/>
    <x v="0"/>
    <x v="0"/>
    <x v="0"/>
  </r>
  <r>
    <s v="Isabelle Laurent"/>
    <s v="isabelle_l"/>
    <x v="3"/>
    <x v="30"/>
    <s v="Zurich"/>
    <n v="36"/>
    <s v="Female"/>
    <s v="isabelle.laurent@email.ch"/>
    <s v="+41-76-123-45-67"/>
    <d v="2021-04-07T00:00:00"/>
    <d v="2024-01-12T00:00:00"/>
    <n v="78900.399999999994"/>
    <n v="31200.799999999999"/>
    <n v="760"/>
    <n v="142000"/>
    <x v="0"/>
    <x v="0"/>
    <n v="0"/>
    <s v="Active"/>
    <n v="0.21972394366197182"/>
    <n v="3"/>
    <x v="2"/>
    <x v="0"/>
    <x v="2"/>
  </r>
  <r>
    <s v="David Park"/>
    <s v="david_park"/>
    <x v="1"/>
    <x v="17"/>
    <s v="Seoul"/>
    <n v="26"/>
    <s v="Male"/>
    <s v="david.park@mail.kr"/>
    <s v="+82-10-2345-6789"/>
    <d v="2023-06-12T00:00:00"/>
    <d v="2024-01-14T00:00:00"/>
    <n v="9200.75"/>
    <n v="5100.3999999999996"/>
    <n v="730"/>
    <n v="38000"/>
    <x v="1"/>
    <x v="0"/>
    <n v="0"/>
    <s v="Active"/>
    <n v="0.13422105263157894"/>
    <n v="1"/>
    <x v="0"/>
    <x v="1"/>
    <x v="1"/>
  </r>
  <r>
    <s v="Samantha Jones"/>
    <s v="sam_jones"/>
    <x v="5"/>
    <x v="3"/>
    <s v="London"/>
    <n v="32"/>
    <s v="Female"/>
    <s v="samantha.jones@email.co.uk"/>
    <s v="+44-79-8234-5678"/>
    <d v="2021-11-30T00:00:00"/>
    <d v="2024-01-11T00:00:00"/>
    <n v="17800.900000000001"/>
    <n v="7600.25"/>
    <n v="740"/>
    <n v="67000"/>
    <x v="1"/>
    <x v="0"/>
    <n v="0"/>
    <s v="Active"/>
    <n v="0.1134365671641791"/>
    <n v="4"/>
    <x v="0"/>
    <x v="1"/>
    <x v="1"/>
  </r>
  <r>
    <s v="Mohammad Ali"/>
    <s v="m_ali"/>
    <x v="2"/>
    <x v="31"/>
    <s v="Riyadh"/>
    <n v="51"/>
    <s v="Male"/>
    <s v="mohammad.ali@company.sa"/>
    <s v="+966-50-123-4567"/>
    <d v="2017-07-18T00:00:00"/>
    <d v="2024-01-08T00:00:00"/>
    <n v="234800.2"/>
    <n v="105000.6"/>
    <n v="660"/>
    <n v="240000"/>
    <x v="2"/>
    <x v="0"/>
    <n v="0"/>
    <s v="Active"/>
    <n v="0.43750250000000002"/>
    <n v="7"/>
    <x v="3"/>
    <x v="2"/>
    <x v="3"/>
  </r>
  <r>
    <s v="Lina Nguyen"/>
    <s v="lina_nguyen"/>
    <x v="4"/>
    <x v="32"/>
    <s v="Hanoi"/>
    <n v="35"/>
    <s v="Female"/>
    <s v="lina.nguyen@email.vn"/>
    <s v="+84-912-345-678"/>
    <d v="2020-09-25T00:00:00"/>
    <d v="2024-01-10T00:00:00"/>
    <n v="29800.400000000001"/>
    <n v="12300.75"/>
    <n v="700"/>
    <n v="71000"/>
    <x v="0"/>
    <x v="0"/>
    <n v="0"/>
    <s v="Active"/>
    <n v="0.17324999999999999"/>
    <n v="5"/>
    <x v="0"/>
    <x v="0"/>
    <x v="1"/>
  </r>
  <r>
    <s v="Brian Taylor"/>
    <s v="brian_t"/>
    <x v="3"/>
    <x v="0"/>
    <s v="San Francisco"/>
    <n v="42"/>
    <s v="Male"/>
    <s v="brian.taylor@email.com"/>
    <s v="+1-415-555-0183"/>
    <d v="2019-12-08T00:00:00"/>
    <d v="2024-01-12T00:00:00"/>
    <n v="85600.75"/>
    <n v="34200.400000000001"/>
    <n v="715"/>
    <n v="148000"/>
    <x v="0"/>
    <x v="0"/>
    <n v="0"/>
    <s v="Active"/>
    <n v="0.2310837837837838"/>
    <n v="3"/>
    <x v="0"/>
    <x v="0"/>
    <x v="2"/>
  </r>
  <r>
    <s v="Zara Khan"/>
    <s v="zara_k"/>
    <x v="6"/>
    <x v="25"/>
    <s v="Lahore"/>
    <n v="23"/>
    <s v="Female"/>
    <s v="zara.khan@edu.pk"/>
    <s v="+92-322-9876543"/>
    <d v="2023-08-05T00:00:00"/>
    <d v="2024-01-13T00:00:00"/>
    <n v="1650.2"/>
    <n v="7500.8"/>
    <n v="615"/>
    <n v="21000"/>
    <x v="2"/>
    <x v="1"/>
    <n v="0"/>
    <s v="Active"/>
    <n v="0.35718095238095238"/>
    <n v="2"/>
    <x v="3"/>
    <x v="3"/>
    <x v="1"/>
  </r>
  <r>
    <s v="Giuseppe Romano"/>
    <s v="giuseppe_r"/>
    <x v="0"/>
    <x v="18"/>
    <s v="Milan"/>
    <n v="55"/>
    <s v="Male"/>
    <s v="giuseppe.romano@mail.it"/>
    <s v="+39-347-123-4567"/>
    <d v="2016-10-22T00:00:00"/>
    <d v="2024-01-08T00:00:00"/>
    <n v="298700.40000000002"/>
    <n v="72000.25"/>
    <n v="835"/>
    <n v="280000"/>
    <x v="1"/>
    <x v="0"/>
    <n v="0"/>
    <s v="Active"/>
    <n v="0.25714375"/>
    <n v="7"/>
    <x v="1"/>
    <x v="4"/>
    <x v="3"/>
  </r>
  <r>
    <s v="Nadia Petrova"/>
    <s v="nadia_p"/>
    <x v="5"/>
    <x v="33"/>
    <s v="Kyiv"/>
    <n v="33"/>
    <s v="Female"/>
    <s v="nadia.petrova@email.ua"/>
    <s v="+380-67-123-4567"/>
    <d v="2021-03-14T00:00:00"/>
    <d v="2024-01-11T00:00:00"/>
    <n v="14200.6"/>
    <n v="6100.9"/>
    <n v="725"/>
    <n v="57000"/>
    <x v="1"/>
    <x v="0"/>
    <n v="0"/>
    <s v="Active"/>
    <n v="0.10703333333333333"/>
    <n v="4"/>
    <x v="0"/>
    <x v="1"/>
    <x v="1"/>
  </r>
  <r>
    <s v="Kevin O'Brien"/>
    <s v="kevin_obrien"/>
    <x v="2"/>
    <x v="11"/>
    <s v="Dublin"/>
    <n v="49"/>
    <s v="Male"/>
    <s v="kevin.obrien@company.ie"/>
    <s v="+353-87-234-5678"/>
    <d v="2018-06-30T00:00:00"/>
    <d v="2024-01-09T00:00:00"/>
    <n v="167800.75"/>
    <n v="78000.600000000006"/>
    <n v="675"/>
    <n v="175000"/>
    <x v="2"/>
    <x v="0"/>
    <n v="0"/>
    <s v="Active"/>
    <n v="0.44571771428571433"/>
    <n v="6"/>
    <x v="0"/>
    <x v="2"/>
    <x v="2"/>
  </r>
  <r>
    <s v="Yuna Kim"/>
    <s v="yuna_kim"/>
    <x v="1"/>
    <x v="17"/>
    <s v="Seoul"/>
    <n v="28"/>
    <s v="Female"/>
    <s v="yuna.kim@mail.kr"/>
    <s v="+82-10-3456-7890"/>
    <d v="2022-12-03T00:00:00"/>
    <d v="2024-01-14T00:00:00"/>
    <n v="10800.25"/>
    <n v="5900.4"/>
    <n v="745"/>
    <n v="46000"/>
    <x v="1"/>
    <x v="0"/>
    <n v="0"/>
    <s v="Active"/>
    <n v="0.1282695652173913"/>
    <n v="1"/>
    <x v="0"/>
    <x v="1"/>
    <x v="1"/>
  </r>
  <r>
    <s v="Ahmed Mohamed"/>
    <s v="ahmed_m"/>
    <x v="4"/>
    <x v="20"/>
    <s v="Alexandria"/>
    <n v="40"/>
    <s v="Male"/>
    <s v="ahmed.mohamed@email.eg"/>
    <s v="+20-122-345-6789"/>
    <d v="2020-01-17T00:00:00"/>
    <d v="2024-01-10T00:00:00"/>
    <n v="43200.800000000003"/>
    <n v="18700.25"/>
    <n v="680"/>
    <n v="93000"/>
    <x v="0"/>
    <x v="0"/>
    <n v="0"/>
    <s v="Active"/>
    <n v="0.20107795698924733"/>
    <n v="5"/>
    <x v="0"/>
    <x v="0"/>
    <x v="0"/>
  </r>
  <r>
    <s v="Sophia Williams"/>
    <s v="sophia_w"/>
    <x v="3"/>
    <x v="0"/>
    <s v="Boston"/>
    <n v="37"/>
    <s v="Female"/>
    <s v="sophia.williams@email.com"/>
    <s v="+1-617-555-0156"/>
    <d v="2020-07-22T00:00:00"/>
    <d v="2024-01-11T00:00:00"/>
    <n v="72300.600000000006"/>
    <n v="28900.75"/>
    <n v="750"/>
    <n v="128000"/>
    <x v="0"/>
    <x v="0"/>
    <n v="0"/>
    <s v="Active"/>
    <n v="0.22578710937499999"/>
    <n v="4"/>
    <x v="2"/>
    <x v="0"/>
    <x v="2"/>
  </r>
  <r>
    <s v="Raj Malhotra"/>
    <s v="raj_m"/>
    <x v="2"/>
    <x v="2"/>
    <s v="Mumbai"/>
    <n v="52"/>
    <s v="Male"/>
    <s v="raj.malhotra@company.in"/>
    <s v="+91-876-543-2109"/>
    <d v="2017-04-12T00:00:00"/>
    <d v="2024-01-08T00:00:00"/>
    <n v="198400.25"/>
    <n v="89000.4"/>
    <n v="655"/>
    <n v="210000"/>
    <x v="2"/>
    <x v="0"/>
    <n v="0"/>
    <s v="Active"/>
    <n v="0.42381142857142856"/>
    <n v="7"/>
    <x v="3"/>
    <x v="2"/>
    <x v="3"/>
  </r>
  <r>
    <s v="Marta Silva"/>
    <s v="marta_s"/>
    <x v="5"/>
    <x v="34"/>
    <s v="Lisbon"/>
    <n v="31"/>
    <s v="Female"/>
    <s v="marta.silva@email.pt"/>
    <s v="+351-912-345-678"/>
    <d v="2021-09-05T00:00:00"/>
    <d v="2024-01-12T00:00:00"/>
    <n v="12300.4"/>
    <n v="5200.8"/>
    <n v="735"/>
    <n v="54000"/>
    <x v="1"/>
    <x v="0"/>
    <n v="0"/>
    <s v="Active"/>
    <n v="9.6311111111111111E-2"/>
    <n v="3"/>
    <x v="0"/>
    <x v="1"/>
    <x v="1"/>
  </r>
  <r>
    <s v="Takeshi Nakamura"/>
    <s v="takeshi_n"/>
    <x v="0"/>
    <x v="1"/>
    <s v="Tokyo"/>
    <n v="59"/>
    <s v="Male"/>
    <s v="takeshi.nakamura@mail.jp"/>
    <s v="+81-90-6789-0123"/>
    <d v="2016-03-25T00:00:00"/>
    <d v="2024-01-08T00:00:00"/>
    <n v="312500.59999999998"/>
    <n v="85000.75"/>
    <n v="845"/>
    <n v="295000"/>
    <x v="1"/>
    <x v="0"/>
    <n v="0"/>
    <s v="Active"/>
    <n v="0.28813813559322032"/>
    <n v="7"/>
    <x v="1"/>
    <x v="4"/>
    <x v="3"/>
  </r>
  <r>
    <s v="Babatunde Adeyemi"/>
    <s v="babatunde_a"/>
    <x v="4"/>
    <x v="6"/>
    <s v="Lagos"/>
    <n v="45"/>
    <s v="Male"/>
    <s v="babatunde.adeyemi@email.ng"/>
    <s v="+234-809-012-3456"/>
    <d v="2019-08-19T00:00:00"/>
    <d v="2024-01-10T00:00:00"/>
    <n v="56700.3"/>
    <n v="24500.400000000001"/>
    <n v="665"/>
    <n v="118000"/>
    <x v="0"/>
    <x v="0"/>
    <n v="0"/>
    <s v="Active"/>
    <n v="0.20763050847457629"/>
    <n v="5"/>
    <x v="3"/>
    <x v="2"/>
    <x v="0"/>
  </r>
  <r>
    <s v="Elena Costa"/>
    <s v="elena_c"/>
    <x v="3"/>
    <x v="5"/>
    <s v="São Paulo"/>
    <n v="34"/>
    <s v="Female"/>
    <s v="elena.costa@email.com.br"/>
    <s v="+55-11-94567-8901"/>
    <d v="2021-02-28T00:00:00"/>
    <d v="2024-01-12T00:00:00"/>
    <n v="67800.75"/>
    <n v="25600.9"/>
    <n v="740"/>
    <n v="124000"/>
    <x v="0"/>
    <x v="0"/>
    <n v="0"/>
    <s v="Active"/>
    <n v="0.20645887096774196"/>
    <n v="3"/>
    <x v="0"/>
    <x v="1"/>
    <x v="0"/>
  </r>
  <r>
    <s v="Mark Thompson"/>
    <s v="mark_t"/>
    <x v="1"/>
    <x v="0"/>
    <s v="Chicago"/>
    <n v="27"/>
    <s v="Male"/>
    <s v="mark.thompson@mail.com"/>
    <s v="+1-773-555-0198"/>
    <d v="2023-04-15T00:00:00"/>
    <d v="2024-01-14T00:00:00"/>
    <n v="8900.6"/>
    <n v="4800.25"/>
    <n v="710"/>
    <n v="43000"/>
    <x v="0"/>
    <x v="1"/>
    <n v="0"/>
    <s v="Active"/>
    <n v="0.11163372093023256"/>
    <n v="1"/>
    <x v="0"/>
    <x v="1"/>
    <x v="1"/>
  </r>
  <r>
    <s v="Anh Tran"/>
    <s v="anh_tran"/>
    <x v="2"/>
    <x v="32"/>
    <s v="Ho Chi Minh City"/>
    <n v="47"/>
    <s v="Male"/>
    <s v="anh.tran@company.vn"/>
    <s v="+84-903-456-789"/>
    <d v="2018-11-20T00:00:00"/>
    <d v="2024-01-09T00:00:00"/>
    <n v="134600.4"/>
    <n v="62000.75"/>
    <n v="670"/>
    <n v="145000"/>
    <x v="2"/>
    <x v="0"/>
    <n v="0"/>
    <s v="Active"/>
    <n v="0.42759137931034485"/>
    <n v="6"/>
    <x v="0"/>
    <x v="2"/>
    <x v="2"/>
  </r>
  <r>
    <s v="Laura Müller"/>
    <s v="laura_m"/>
    <x v="6"/>
    <x v="7"/>
    <s v="Hamburg"/>
    <n v="22"/>
    <s v="Female"/>
    <s v="laura.muller@edu.de"/>
    <s v="+49-174-5678901"/>
    <d v="2023-07-12T00:00:00"/>
    <d v="2024-01-13T00:00:00"/>
    <n v="2280.4"/>
    <n v="10800.6"/>
    <n v="605"/>
    <n v="18000"/>
    <x v="2"/>
    <x v="1"/>
    <n v="0"/>
    <s v="Active"/>
    <n v="0.60003333333333331"/>
    <n v="2"/>
    <x v="3"/>
    <x v="3"/>
    <x v="1"/>
  </r>
  <r>
    <s v="James Cooper"/>
    <s v="james_c"/>
    <x v="3"/>
    <x v="3"/>
    <s v="Manchester"/>
    <n v="39"/>
    <s v="Male"/>
    <s v="james.cooper@email.co.uk"/>
    <s v="+44-77-4567-8901"/>
    <d v="2020-05-08T00:00:00"/>
    <d v="2024-01-11T00:00:00"/>
    <n v="81200.25"/>
    <n v="32500.799999999999"/>
    <n v="725"/>
    <n v="139000"/>
    <x v="0"/>
    <x v="0"/>
    <n v="0"/>
    <s v="Active"/>
    <n v="0.23381870503597121"/>
    <n v="4"/>
    <x v="0"/>
    <x v="0"/>
    <x v="2"/>
  </r>
  <r>
    <s v="Fatima Alawi"/>
    <s v="fatima_a"/>
    <x v="5"/>
    <x v="35"/>
    <s v="Muscat"/>
    <n v="30"/>
    <s v="Female"/>
    <s v="fatima.alawi@email.om"/>
    <s v="+968-9212-3456"/>
    <d v="2022-02-14T00:00:00"/>
    <d v="2024-01-14T00:00:00"/>
    <n v="13400.9"/>
    <n v="5800.4"/>
    <n v="750"/>
    <n v="56000"/>
    <x v="1"/>
    <x v="0"/>
    <n v="0"/>
    <s v="Active"/>
    <n v="0.10357857142857142"/>
    <n v="1"/>
    <x v="2"/>
    <x v="1"/>
    <x v="1"/>
  </r>
  <r>
    <s v="Diego Lopez"/>
    <s v="diego_l"/>
    <x v="4"/>
    <x v="13"/>
    <s v="Guadalajara"/>
    <n v="43"/>
    <s v="Male"/>
    <s v="diego.lopez@email.mx"/>
    <s v="+52-33-1234-5678"/>
    <d v="2019-06-25T00:00:00"/>
    <d v="2024-01-10T00:00:00"/>
    <n v="49800.6"/>
    <n v="21300.25"/>
    <n v="690"/>
    <n v="102000"/>
    <x v="0"/>
    <x v="0"/>
    <n v="0"/>
    <s v="Active"/>
    <n v="0.20882598039215686"/>
    <n v="5"/>
    <x v="0"/>
    <x v="0"/>
    <x v="0"/>
  </r>
  <r>
    <s v="Yuki Tanaka"/>
    <s v="yuki_tanaka"/>
    <x v="0"/>
    <x v="1"/>
    <s v="Kyoto"/>
    <n v="56"/>
    <s v="Female"/>
    <s v="yuki.tanaka@mail.jp"/>
    <s v="+81-80-7890-1234"/>
    <d v="2017-01-30T00:00:00"/>
    <d v="2024-01-08T00:00:00"/>
    <n v="267800.75"/>
    <n v="72000.899999999994"/>
    <n v="830"/>
    <n v="285000"/>
    <x v="1"/>
    <x v="0"/>
    <n v="0"/>
    <s v="Active"/>
    <n v="0.25263473684210525"/>
    <n v="7"/>
    <x v="1"/>
    <x v="4"/>
    <x v="3"/>
  </r>
  <r>
    <s v="Chinedu Okoro"/>
    <s v="chinedu_o"/>
    <x v="2"/>
    <x v="6"/>
    <s v="Port Harcourt"/>
    <n v="50"/>
    <s v="Male"/>
    <s v="chinedu.okoro@company.ng"/>
    <s v="+234-812-345-6789"/>
    <d v="2018-04-05T00:00:00"/>
    <d v="2024-01-09T00:00:00"/>
    <n v="178900.4"/>
    <n v="82000.25"/>
    <n v="645"/>
    <n v="185000"/>
    <x v="2"/>
    <x v="0"/>
    <n v="0"/>
    <s v="Active"/>
    <n v="0.44324459459459459"/>
    <n v="6"/>
    <x v="3"/>
    <x v="2"/>
    <x v="2"/>
  </r>
  <r>
    <s v="Isabelle Roy"/>
    <s v="isabelle_r"/>
    <x v="3"/>
    <x v="9"/>
    <s v="Vancouver"/>
    <n v="35"/>
    <s v="Female"/>
    <s v="isabelle.roy@email.ca"/>
    <s v="+1-778-555-0172"/>
    <d v="2021-08-14T00:00:00"/>
    <d v="2024-01-12T00:00:00"/>
    <n v="73400.800000000003"/>
    <n v="29800.6"/>
    <n v="760"/>
    <n v="131000"/>
    <x v="0"/>
    <x v="0"/>
    <n v="0"/>
    <s v="Active"/>
    <n v="0.2274854961832061"/>
    <n v="3"/>
    <x v="2"/>
    <x v="0"/>
    <x v="2"/>
  </r>
  <r>
    <s v="Rahman Ali"/>
    <s v="rahman_a"/>
    <x v="1"/>
    <x v="36"/>
    <s v="Jakarta"/>
    <n v="26"/>
    <s v="Male"/>
    <s v="rahman.ali@mail.id"/>
    <s v="+62-812-3456-7890"/>
    <d v="2023-01-22T00:00:00"/>
    <d v="2024-01-15T00:00:00"/>
    <n v="7800.25"/>
    <n v="4500.75"/>
    <n v="695"/>
    <n v="35000"/>
    <x v="0"/>
    <x v="1"/>
    <n v="0"/>
    <s v="Active"/>
    <n v="0.12859285714285715"/>
    <n v="0"/>
    <x v="0"/>
    <x v="1"/>
    <x v="1"/>
  </r>
  <r>
    <s v="Sarah O'Connor"/>
    <s v="sarah_oc"/>
    <x v="5"/>
    <x v="11"/>
    <s v="Dublin"/>
    <n v="33"/>
    <s v="Female"/>
    <s v="sarah.oconnor@email.ie"/>
    <s v="+353-85-345-6789"/>
    <d v="2021-10-18T00:00:00"/>
    <d v="2024-01-11T00:00:00"/>
    <n v="15600.4"/>
    <n v="6800.9"/>
    <n v="740"/>
    <n v="62000"/>
    <x v="1"/>
    <x v="0"/>
    <n v="0"/>
    <s v="Active"/>
    <n v="0.10969193548387096"/>
    <n v="4"/>
    <x v="0"/>
    <x v="1"/>
    <x v="1"/>
  </r>
  <r>
    <s v="Wei Li"/>
    <s v="wei_li"/>
    <x v="2"/>
    <x v="4"/>
    <s v="Shanghai"/>
    <n v="48"/>
    <s v="Male"/>
    <s v="wei.li@company.cn"/>
    <s v="+86-138-5678-9012"/>
    <d v="2018-07-12T00:00:00"/>
    <d v="2024-01-09T00:00:00"/>
    <n v="189500.6"/>
    <n v="87000.4"/>
    <n v="685"/>
    <n v="195000"/>
    <x v="2"/>
    <x v="0"/>
    <n v="0"/>
    <s v="Active"/>
    <n v="0.4461558974358974"/>
    <n v="6"/>
    <x v="0"/>
    <x v="2"/>
    <x v="3"/>
  </r>
  <r>
    <s v="Anna Kowalski"/>
    <s v="anna_k"/>
    <x v="4"/>
    <x v="37"/>
    <s v="Warsaw"/>
    <n v="38"/>
    <s v="Female"/>
    <s v="anna.kowalski@email.pl"/>
    <s v="+48-600-123-456"/>
    <d v="2020-03-29T00:00:00"/>
    <d v="2024-01-10T00:00:00"/>
    <n v="38700.75"/>
    <n v="15600.8"/>
    <n v="715"/>
    <n v="86000"/>
    <x v="0"/>
    <x v="0"/>
    <n v="0"/>
    <s v="Active"/>
    <n v="0.1814046511627907"/>
    <n v="5"/>
    <x v="0"/>
    <x v="0"/>
    <x v="0"/>
  </r>
  <r>
    <s v="Mohammed Rahman"/>
    <s v="m_rahman"/>
    <x v="3"/>
    <x v="29"/>
    <s v="Chittagong"/>
    <n v="41"/>
    <s v="Male"/>
    <s v="mohammed.rahman@email.bd"/>
    <s v="+880-1812-345678"/>
    <d v="2019-12-05T00:00:00"/>
    <d v="2024-01-11T00:00:00"/>
    <n v="62300.2"/>
    <n v="24500.75"/>
    <n v="680"/>
    <n v="117000"/>
    <x v="0"/>
    <x v="0"/>
    <n v="0"/>
    <s v="Active"/>
    <n v="0.20940811965811965"/>
    <n v="4"/>
    <x v="0"/>
    <x v="0"/>
    <x v="0"/>
  </r>
  <r>
    <s v="Yumi Sato"/>
    <s v="yumi_s"/>
    <x v="6"/>
    <x v="1"/>
    <s v="Tokyo"/>
    <n v="21"/>
    <s v="Female"/>
    <s v="yumi.sato@edu.jp"/>
    <s v="+81-90-9012-3456"/>
    <d v="2023-09-08T00:00:00"/>
    <d v="2024-01-13T00:00:00"/>
    <n v="1950.6"/>
    <n v="9200.4"/>
    <n v="610"/>
    <n v="19000"/>
    <x v="2"/>
    <x v="1"/>
    <n v="0"/>
    <s v="Active"/>
    <n v="0.4842315789473684"/>
    <n v="2"/>
    <x v="3"/>
    <x v="3"/>
    <x v="1"/>
  </r>
  <r>
    <s v="Carlos Rodriguez"/>
    <s v="carlos_r"/>
    <x v="0"/>
    <x v="14"/>
    <s v="Barcelona"/>
    <n v="54"/>
    <s v="Male"/>
    <s v="carlos.rodriguez@mail.es"/>
    <s v="+34-622-345-678"/>
    <d v="2017-05-19T00:00:00"/>
    <d v="2024-01-08T00:00:00"/>
    <n v="287600.40000000002"/>
    <n v="78000.25"/>
    <n v="825"/>
    <n v="275000"/>
    <x v="1"/>
    <x v="0"/>
    <n v="0"/>
    <s v="Active"/>
    <n v="0.28363727272727274"/>
    <n v="7"/>
    <x v="1"/>
    <x v="2"/>
    <x v="3"/>
  </r>
  <r>
    <s v="Aisha Abdullahi"/>
    <s v="aisha_a"/>
    <x v="5"/>
    <x v="16"/>
    <s v="Nairobi"/>
    <n v="29"/>
    <s v="Female"/>
    <s v="aisha.abdullahi@email.ke"/>
    <s v="+254-723-456-789"/>
    <d v="2022-04-03T00:00:00"/>
    <d v="2024-01-14T00:00:00"/>
    <n v="11200.75"/>
    <n v="4800.6000000000004"/>
    <n v="720"/>
    <n v="48000"/>
    <x v="1"/>
    <x v="0"/>
    <n v="0"/>
    <s v="Active"/>
    <n v="0.1000125"/>
    <n v="1"/>
    <x v="0"/>
    <x v="1"/>
    <x v="1"/>
  </r>
  <r>
    <s v="David Chen"/>
    <s v="david_chen"/>
    <x v="2"/>
    <x v="23"/>
    <s v="Singapore"/>
    <n v="46"/>
    <s v="Male"/>
    <s v="david.chen@company.sg"/>
    <s v="+65-8234-5678"/>
    <d v="2018-09-25T00:00:00"/>
    <d v="2024-01-09T00:00:00"/>
    <n v="156700.79999999999"/>
    <n v="72000.899999999994"/>
    <n v="675"/>
    <n v="165000"/>
    <x v="2"/>
    <x v="0"/>
    <n v="0"/>
    <s v="Active"/>
    <n v="0.43636909090909087"/>
    <n v="6"/>
    <x v="0"/>
    <x v="2"/>
    <x v="2"/>
  </r>
  <r>
    <s v="Maria Papadopoulos"/>
    <s v="maria_p"/>
    <x v="4"/>
    <x v="38"/>
    <s v="Athens"/>
    <n v="37"/>
    <s v="Female"/>
    <s v="maria.papadopoulos@email.gr"/>
    <s v="+30-691-234-5678"/>
    <d v="2020-11-30T00:00:00"/>
    <d v="2024-01-11T00:00:00"/>
    <n v="34500.400000000001"/>
    <n v="12300.25"/>
    <n v="705"/>
    <n v="79000"/>
    <x v="0"/>
    <x v="0"/>
    <n v="0"/>
    <s v="Active"/>
    <n v="0.1556993670886076"/>
    <n v="4"/>
    <x v="0"/>
    <x v="0"/>
    <x v="0"/>
  </r>
  <r>
    <s v="James Wilson"/>
    <s v="j_wilson"/>
    <x v="3"/>
    <x v="26"/>
    <s v="Melbourne"/>
    <n v="40"/>
    <s v="Male"/>
    <s v="james.wilson@email.au"/>
    <s v="+61-423-456-789"/>
    <d v="2019-07-14T00:00:00"/>
    <d v="2024-01-10T00:00:00"/>
    <n v="85600.75"/>
    <n v="34200.800000000003"/>
    <n v="730"/>
    <n v="147000"/>
    <x v="0"/>
    <x v="0"/>
    <n v="0"/>
    <s v="Active"/>
    <n v="0.23265850340136057"/>
    <n v="5"/>
    <x v="0"/>
    <x v="0"/>
    <x v="2"/>
  </r>
  <r>
    <s v="Fatima Zahra"/>
    <s v="f_zahra"/>
    <x v="1"/>
    <x v="25"/>
    <s v="Islamabad"/>
    <n v="25"/>
    <s v="Female"/>
    <s v="fatima.zahra@mail.pk"/>
    <s v="+92-321-9876543"/>
    <d v="2023-02-28T00:00:00"/>
    <d v="2024-01-15T00:00:00"/>
    <n v="7200.9"/>
    <n v="4100.75"/>
    <n v="680"/>
    <n v="33000"/>
    <x v="0"/>
    <x v="1"/>
    <n v="0"/>
    <s v="Active"/>
    <n v="0.12426515151515151"/>
    <n v="0"/>
    <x v="0"/>
    <x v="1"/>
    <x v="1"/>
  </r>
  <r>
    <s v="Kenji Yamada"/>
    <s v="kenji_y"/>
    <x v="0"/>
    <x v="1"/>
    <s v="Osaka"/>
    <n v="57"/>
    <s v="Male"/>
    <s v="kenji.yamada@mail.jp"/>
    <s v="+81-80-1234-5678"/>
    <d v="2016-08-12T00:00:00"/>
    <d v="2024-01-08T00:00:00"/>
    <n v="298400.25"/>
    <n v="82000.399999999994"/>
    <n v="840"/>
    <n v="290000"/>
    <x v="1"/>
    <x v="0"/>
    <n v="0"/>
    <s v="Active"/>
    <n v="0.28275999999999996"/>
    <n v="7"/>
    <x v="1"/>
    <x v="4"/>
    <x v="3"/>
  </r>
  <r>
    <s v="Ngozi Eze"/>
    <s v="ngozi_e"/>
    <x v="2"/>
    <x v="6"/>
    <s v="Lagos"/>
    <n v="49"/>
    <s v="Female"/>
    <s v="ngozi.eze@company.ng"/>
    <s v="+234-813-456-7890"/>
    <d v="2018-01-15T00:00:00"/>
    <d v="2024-01-09T00:00:00"/>
    <n v="167800.6"/>
    <n v="78000.75"/>
    <n v="650"/>
    <n v="175000"/>
    <x v="2"/>
    <x v="0"/>
    <n v="0"/>
    <s v="Active"/>
    <n v="0.44571857142857141"/>
    <n v="6"/>
    <x v="3"/>
    <x v="2"/>
    <x v="2"/>
  </r>
  <r>
    <s v="Thomas Schmidt"/>
    <s v="thomas_s"/>
    <x v="3"/>
    <x v="7"/>
    <s v="Frankfurt"/>
    <n v="36"/>
    <s v="Male"/>
    <s v="thomas.schmidt@email.de"/>
    <s v="+49-175-6789012"/>
    <d v="2021-06-28T00:00:00"/>
    <d v="2024-01-12T00:00:00"/>
    <n v="72300.399999999994"/>
    <n v="28900.25"/>
    <n v="745"/>
    <n v="128000"/>
    <x v="0"/>
    <x v="0"/>
    <n v="0"/>
    <s v="Active"/>
    <n v="0.225783203125"/>
    <n v="3"/>
    <x v="0"/>
    <x v="0"/>
    <x v="2"/>
  </r>
  <r>
    <s v="Lina Chen"/>
    <s v="lina_c"/>
    <x v="5"/>
    <x v="4"/>
    <s v="Beijing"/>
    <n v="31"/>
    <s v="Female"/>
    <s v="lina.chen@mail.cn"/>
    <s v="+86-137-6789-0123"/>
    <d v="2021-12-15T00:00:00"/>
    <d v="2024-01-11T00:00:00"/>
    <n v="13400.8"/>
    <n v="5600.9"/>
    <n v="765"/>
    <n v="59000"/>
    <x v="1"/>
    <x v="0"/>
    <n v="0"/>
    <s v="Active"/>
    <n v="9.4930508474576264E-2"/>
    <n v="4"/>
    <x v="2"/>
    <x v="1"/>
    <x v="1"/>
  </r>
  <r>
    <s v="Ahmed Hassan"/>
    <s v="ahmed_h"/>
    <x v="4"/>
    <x v="20"/>
    <s v="Cairo"/>
    <n v="44"/>
    <s v="Male"/>
    <s v="ahmed.hassan@email.eg"/>
    <s v="+20-100-987-6543"/>
    <d v="2019-09-22T00:00:00"/>
    <d v="2024-01-10T00:00:00"/>
    <n v="45600.75"/>
    <n v="19800.400000000001"/>
    <n v="675"/>
    <n v="98000"/>
    <x v="0"/>
    <x v="0"/>
    <n v="0"/>
    <s v="Active"/>
    <n v="0.20204489795918368"/>
    <n v="5"/>
    <x v="0"/>
    <x v="0"/>
    <x v="0"/>
  </r>
  <r>
    <s v="Sophie Martin"/>
    <s v="sophie_m"/>
    <x v="6"/>
    <x v="10"/>
    <s v="Paris"/>
    <n v="23"/>
    <s v="Female"/>
    <s v="sophie.martin@edu.fr"/>
    <s v="+33-6-3456-7890"/>
    <d v="2023-08-18T00:00:00"/>
    <d v="2024-01-13T00:00:00"/>
    <n v="2100.25"/>
    <n v="9800.6"/>
    <n v="615"/>
    <n v="20000"/>
    <x v="2"/>
    <x v="1"/>
    <n v="0"/>
    <s v="Active"/>
    <n v="0.49003000000000002"/>
    <n v="2"/>
    <x v="3"/>
    <x v="3"/>
    <x v="1"/>
  </r>
  <r>
    <s v="Raj Kumar"/>
    <s v="raj_kumar"/>
    <x v="2"/>
    <x v="2"/>
    <s v="Delhi"/>
    <n v="51"/>
    <s v="Male"/>
    <s v="raj.kumar@company.in"/>
    <s v="+91-765-432-1098"/>
    <d v="2017-11-08T00:00:00"/>
    <d v="2024-01-08T00:00:00"/>
    <n v="213400.8"/>
    <n v="95000.25"/>
    <n v="660"/>
    <n v="220000"/>
    <x v="2"/>
    <x v="0"/>
    <n v="0"/>
    <s v="Active"/>
    <n v="0.43181931818181818"/>
    <n v="7"/>
    <x v="3"/>
    <x v="2"/>
    <x v="3"/>
  </r>
  <r>
    <s v="Maria Gonzalez"/>
    <s v="maria_g2"/>
    <x v="3"/>
    <x v="13"/>
    <s v="Mexico City"/>
    <n v="38"/>
    <s v="Female"/>
    <s v="maria.gonzalez2@email.mx"/>
    <s v="+52-55-2345-6789"/>
    <d v="2020-04-17T00:00:00"/>
    <d v="2024-01-11T00:00:00"/>
    <n v="67800.899999999994"/>
    <n v="25600.75"/>
    <n v="730"/>
    <n v="121000"/>
    <x v="0"/>
    <x v="0"/>
    <n v="0"/>
    <s v="Active"/>
    <n v="0.21157644628099173"/>
    <n v="4"/>
    <x v="0"/>
    <x v="0"/>
    <x v="0"/>
  </r>
  <r>
    <s v="Yuki Kobayashi"/>
    <s v="yuki_k"/>
    <x v="1"/>
    <x v="1"/>
    <s v="Tokyo"/>
    <n v="27"/>
    <s v="Female"/>
    <s v="yuki.kobayashi@mail.jp"/>
    <s v="+81-90-2345-6789"/>
    <d v="2023-03-12T00:00:00"/>
    <d v="2024-01-14T00:00:00"/>
    <n v="8900.4"/>
    <n v="5200.25"/>
    <n v="705"/>
    <n v="37000"/>
    <x v="0"/>
    <x v="1"/>
    <n v="0"/>
    <s v="Active"/>
    <n v="0.14054729729729729"/>
    <n v="1"/>
    <x v="0"/>
    <x v="1"/>
    <x v="1"/>
  </r>
  <r>
    <s v="Kwame Asante"/>
    <s v="kwame_a"/>
    <x v="5"/>
    <x v="15"/>
    <s v="Accra"/>
    <n v="32"/>
    <s v="Male"/>
    <s v="kwame.asante@email.gh"/>
    <s v="+233-54-567-8901"/>
    <d v="2021-10-05T00:00:00"/>
    <d v="2024-01-12T00:00:00"/>
    <n v="12300.6"/>
    <n v="5400.8"/>
    <n v="710"/>
    <n v="53000"/>
    <x v="1"/>
    <x v="0"/>
    <n v="0"/>
    <s v="Active"/>
    <n v="0.10190188679245284"/>
    <n v="3"/>
    <x v="0"/>
    <x v="1"/>
    <x v="1"/>
  </r>
  <r>
    <s v="Anna Petrova"/>
    <s v="anna_p"/>
    <x v="4"/>
    <x v="12"/>
    <s v="Moscow"/>
    <n v="39"/>
    <s v="Female"/>
    <s v="anna.petrova@email.ru"/>
    <s v="+7-915-987-65-43"/>
    <d v="2019-12-20T00:00:00"/>
    <d v="2024-01-10T00:00:00"/>
    <n v="43200.25"/>
    <n v="16700.900000000001"/>
    <n v="695"/>
    <n v="87000"/>
    <x v="0"/>
    <x v="0"/>
    <n v="0"/>
    <s v="Active"/>
    <n v="0.19196436781609197"/>
    <n v="5"/>
    <x v="0"/>
    <x v="0"/>
    <x v="0"/>
  </r>
  <r>
    <s v="Liam O'Brien"/>
    <s v="liam_obrien"/>
    <x v="2"/>
    <x v="11"/>
    <s v="Dublin"/>
    <n v="47"/>
    <s v="Male"/>
    <s v="liam.obrien@company.ie"/>
    <s v="+353-86-456-7890"/>
    <d v="2018-05-25T00:00:00"/>
    <d v="2024-01-09T00:00:00"/>
    <n v="145600.4"/>
    <n v="68000.600000000006"/>
    <n v="670"/>
    <n v="155000"/>
    <x v="2"/>
    <x v="0"/>
    <n v="0"/>
    <s v="Active"/>
    <n v="0.43871354838709681"/>
    <n v="6"/>
    <x v="0"/>
    <x v="2"/>
    <x v="2"/>
  </r>
  <r>
    <s v="Ying Wang"/>
    <s v="ying_w"/>
    <x v="0"/>
    <x v="4"/>
    <s v="Shanghai"/>
    <n v="55"/>
    <s v="Female"/>
    <s v="ying.wang@mail.cn"/>
    <s v="+86-139-3456-7890"/>
    <d v="2017-02-14T00:00:00"/>
    <d v="2024-01-08T00:00:00"/>
    <n v="312500.75"/>
    <n v="85000.8"/>
    <n v="835"/>
    <n v="300000"/>
    <x v="1"/>
    <x v="0"/>
    <n v="0"/>
    <s v="Active"/>
    <n v="0.28333600000000003"/>
    <n v="7"/>
    <x v="1"/>
    <x v="4"/>
    <x v="3"/>
  </r>
  <r>
    <s v="Adeola Yusuf"/>
    <s v="adeola_y"/>
    <x v="4"/>
    <x v="6"/>
    <s v="Abuja"/>
    <n v="42"/>
    <s v="Female"/>
    <s v="adeola.yusuf@email.ng"/>
    <s v="+234-814-567-8901"/>
    <d v="2019-11-08T00:00:00"/>
    <d v="2024-01-11T00:00:00"/>
    <n v="52300.6"/>
    <n v="22300.25"/>
    <n v="665"/>
    <n v="108000"/>
    <x v="0"/>
    <x v="0"/>
    <n v="0"/>
    <s v="Active"/>
    <n v="0.20648379629629629"/>
    <n v="4"/>
    <x v="3"/>
    <x v="0"/>
    <x v="0"/>
  </r>
  <r>
    <s v="Marco Bianchi"/>
    <s v="marco_b"/>
    <x v="3"/>
    <x v="18"/>
    <s v="Rome"/>
    <n v="34"/>
    <s v="Male"/>
    <s v="marco.bianchi@email.it"/>
    <s v="+39-348-234-5678"/>
    <d v="2021-07-19T00:00:00"/>
    <d v="2024-01-12T00:00:00"/>
    <n v="75600.800000000003"/>
    <n v="29800.400000000001"/>
    <n v="750"/>
    <n v="134000"/>
    <x v="0"/>
    <x v="0"/>
    <n v="0"/>
    <s v="Active"/>
    <n v="0.2223910447761194"/>
    <n v="3"/>
    <x v="2"/>
    <x v="1"/>
    <x v="2"/>
  </r>
  <r>
    <s v="Jennifer Kim"/>
    <s v="jennifer_k"/>
    <x v="5"/>
    <x v="0"/>
    <s v="Los Angeles"/>
    <n v="30"/>
    <s v="Female"/>
    <s v="jennifer.kim@email.com"/>
    <s v="+1-310-555-0194"/>
    <d v="2022-01-30T00:00:00"/>
    <d v="2024-01-14T00:00:00"/>
    <n v="14500.9"/>
    <n v="6200.75"/>
    <n v="770"/>
    <n v="65000"/>
    <x v="1"/>
    <x v="0"/>
    <n v="0"/>
    <s v="Active"/>
    <n v="9.5396153846153853E-2"/>
    <n v="1"/>
    <x v="2"/>
    <x v="1"/>
    <x v="1"/>
  </r>
  <r>
    <s v="Rahman Hussain"/>
    <s v="rahman_h"/>
    <x v="2"/>
    <x v="25"/>
    <s v="Karachi"/>
    <n v="53"/>
    <s v="Male"/>
    <s v="rahman.hussain@company.pk"/>
    <s v="+92-300-9876543"/>
    <d v="2017-08-22T00:00:00"/>
    <d v="2024-01-08T00:00:00"/>
    <n v="198700.25"/>
    <n v="89000.8"/>
    <n v="645"/>
    <n v="205000"/>
    <x v="2"/>
    <x v="0"/>
    <n v="0"/>
    <s v="Active"/>
    <n v="0.43415024390243906"/>
    <n v="7"/>
    <x v="3"/>
    <x v="2"/>
    <x v="3"/>
  </r>
  <r>
    <s v="Sofia Martinez"/>
    <s v="sofia_m"/>
    <x v="1"/>
    <x v="14"/>
    <s v="Madrid"/>
    <n v="26"/>
    <s v="Female"/>
    <s v="sofia.martinez@mail.es"/>
    <s v="+34-623-456-789"/>
    <d v="2023-04-08T00:00:00"/>
    <d v="2024-01-15T00:00:00"/>
    <n v="10200.5"/>
    <n v="5800.4"/>
    <n v="720"/>
    <n v="42000"/>
    <x v="1"/>
    <x v="0"/>
    <n v="0"/>
    <s v="Active"/>
    <n v="0.1381047619047619"/>
    <n v="0"/>
    <x v="0"/>
    <x v="1"/>
    <x v="1"/>
  </r>
  <r>
    <s v="Kenji Sato"/>
    <s v="kenji_sato2"/>
    <x v="6"/>
    <x v="1"/>
    <s v="Osaka"/>
    <n v="22"/>
    <s v="Male"/>
    <s v="kenji.sato2@edu.jp"/>
    <s v="+81-90-5678-9012"/>
    <d v="2023-10-12T00:00:00"/>
    <d v="2024-01-13T00:00:00"/>
    <n v="1850.8"/>
    <n v="8500.25"/>
    <n v="605"/>
    <n v="18000"/>
    <x v="2"/>
    <x v="1"/>
    <n v="0"/>
    <s v="Active"/>
    <n v="0.47223611111111113"/>
    <n v="2"/>
    <x v="3"/>
    <x v="3"/>
    <x v="1"/>
  </r>
  <r>
    <s v="Fatoumata Bello"/>
    <s v="fatou_b"/>
    <x v="3"/>
    <x v="19"/>
    <s v="Dakar"/>
    <n v="36"/>
    <s v="Female"/>
    <s v="fatoumata.bello@email.sn"/>
    <s v="+221-78-234-5678"/>
    <d v="2021-03-25T00:00:00"/>
    <d v="2024-01-11T00:00:00"/>
    <n v="62300.4"/>
    <n v="24500.75"/>
    <n v="710"/>
    <n v="116000"/>
    <x v="0"/>
    <x v="0"/>
    <n v="0"/>
    <s v="Active"/>
    <n v="0.21121336206896552"/>
    <n v="4"/>
    <x v="0"/>
    <x v="0"/>
    <x v="0"/>
  </r>
  <r>
    <s v="David Wilson"/>
    <s v="david_w"/>
    <x v="2"/>
    <x v="3"/>
    <s v="London"/>
    <n v="50"/>
    <s v="Male"/>
    <s v="david.wilson@company.co.uk"/>
    <s v="+44-79-5678-9012"/>
    <d v="2018-02-18T00:00:00"/>
    <d v="2024-01-09T00:00:00"/>
    <n v="178900.6"/>
    <n v="82000.25"/>
    <n v="675"/>
    <n v="185000"/>
    <x v="2"/>
    <x v="0"/>
    <n v="0"/>
    <s v="Active"/>
    <n v="0.44324459459459459"/>
    <n v="6"/>
    <x v="0"/>
    <x v="2"/>
    <x v="2"/>
  </r>
  <r>
    <s v="Lina Park"/>
    <s v="lina_park"/>
    <x v="4"/>
    <x v="17"/>
    <s v="Seoul"/>
    <n v="35"/>
    <s v="Female"/>
    <s v="lina.park@email.kr"/>
    <s v="+82-10-4567-8901"/>
    <d v="2020-08-30T00:00:00"/>
    <d v="2024-01-10T00:00:00"/>
    <n v="38700.75"/>
    <n v="15600.8"/>
    <n v="725"/>
    <n v="82000"/>
    <x v="0"/>
    <x v="0"/>
    <n v="0"/>
    <s v="Active"/>
    <n v="0.19025365853658535"/>
    <n v="5"/>
    <x v="0"/>
    <x v="0"/>
    <x v="0"/>
  </r>
  <r>
    <s v="Ahmed Al-Mansoori"/>
    <s v="ahmed_alm"/>
    <x v="5"/>
    <x v="8"/>
    <s v="Dubai"/>
    <n v="33"/>
    <s v="Male"/>
    <s v="ahmed.almansoori@email.ae"/>
    <s v="+971-50-678-9012"/>
    <d v="2021-11-22T00:00:00"/>
    <d v="2024-01-12T00:00:00"/>
    <n v="16700.400000000001"/>
    <n v="7200.9"/>
    <n v="740"/>
    <n v="68000"/>
    <x v="1"/>
    <x v="0"/>
    <n v="0"/>
    <s v="Active"/>
    <n v="0.10589558823529412"/>
    <n v="3"/>
    <x v="0"/>
    <x v="1"/>
    <x v="1"/>
  </r>
  <r>
    <s v="Maria Costa"/>
    <s v="maria_costa"/>
    <x v="0"/>
    <x v="5"/>
    <s v="São Paulo"/>
    <n v="56"/>
    <s v="Female"/>
    <s v="maria.costa@mail.com.br"/>
    <s v="+55-11-95678-9012"/>
    <d v="2016-12-05T00:00:00"/>
    <d v="2024-01-08T00:00:00"/>
    <n v="267800.90000000002"/>
    <n v="72000.600000000006"/>
    <n v="830"/>
    <n v="280000"/>
    <x v="1"/>
    <x v="0"/>
    <n v="0"/>
    <s v="Active"/>
    <n v="0.25714500000000001"/>
    <n v="7"/>
    <x v="1"/>
    <x v="4"/>
    <x v="3"/>
  </r>
  <r>
    <s v="Chinedu Nwankwo"/>
    <s v="chinedu_n"/>
    <x v="2"/>
    <x v="6"/>
    <s v="Lagos"/>
    <n v="48"/>
    <s v="Male"/>
    <s v="chinedu.nwankwo@company.ng"/>
    <s v="+234-815-678-9012"/>
    <d v="2018-07-14T00:00:00"/>
    <d v="2024-01-09T00:00:00"/>
    <n v="156700.25"/>
    <n v="74000.399999999994"/>
    <n v="655"/>
    <n v="170000"/>
    <x v="2"/>
    <x v="0"/>
    <n v="0"/>
    <s v="Active"/>
    <n v="0.43529647058823528"/>
    <n v="6"/>
    <x v="3"/>
    <x v="2"/>
    <x v="2"/>
  </r>
  <r>
    <s v="Isabelle Moreau"/>
    <s v="isabelle_m"/>
    <x v="3"/>
    <x v="9"/>
    <s v="Montreal"/>
    <n v="37"/>
    <s v="Female"/>
    <s v="isabelle.moreau@email.ca"/>
    <s v="+1-438-555-0187"/>
    <d v="2020-12-28T00:00:00"/>
    <d v="2024-01-11T00:00:00"/>
    <n v="81200.600000000006"/>
    <n v="32500.75"/>
    <n v="760"/>
    <n v="139000"/>
    <x v="0"/>
    <x v="0"/>
    <n v="0"/>
    <s v="Active"/>
    <n v="0.23381834532374102"/>
    <n v="4"/>
    <x v="2"/>
    <x v="0"/>
    <x v="2"/>
  </r>
  <r>
    <s v="Rahman Ali"/>
    <s v="rahman_ali2"/>
    <x v="1"/>
    <x v="21"/>
    <s v="Kuala Lumpur"/>
    <n v="28"/>
    <s v="Male"/>
    <s v="rahman.ali2@mail.my"/>
    <s v="+60-13-456-7890"/>
    <d v="2023-02-14T00:00:00"/>
    <d v="2024-01-15T00:00:00"/>
    <n v="8400.25"/>
    <n v="4900.8"/>
    <n v="695"/>
    <n v="39000"/>
    <x v="0"/>
    <x v="1"/>
    <n v="0"/>
    <s v="Active"/>
    <n v="0.12566153846153846"/>
    <n v="0"/>
    <x v="0"/>
    <x v="1"/>
    <x v="1"/>
  </r>
  <r>
    <s v="Sarah Johnson"/>
    <s v="sarah_j"/>
    <x v="5"/>
    <x v="0"/>
    <s v="New York"/>
    <n v="31"/>
    <s v="Female"/>
    <s v="sarah.johnson@email.com"/>
    <s v="+1-646-555-0168"/>
    <d v="2021-09-05T00:00:00"/>
    <d v="2024-01-12T00:00:00"/>
    <n v="15600.9"/>
    <n v="6800.25"/>
    <n v="755"/>
    <n v="61000"/>
    <x v="1"/>
    <x v="0"/>
    <n v="0"/>
    <s v="Active"/>
    <n v="0.11147950819672131"/>
    <n v="3"/>
    <x v="2"/>
    <x v="1"/>
    <x v="1"/>
  </r>
  <r>
    <s v="Wei Zhang"/>
    <s v="wei_zhang"/>
    <x v="2"/>
    <x v="4"/>
    <s v="Beijing"/>
    <n v="49"/>
    <s v="Male"/>
    <s v="wei.zhang@company.cn"/>
    <s v="+86-138-7890-1234"/>
    <d v="2018-04-20T00:00:00"/>
    <d v="2024-01-09T00:00:00"/>
    <n v="189600.4"/>
    <n v="87000.75"/>
    <n v="685"/>
    <n v="195000"/>
    <x v="2"/>
    <x v="0"/>
    <n v="0"/>
    <s v="Active"/>
    <n v="0.44615769230769231"/>
    <n v="6"/>
    <x v="0"/>
    <x v="2"/>
    <x v="3"/>
  </r>
  <r>
    <s v="Anna Kowalski"/>
    <s v="anna_k2"/>
    <x v="4"/>
    <x v="37"/>
    <s v="Krakow"/>
    <n v="40"/>
    <s v="Female"/>
    <s v="anna.kowalski2@email.pl"/>
    <s v="+48-700-234-567"/>
    <d v="2020-01-15T00:00:00"/>
    <d v="2024-01-10T00:00:00"/>
    <n v="45600.800000000003"/>
    <n v="18700.599999999999"/>
    <n v="715"/>
    <n v="94000"/>
    <x v="0"/>
    <x v="0"/>
    <n v="0"/>
    <s v="Active"/>
    <n v="0.19894255319148935"/>
    <n v="5"/>
    <x v="0"/>
    <x v="0"/>
    <x v="0"/>
  </r>
  <r>
    <s v="Mohammed Rahman"/>
    <s v="m_rahman2"/>
    <x v="3"/>
    <x v="29"/>
    <s v="Dhaka"/>
    <n v="43"/>
    <s v="Male"/>
    <s v="mohammed.rahman2@email.bd"/>
    <s v="+880-1712-456789"/>
    <d v="2019-10-08T00:00:00"/>
    <d v="2024-01-11T00:00:00"/>
    <n v="73400.25"/>
    <n v="28900.400000000001"/>
    <n v="680"/>
    <n v="123000"/>
    <x v="0"/>
    <x v="0"/>
    <n v="0"/>
    <s v="Active"/>
    <n v="0.23496260162601626"/>
    <n v="4"/>
    <x v="0"/>
    <x v="0"/>
    <x v="0"/>
  </r>
  <r>
    <s v="Yumi Tanaka"/>
    <s v="yumi_tanaka"/>
    <x v="6"/>
    <x v="1"/>
    <s v="Tokyo"/>
    <n v="23"/>
    <s v="Female"/>
    <s v="yumi.tanaka@edu.jp"/>
    <s v="+81-90-6789-0123"/>
    <d v="2023-09-18T00:00:00"/>
    <d v="2024-01-13T00:00:00"/>
    <n v="1950.4"/>
    <n v="9200.75"/>
    <n v="610"/>
    <n v="19000"/>
    <x v="2"/>
    <x v="1"/>
    <n v="0"/>
    <s v="Active"/>
    <n v="0.48425000000000001"/>
    <n v="2"/>
    <x v="3"/>
    <x v="3"/>
    <x v="1"/>
  </r>
  <r>
    <s v="Carlos Mendez"/>
    <s v="carlos_m"/>
    <x v="0"/>
    <x v="13"/>
    <s v="Mexico City"/>
    <n v="55"/>
    <s v="Male"/>
    <s v="carlos.mendez@mail.mx"/>
    <s v="+52-55-3456-7890"/>
    <d v="2017-06-30T00:00:00"/>
    <d v="2024-01-08T00:00:00"/>
    <n v="287600.8"/>
    <n v="78000.25"/>
    <n v="825"/>
    <n v="275000"/>
    <x v="1"/>
    <x v="0"/>
    <n v="0"/>
    <s v="Active"/>
    <n v="0.28363727272727274"/>
    <n v="7"/>
    <x v="1"/>
    <x v="4"/>
    <x v="3"/>
  </r>
  <r>
    <s v="Aisha Mohammed"/>
    <s v="aisha_m2"/>
    <x v="5"/>
    <x v="16"/>
    <s v="Nairobi"/>
    <n v="30"/>
    <s v="Female"/>
    <s v="aisha.mohammed2@email.ke"/>
    <s v="+254-724-567-890"/>
    <d v="2022-03-12T00:00:00"/>
    <d v="2024-01-14T00:00:00"/>
    <n v="12300.75"/>
    <n v="5200.3999999999996"/>
    <n v="725"/>
    <n v="51000"/>
    <x v="1"/>
    <x v="0"/>
    <n v="0"/>
    <s v="Active"/>
    <n v="0.10196862745098038"/>
    <n v="1"/>
    <x v="0"/>
    <x v="1"/>
    <x v="1"/>
  </r>
  <r>
    <s v="David Chen"/>
    <s v="david_chen2"/>
    <x v="2"/>
    <x v="23"/>
    <s v="Singapore"/>
    <n v="47"/>
    <s v="Male"/>
    <s v="david.chen2@company.sg"/>
    <s v="+65-8345-6789"/>
    <d v="2018-10-05T00:00:00"/>
    <d v="2024-01-09T00:00:00"/>
    <n v="167800.6"/>
    <n v="78000.899999999994"/>
    <n v="675"/>
    <n v="175000"/>
    <x v="2"/>
    <x v="0"/>
    <n v="0"/>
    <s v="Active"/>
    <n v="0.44571942857142854"/>
    <n v="6"/>
    <x v="0"/>
    <x v="2"/>
    <x v="2"/>
  </r>
  <r>
    <s v="Maria Papadopoulos"/>
    <s v="maria_p2"/>
    <x v="4"/>
    <x v="38"/>
    <s v="Thessaloniki"/>
    <n v="38"/>
    <s v="Female"/>
    <s v="maria.papadopoulos2@email.gr"/>
    <s v="+30-692-345-6789"/>
    <d v="2020-11-15T00:00:00"/>
    <d v="2024-01-11T00:00:00"/>
    <n v="39800.400000000001"/>
    <n v="14500.25"/>
    <n v="705"/>
    <n v="83000"/>
    <x v="0"/>
    <x v="0"/>
    <n v="0"/>
    <s v="Active"/>
    <n v="0.17470180722891565"/>
    <n v="4"/>
    <x v="0"/>
    <x v="0"/>
    <x v="0"/>
  </r>
  <r>
    <s v="James Wilson"/>
    <s v="j_wilson2"/>
    <x v="3"/>
    <x v="26"/>
    <s v="Sydney"/>
    <n v="41"/>
    <s v="Male"/>
    <s v="james.wilson2@email.au"/>
    <s v="+61-424-567-890"/>
    <d v="2019-07-22T00:00:00"/>
    <d v="2024-01-10T00:00:00"/>
    <n v="86700.75"/>
    <n v="35600.800000000003"/>
    <n v="730"/>
    <n v="149000"/>
    <x v="0"/>
    <x v="0"/>
    <n v="0"/>
    <s v="Active"/>
    <n v="0.23893154362416108"/>
    <n v="5"/>
    <x v="0"/>
    <x v="0"/>
    <x v="2"/>
  </r>
  <r>
    <s v="Fatima Zahra"/>
    <s v="f_zahra2"/>
    <x v="1"/>
    <x v="25"/>
    <s v="Lahore"/>
    <n v="26"/>
    <s v="Female"/>
    <s v="fatima.zahra2@mail.pk"/>
    <s v="+92-322-8765432"/>
    <d v="2023-03-08T00:00:00"/>
    <d v="2024-01-15T00:00:00"/>
    <n v="7800.9"/>
    <n v="4500.75"/>
    <n v="685"/>
    <n v="36000"/>
    <x v="0"/>
    <x v="1"/>
    <n v="0"/>
    <s v="Active"/>
    <n v="0.12502083333333333"/>
    <n v="0"/>
    <x v="0"/>
    <x v="1"/>
    <x v="1"/>
  </r>
  <r>
    <s v="Kenji Yamada"/>
    <s v="kenji_y2"/>
    <x v="0"/>
    <x v="1"/>
    <s v="Tokyo"/>
    <n v="58"/>
    <s v="Male"/>
    <s v="kenji.yamada2@mail.jp"/>
    <s v="+81-80-2345-6789"/>
    <d v="2016-09-15T00:00:00"/>
    <d v="2024-01-08T00:00:00"/>
    <n v="298500.25"/>
    <n v="82000.399999999994"/>
    <n v="840"/>
    <n v="290000"/>
    <x v="1"/>
    <x v="0"/>
    <n v="0"/>
    <s v="Active"/>
    <n v="0.28275999999999996"/>
    <n v="7"/>
    <x v="1"/>
    <x v="4"/>
    <x v="3"/>
  </r>
  <r>
    <s v="Ngozi Eze"/>
    <s v="ngozi_e2"/>
    <x v="2"/>
    <x v="6"/>
    <s v="Port Harcourt"/>
    <n v="50"/>
    <s v="Female"/>
    <s v="ngozi.eze2@company.ng"/>
    <s v="+234-814-567-8901"/>
    <d v="2018-02-28T00:00:00"/>
    <d v="2024-01-09T00:00:00"/>
    <n v="178900.4"/>
    <n v="82000.75"/>
    <n v="650"/>
    <n v="185000"/>
    <x v="2"/>
    <x v="0"/>
    <n v="0"/>
    <s v="Active"/>
    <n v="0.44324729729729728"/>
    <n v="6"/>
    <x v="3"/>
    <x v="2"/>
    <x v="2"/>
  </r>
  <r>
    <s v="Thomas Schmidt"/>
    <s v="thomas_s2"/>
    <x v="3"/>
    <x v="7"/>
    <s v="Berlin"/>
    <n v="37"/>
    <s v="Male"/>
    <s v="thomas.schmidt2@email.de"/>
    <s v="+49-176-7890123"/>
    <d v="2021-06-15T00:00:00"/>
    <d v="2024-01-12T00:00:00"/>
    <n v="74500.399999999994"/>
    <n v="29800.25"/>
    <n v="745"/>
    <n v="129000"/>
    <x v="0"/>
    <x v="0"/>
    <n v="0"/>
    <s v="Active"/>
    <n v="0.23100968992248061"/>
    <n v="3"/>
    <x v="0"/>
    <x v="0"/>
    <x v="2"/>
  </r>
  <r>
    <s v="Lina Chen"/>
    <s v="lina_c2"/>
    <x v="5"/>
    <x v="4"/>
    <s v="Shanghai"/>
    <n v="32"/>
    <s v="Female"/>
    <s v="lina.chen2@mail.cn"/>
    <s v="+86-137-7890-1234"/>
    <d v="2021-12-22T00:00:00"/>
    <d v="2024-01-11T00:00:00"/>
    <n v="14500.8"/>
    <n v="6200.9"/>
    <n v="765"/>
    <n v="61000"/>
    <x v="1"/>
    <x v="0"/>
    <n v="0"/>
    <s v="Active"/>
    <n v="0.10165409836065573"/>
    <n v="4"/>
    <x v="2"/>
    <x v="1"/>
    <x v="1"/>
  </r>
  <r>
    <s v="Ahmed Hassan"/>
    <s v="ahmed_h2"/>
    <x v="4"/>
    <x v="20"/>
    <s v="Alexandria"/>
    <n v="45"/>
    <s v="Male"/>
    <s v="ahmed.hassan2@email.eg"/>
    <s v="+20-122-876-5432"/>
    <d v="2019-10-05T00:00:00"/>
    <d v="2024-01-10T00:00:00"/>
    <n v="47800.75"/>
    <n v="20900.400000000001"/>
    <n v="675"/>
    <n v="101000"/>
    <x v="0"/>
    <x v="0"/>
    <n v="0"/>
    <s v="Active"/>
    <n v="0.20693465346534654"/>
    <n v="5"/>
    <x v="0"/>
    <x v="2"/>
    <x v="0"/>
  </r>
  <r>
    <s v="Sophie Martin"/>
    <s v="sophie_m2"/>
    <x v="6"/>
    <x v="10"/>
    <s v="Lyon"/>
    <n v="24"/>
    <s v="Female"/>
    <s v="sophie.martin2@edu.fr"/>
    <s v="+33-6-4567-8901"/>
    <d v="2023-08-25T00:00:00"/>
    <d v="2024-01-13T00:00:00"/>
    <n v="2200.25"/>
    <n v="10200.6"/>
    <n v="615"/>
    <n v="21000"/>
    <x v="2"/>
    <x v="1"/>
    <n v="0"/>
    <s v="Active"/>
    <n v="0.48574285714285714"/>
    <n v="2"/>
    <x v="3"/>
    <x v="3"/>
    <x v="1"/>
  </r>
  <r>
    <s v="Raj Kumar"/>
    <s v="raj_kumar2"/>
    <x v="2"/>
    <x v="2"/>
    <s v="Mumbai"/>
    <n v="52"/>
    <s v="Male"/>
    <s v="raj.kumar2@company.in"/>
    <s v="+91-876-543-2109"/>
    <d v="2017-12-18T00:00:00"/>
    <d v="2024-01-08T00:00:00"/>
    <n v="213500.79999999999"/>
    <n v="95000.25"/>
    <n v="660"/>
    <n v="220000"/>
    <x v="2"/>
    <x v="0"/>
    <n v="0"/>
    <s v="Active"/>
    <n v="0.43181931818181818"/>
    <n v="7"/>
    <x v="3"/>
    <x v="2"/>
    <x v="3"/>
  </r>
  <r>
    <s v="Maria Gonzalez"/>
    <s v="maria_g3"/>
    <x v="3"/>
    <x v="13"/>
    <s v="Guadalajara"/>
    <n v="39"/>
    <s v="Female"/>
    <s v="maria.gonzalez3@email.mx"/>
    <s v="+52-33-2345-6789"/>
    <d v="2020-05-08T00:00:00"/>
    <d v="2024-01-11T00:00:00"/>
    <n v="68900.899999999994"/>
    <n v="26700.75"/>
    <n v="730"/>
    <n v="124000"/>
    <x v="0"/>
    <x v="0"/>
    <n v="0"/>
    <s v="Active"/>
    <n v="0.21532862903225805"/>
    <n v="4"/>
    <x v="0"/>
    <x v="0"/>
    <x v="0"/>
  </r>
  <r>
    <s v="Yuki Kobayashi"/>
    <s v="yuki_k2"/>
    <x v="1"/>
    <x v="1"/>
    <s v="Osaka"/>
    <n v="28"/>
    <s v="Female"/>
    <s v="yuki.kobayashi2@mail.jp"/>
    <s v="+81-90-3456-7890"/>
    <d v="2023-04-15T00:00:00"/>
    <d v="2024-01-14T00:00:00"/>
    <n v="9200.4"/>
    <n v="5400.25"/>
    <n v="705"/>
    <n v="38000"/>
    <x v="0"/>
    <x v="1"/>
    <n v="0"/>
    <s v="Active"/>
    <n v="0.14211184210526315"/>
    <n v="1"/>
    <x v="0"/>
    <x v="1"/>
    <x v="1"/>
  </r>
  <r>
    <s v="Kwame Asante"/>
    <s v="kwame_a2"/>
    <x v="5"/>
    <x v="15"/>
    <s v="Accra"/>
    <n v="33"/>
    <s v="Male"/>
    <s v="kwame.asante2@email.gh"/>
    <s v="+233-55-678-9012"/>
    <d v="2021-11-12T00:00:00"/>
    <d v="2024-01-12T00:00:00"/>
    <n v="13400.6"/>
    <n v="5800.8"/>
    <n v="710"/>
    <n v="54000"/>
    <x v="1"/>
    <x v="0"/>
    <n v="0"/>
    <s v="Active"/>
    <n v="0.10742222222222222"/>
    <n v="3"/>
    <x v="0"/>
    <x v="1"/>
    <x v="1"/>
  </r>
  <r>
    <s v="Anna Petrova"/>
    <s v="anna_p2"/>
    <x v="4"/>
    <x v="12"/>
    <s v="St. Petersburg"/>
    <n v="40"/>
    <s v="Female"/>
    <s v="anna.petrova2@email.ru"/>
    <s v="+7-921-876-54-32"/>
    <d v="2019-12-28T00:00:00"/>
    <d v="2024-01-10T00:00:00"/>
    <n v="44500.25"/>
    <n v="17800.900000000001"/>
    <n v="695"/>
    <n v="89000"/>
    <x v="0"/>
    <x v="0"/>
    <n v="0"/>
    <s v="Active"/>
    <n v="0.20001011235955057"/>
    <n v="5"/>
    <x v="0"/>
    <x v="0"/>
    <x v="0"/>
  </r>
  <r>
    <s v="Liam O'Brien"/>
    <s v="liam_obrien2"/>
    <x v="2"/>
    <x v="11"/>
    <s v="Cork"/>
    <n v="48"/>
    <s v="Male"/>
    <s v="liam.obrien2@company.ie"/>
    <s v="+353-87-567-8901"/>
    <d v="2018-06-05T00:00:00"/>
    <d v="2024-01-09T00:00:00"/>
    <n v="145700.4"/>
    <n v="69000.600000000006"/>
    <n v="670"/>
    <n v="156000"/>
    <x v="2"/>
    <x v="0"/>
    <n v="0"/>
    <s v="Active"/>
    <n v="0.44231153846153848"/>
    <n v="6"/>
    <x v="0"/>
    <x v="2"/>
    <x v="2"/>
  </r>
  <r>
    <s v="Ying Wang"/>
    <s v="ying_w2"/>
    <x v="0"/>
    <x v="4"/>
    <s v="Beijing"/>
    <n v="56"/>
    <s v="Female"/>
    <s v="ying.wang2@mail.cn"/>
    <s v="+86-139-4567-8901"/>
    <d v="2017-03-22T00:00:00"/>
    <d v="2024-01-08T00:00:00"/>
    <n v="312600.75"/>
    <n v="86000.8"/>
    <n v="835"/>
    <n v="301000"/>
    <x v="1"/>
    <x v="0"/>
    <n v="0"/>
    <s v="Active"/>
    <n v="0.28571694352159471"/>
    <n v="7"/>
    <x v="1"/>
    <x v="4"/>
    <x v="3"/>
  </r>
  <r>
    <s v="Adeola Yusuf"/>
    <s v="adeola_y2"/>
    <x v="4"/>
    <x v="6"/>
    <s v="Lagos"/>
    <n v="43"/>
    <s v="Female"/>
    <s v="adeola.yusuf2@email.ng"/>
    <s v="+234-815-678-9012"/>
    <d v="2019-11-15T00:00:00"/>
    <d v="2024-01-11T00:00:00"/>
    <n v="53400.6"/>
    <n v="23400.25"/>
    <n v="665"/>
    <n v="109000"/>
    <x v="0"/>
    <x v="0"/>
    <n v="0"/>
    <s v="Active"/>
    <n v="0.21468119266055047"/>
    <n v="4"/>
    <x v="3"/>
    <x v="0"/>
    <x v="0"/>
  </r>
  <r>
    <s v="Marco Bianchi"/>
    <s v="marco_b2"/>
    <x v="3"/>
    <x v="18"/>
    <s v="Milan"/>
    <n v="35"/>
    <s v="Male"/>
    <s v="marco.bianchi2@email.it"/>
    <s v="+39-349-345-6789"/>
    <d v="2021-08-22T00:00:00"/>
    <d v="2024-01-12T00:00:00"/>
    <n v="76700.800000000003"/>
    <n v="30900.400000000001"/>
    <n v="750"/>
    <n v="135000"/>
    <x v="0"/>
    <x v="0"/>
    <n v="0"/>
    <s v="Active"/>
    <n v="0.22889185185185187"/>
    <n v="3"/>
    <x v="2"/>
    <x v="0"/>
    <x v="2"/>
  </r>
  <r>
    <s v="Jennifer Kim"/>
    <s v="jennifer_k2"/>
    <x v="5"/>
    <x v="0"/>
    <s v="San Diego"/>
    <n v="31"/>
    <s v="Female"/>
    <s v="jennifer.kim2@email.com"/>
    <s v="+1-619-555-0196"/>
    <d v="2022-02-14T00:00:00"/>
    <d v="2024-01-14T00:00:00"/>
    <n v="15600.9"/>
    <n v="6800.75"/>
    <n v="770"/>
    <n v="66000"/>
    <x v="1"/>
    <x v="0"/>
    <n v="0"/>
    <s v="Active"/>
    <n v="0.10304166666666667"/>
    <n v="1"/>
    <x v="2"/>
    <x v="1"/>
    <x v="1"/>
  </r>
  <r>
    <s v="Rahman Hussain"/>
    <s v="rahman_h2"/>
    <x v="2"/>
    <x v="25"/>
    <s v="Islamabad"/>
    <n v="54"/>
    <s v="Male"/>
    <s v="rahman.hussain2@company.pk"/>
    <s v="+92-301-8765432"/>
    <d v="2017-09-08T00:00:00"/>
    <d v="2024-01-08T00:00:00"/>
    <n v="198800.25"/>
    <n v="90000.8"/>
    <n v="645"/>
    <n v="206000"/>
    <x v="2"/>
    <x v="0"/>
    <n v="0"/>
    <s v="Active"/>
    <n v="0.4368970873786408"/>
    <n v="7"/>
    <x v="3"/>
    <x v="2"/>
    <x v="3"/>
  </r>
  <r>
    <s v="Sofia Martinez"/>
    <s v="sofia_m2"/>
    <x v="1"/>
    <x v="14"/>
    <s v="Barcelona"/>
    <n v="27"/>
    <s v="Female"/>
    <s v="sofia.martinez2@mail.es"/>
    <s v="+34-624-567-890"/>
    <d v="2023-05-12T00:00:00"/>
    <d v="2024-01-15T00:00:00"/>
    <n v="11200.5"/>
    <n v="6200.4"/>
    <n v="720"/>
    <n v="43000"/>
    <x v="1"/>
    <x v="0"/>
    <n v="0"/>
    <s v="Active"/>
    <n v="0.1441953488372093"/>
    <n v="0"/>
    <x v="0"/>
    <x v="1"/>
    <x v="1"/>
  </r>
  <r>
    <s v="Kenji Sato"/>
    <s v="kenji_sato3"/>
    <x v="6"/>
    <x v="1"/>
    <s v="Kyoto"/>
    <n v="23"/>
    <s v="Male"/>
    <s v="kenji.sato3@edu.jp"/>
    <s v="+81-90-6789-0123"/>
    <d v="2023-10-22T00:00:00"/>
    <d v="2024-01-13T00:00:00"/>
    <n v="1950.8"/>
    <n v="8800.25"/>
    <n v="605"/>
    <n v="19000"/>
    <x v="2"/>
    <x v="1"/>
    <n v="0"/>
    <s v="Active"/>
    <n v="0.46317105263157893"/>
    <n v="2"/>
    <x v="3"/>
    <x v="3"/>
    <x v="1"/>
  </r>
  <r>
    <s v="Fatoumata Bello"/>
    <s v="fatou_b2"/>
    <x v="3"/>
    <x v="19"/>
    <s v="Dakar"/>
    <n v="37"/>
    <s v="Female"/>
    <s v="fatoumata.bello2@email.sn"/>
    <s v="+221-79-345-6789"/>
    <d v="2021-04-05T00:00:00"/>
    <d v="2024-01-11T00:00:00"/>
    <n v="63400.4"/>
    <n v="25600.75"/>
    <n v="710"/>
    <n v="117000"/>
    <x v="0"/>
    <x v="0"/>
    <n v="0"/>
    <s v="Active"/>
    <n v="0.21880982905982907"/>
    <n v="4"/>
    <x v="0"/>
    <x v="0"/>
    <x v="0"/>
  </r>
  <r>
    <s v="David Wilson"/>
    <s v="david_w2"/>
    <x v="2"/>
    <x v="3"/>
    <s v="Manchester"/>
    <n v="51"/>
    <s v="Male"/>
    <s v="david.wilson2@company.co.uk"/>
    <s v="+44-78-6789-0123"/>
    <d v="2018-03-12T00:00:00"/>
    <d v="2024-01-09T00:00:00"/>
    <n v="179000.6"/>
    <n v="83000.25"/>
    <n v="675"/>
    <n v="186000"/>
    <x v="2"/>
    <x v="0"/>
    <n v="0"/>
    <s v="Active"/>
    <n v="0.44623790322580648"/>
    <n v="6"/>
    <x v="0"/>
    <x v="2"/>
    <x v="2"/>
  </r>
  <r>
    <s v="Lina Park"/>
    <s v="lina_park2"/>
    <x v="4"/>
    <x v="17"/>
    <s v="Busan"/>
    <n v="36"/>
    <s v="Female"/>
    <s v="lina.park2@email.kr"/>
    <s v="+82-10-5678-9012"/>
    <d v="2020-09-08T00:00:00"/>
    <d v="2024-01-10T00:00:00"/>
    <n v="39800.75"/>
    <n v="16700.8"/>
    <n v="725"/>
    <n v="83000"/>
    <x v="0"/>
    <x v="0"/>
    <n v="0"/>
    <s v="Active"/>
    <n v="0.2012144578313253"/>
    <n v="5"/>
    <x v="0"/>
    <x v="0"/>
    <x v="0"/>
  </r>
  <r>
    <s v="Ahmed Al-Mansoori"/>
    <s v="ahmed_alm2"/>
    <x v="5"/>
    <x v="8"/>
    <s v="Abu Dhabi"/>
    <n v="34"/>
    <s v="Male"/>
    <s v="ahmed.almansoori2@email.ae"/>
    <s v="+971-50-789-0123"/>
    <d v="2021-12-05T00:00:00"/>
    <d v="2024-01-12T00:00:00"/>
    <n v="17800.400000000001"/>
    <n v="7600.9"/>
    <n v="740"/>
    <n v="69000"/>
    <x v="1"/>
    <x v="0"/>
    <n v="0"/>
    <s v="Active"/>
    <n v="0.11015797101449275"/>
    <n v="3"/>
    <x v="0"/>
    <x v="1"/>
    <x v="1"/>
  </r>
  <r>
    <s v="Maria Costa"/>
    <s v="maria_costa2"/>
    <x v="0"/>
    <x v="5"/>
    <s v="Rio de Janeiro"/>
    <n v="57"/>
    <s v="Female"/>
    <s v="maria.costa2@mail.com.br"/>
    <s v="+55-21-96789-0123"/>
    <d v="2016-11-18T00:00:00"/>
    <d v="2024-01-08T00:00:00"/>
    <n v="267900.90000000002"/>
    <n v="73000.600000000006"/>
    <n v="830"/>
    <n v="281000"/>
    <x v="1"/>
    <x v="0"/>
    <n v="0"/>
    <s v="Active"/>
    <n v="0.25978861209964416"/>
    <n v="7"/>
    <x v="1"/>
    <x v="4"/>
    <x v="3"/>
  </r>
  <r>
    <s v="Chinedu Nwankwo"/>
    <s v="chinedu_n2"/>
    <x v="2"/>
    <x v="6"/>
    <s v="Abuja"/>
    <n v="49"/>
    <s v="Male"/>
    <s v="chinedu.nwankwo2@company.ng"/>
    <s v="+234-816-789-0123"/>
    <d v="2018-08-22T00:00:00"/>
    <d v="2024-01-09T00:00:00"/>
    <n v="156800.25"/>
    <n v="75000.399999999994"/>
    <n v="655"/>
    <n v="171000"/>
    <x v="2"/>
    <x v="0"/>
    <n v="0"/>
    <s v="Active"/>
    <n v="0.43859883040935671"/>
    <n v="6"/>
    <x v="3"/>
    <x v="2"/>
    <x v="2"/>
  </r>
  <r>
    <s v="Isabelle Moreau"/>
    <s v="isabelle_m2"/>
    <x v="3"/>
    <x v="9"/>
    <s v="Vancouver"/>
    <n v="38"/>
    <s v="Female"/>
    <s v="isabelle.moreau2@email.ca"/>
    <s v="+1-604-555-0191"/>
    <d v="2021-01-15T00:00:00"/>
    <d v="2024-01-11T00:00:00"/>
    <n v="82300.600000000006"/>
    <n v="33600.75"/>
    <n v="760"/>
    <n v="140000"/>
    <x v="0"/>
    <x v="0"/>
    <n v="0"/>
    <s v="Active"/>
    <n v="0.24000535714285715"/>
    <n v="4"/>
    <x v="2"/>
    <x v="0"/>
    <x v="2"/>
  </r>
  <r>
    <s v="Rahman Ali"/>
    <s v="rahman_ali3"/>
    <x v="1"/>
    <x v="36"/>
    <s v="Surabaya"/>
    <n v="29"/>
    <s v="Male"/>
    <s v="rahman.ali3@mail.id"/>
    <s v="+62-813-4567-8901"/>
    <d v="2023-03-22T00:00:00"/>
    <d v="2024-01-15T00:00:00"/>
    <n v="8900.25"/>
    <n v="5200.8"/>
    <n v="695"/>
    <n v="40000"/>
    <x v="0"/>
    <x v="1"/>
    <n v="0"/>
    <s v="Active"/>
    <n v="0.13002"/>
    <n v="0"/>
    <x v="0"/>
    <x v="1"/>
    <x v="1"/>
  </r>
  <r>
    <s v="Sarah Johnson"/>
    <s v="sarah_j2"/>
    <x v="5"/>
    <x v="0"/>
    <s v="Chicago"/>
    <n v="32"/>
    <s v="Female"/>
    <s v="sarah.johnson2@email.com"/>
    <s v="+1-773-555-0174"/>
    <d v="2021-10-12T00:00:00"/>
    <d v="2024-01-12T00:00:00"/>
    <n v="16700.900000000001"/>
    <n v="7200.25"/>
    <n v="755"/>
    <n v="62000"/>
    <x v="1"/>
    <x v="0"/>
    <n v="0"/>
    <s v="Active"/>
    <n v="0.11613306451612904"/>
    <n v="3"/>
    <x v="2"/>
    <x v="1"/>
    <x v="1"/>
  </r>
  <r>
    <s v="Wei Zhang"/>
    <s v="wei_zhang2"/>
    <x v="2"/>
    <x v="4"/>
    <s v="Shanghai"/>
    <n v="50"/>
    <s v="Male"/>
    <s v="wei.zhang2@company.cn"/>
    <s v="+86-138-8901-2345"/>
    <d v="2018-05-08T00:00:00"/>
    <d v="2024-01-09T00:00:00"/>
    <n v="189700.4"/>
    <n v="88000.75"/>
    <n v="685"/>
    <n v="196000"/>
    <x v="2"/>
    <x v="0"/>
    <n v="0"/>
    <s v="Active"/>
    <n v="0.44898341836734695"/>
    <n v="6"/>
    <x v="0"/>
    <x v="2"/>
    <x v="3"/>
  </r>
  <r>
    <s v="Anna Kowalski"/>
    <s v="anna_k3"/>
    <x v="4"/>
    <x v="37"/>
    <s v="Warsaw"/>
    <n v="41"/>
    <s v="Female"/>
    <s v="anna.kowalski3@email.pl"/>
    <s v="+48-701-345-678"/>
    <d v="2020-02-20T00:00:00"/>
    <d v="2024-01-10T00:00:00"/>
    <n v="46700.800000000003"/>
    <n v="19800.599999999999"/>
    <n v="715"/>
    <n v="95000"/>
    <x v="0"/>
    <x v="0"/>
    <n v="0"/>
    <s v="Active"/>
    <n v="0.20842736842105261"/>
    <n v="5"/>
    <x v="0"/>
    <x v="0"/>
    <x v="0"/>
  </r>
  <r>
    <s v="Mohammed Rahman"/>
    <s v="m_rahman3"/>
    <x v="3"/>
    <x v="29"/>
    <s v="Chittagong"/>
    <n v="44"/>
    <s v="Male"/>
    <s v="mohammed.rahman3@email.bd"/>
    <s v="+880-1812-567890"/>
    <d v="2019-11-12T00:00:00"/>
    <d v="2024-01-11T00:00:00"/>
    <n v="74500.25"/>
    <n v="29800.400000000001"/>
    <n v="680"/>
    <n v="124000"/>
    <x v="0"/>
    <x v="0"/>
    <n v="0"/>
    <s v="Active"/>
    <n v="0.24032580645161292"/>
    <n v="4"/>
    <x v="0"/>
    <x v="0"/>
    <x v="0"/>
  </r>
  <r>
    <s v="Yumi Tanaka"/>
    <s v="yumi_tanaka2"/>
    <x v="6"/>
    <x v="1"/>
    <s v="Osaka"/>
    <n v="24"/>
    <s v="Female"/>
    <s v="yumi.tanaka2@edu.jp"/>
    <s v="+81-90-7890-1234"/>
    <d v="2023-09-28T00:00:00"/>
    <d v="2024-01-13T00:00:00"/>
    <n v="2050.4"/>
    <n v="9400.75"/>
    <n v="610"/>
    <n v="20000"/>
    <x v="2"/>
    <x v="1"/>
    <n v="0"/>
    <s v="Active"/>
    <n v="0.4700375"/>
    <n v="2"/>
    <x v="3"/>
    <x v="3"/>
    <x v="1"/>
  </r>
  <r>
    <s v="Carlos Mendez"/>
    <s v="carlos_m2"/>
    <x v="0"/>
    <x v="13"/>
    <s v="Mexico City"/>
    <n v="56"/>
    <s v="Male"/>
    <s v="carlos.mendez2@mail.mx"/>
    <s v="+52-55-4567-8901"/>
    <d v="2017-07-25T00:00:00"/>
    <d v="2024-01-08T00:00:00"/>
    <n v="287700.8"/>
    <n v="79000.25"/>
    <n v="825"/>
    <n v="276000"/>
    <x v="1"/>
    <x v="0"/>
    <n v="0"/>
    <s v="Active"/>
    <n v="0.28623278985507244"/>
    <n v="7"/>
    <x v="1"/>
    <x v="4"/>
    <x v="3"/>
  </r>
  <r>
    <s v="Aisha Mohammed"/>
    <s v="aisha_m3"/>
    <x v="5"/>
    <x v="16"/>
    <s v="Mombasa"/>
    <n v="31"/>
    <s v="Female"/>
    <s v="aisha.mohammed3@email.ke"/>
    <s v="+254-725-678-901"/>
    <d v="2022-04-18T00:00:00"/>
    <d v="2024-01-14T00:00:00"/>
    <n v="13400.75"/>
    <n v="5600.4"/>
    <n v="725"/>
    <n v="52000"/>
    <x v="1"/>
    <x v="0"/>
    <n v="0"/>
    <s v="Active"/>
    <n v="0.10769999999999999"/>
    <n v="1"/>
    <x v="0"/>
    <x v="1"/>
    <x v="1"/>
  </r>
  <r>
    <s v="David Chen"/>
    <s v="david_chen3"/>
    <x v="2"/>
    <x v="23"/>
    <s v="Singapore"/>
    <n v="48"/>
    <s v="Male"/>
    <s v="david.chen3@company.sg"/>
    <s v="+65-8456-7890"/>
    <d v="2018-11-12T00:00:00"/>
    <d v="2024-01-09T00:00:00"/>
    <n v="167900.6"/>
    <n v="79000.899999999994"/>
    <n v="675"/>
    <n v="176000"/>
    <x v="2"/>
    <x v="0"/>
    <n v="0"/>
    <s v="Active"/>
    <n v="0.44886874999999998"/>
    <n v="6"/>
    <x v="0"/>
    <x v="2"/>
    <x v="2"/>
  </r>
  <r>
    <s v="Maria Papadopoulos"/>
    <s v="maria_p3"/>
    <x v="4"/>
    <x v="38"/>
    <s v="Athens"/>
    <n v="39"/>
    <s v="Female"/>
    <s v="maria.papadopoulos3@email.gr"/>
    <s v="+30-693-456-7890"/>
    <d v="2020-12-22T00:00:00"/>
    <d v="2024-01-11T00:00:00"/>
    <n v="40900.400000000001"/>
    <n v="15600.25"/>
    <n v="705"/>
    <n v="84000"/>
    <x v="0"/>
    <x v="0"/>
    <n v="0"/>
    <s v="Active"/>
    <n v="0.1857172619047619"/>
    <n v="4"/>
    <x v="0"/>
    <x v="0"/>
    <x v="0"/>
  </r>
  <r>
    <s v="James Wilson"/>
    <s v="j_wilson3"/>
    <x v="3"/>
    <x v="26"/>
    <s v="Melbourne"/>
    <n v="42"/>
    <s v="Male"/>
    <s v="james.wilson3@email.au"/>
    <s v="+61-425-678-901"/>
    <d v="2019-08-05T00:00:00"/>
    <d v="2024-01-10T00:00:00"/>
    <n v="87800.75"/>
    <n v="36700.800000000003"/>
    <n v="730"/>
    <n v="150000"/>
    <x v="0"/>
    <x v="0"/>
    <n v="0"/>
    <s v="Active"/>
    <n v="0.24467200000000003"/>
    <n v="5"/>
    <x v="0"/>
    <x v="0"/>
    <x v="2"/>
  </r>
  <r>
    <s v="Fatima Zahra"/>
    <s v="f_zahra3"/>
    <x v="1"/>
    <x v="25"/>
    <s v="Karachi"/>
    <n v="27"/>
    <s v="Female"/>
    <s v="fatima.zahra3@mail.pk"/>
    <s v="+92-323-7654321"/>
    <d v="2023-04-12T00:00:00"/>
    <d v="2024-01-15T00:00:00"/>
    <n v="8200.9"/>
    <n v="4800.75"/>
    <n v="685"/>
    <n v="37000"/>
    <x v="0"/>
    <x v="1"/>
    <n v="0"/>
    <s v="Active"/>
    <n v="0.12975"/>
    <n v="0"/>
    <x v="0"/>
    <x v="1"/>
    <x v="1"/>
  </r>
  <r>
    <s v="Kenji Yamada"/>
    <s v="kenji_y3"/>
    <x v="0"/>
    <x v="1"/>
    <s v="Tokyo"/>
    <n v="59"/>
    <s v="Male"/>
    <s v="kenji.yamada3@mail.jp"/>
    <s v="+81-80-3456-7890"/>
    <d v="2016-10-08T00:00:00"/>
    <d v="2024-01-08T00:00:00"/>
    <n v="298600.25"/>
    <n v="83000.399999999994"/>
    <n v="840"/>
    <n v="291000"/>
    <x v="1"/>
    <x v="0"/>
    <n v="0"/>
    <s v="Active"/>
    <n v="0.28522474226804123"/>
    <n v="7"/>
    <x v="1"/>
    <x v="4"/>
    <x v="3"/>
  </r>
  <r>
    <s v="Ngozi Eze"/>
    <s v="ngozi_e3"/>
    <x v="2"/>
    <x v="6"/>
    <s v="Lagos"/>
    <n v="51"/>
    <s v="Female"/>
    <s v="ngozi.eze3@company.ng"/>
    <s v="+234-815-678-9012"/>
    <d v="2018-03-22T00:00:00"/>
    <d v="2024-01-09T00:00:00"/>
    <n v="179000.4"/>
    <n v="83000.75"/>
    <n v="650"/>
    <n v="186000"/>
    <x v="2"/>
    <x v="0"/>
    <n v="0"/>
    <s v="Active"/>
    <n v="0.44624059139784944"/>
    <n v="6"/>
    <x v="3"/>
    <x v="2"/>
    <x v="2"/>
  </r>
  <r>
    <s v="Thomas Schmidt"/>
    <s v="thomas_s3"/>
    <x v="3"/>
    <x v="7"/>
    <s v="Hamburg"/>
    <n v="38"/>
    <s v="Male"/>
    <s v="thomas.schmidt3@email.de"/>
    <s v="+49-177-8901234"/>
    <d v="2021-07-08T00:00:00"/>
    <d v="2024-01-12T00:00:00"/>
    <n v="75600.399999999994"/>
    <n v="30900.25"/>
    <n v="745"/>
    <n v="130000"/>
    <x v="0"/>
    <x v="0"/>
    <n v="0"/>
    <s v="Active"/>
    <n v="0.23769423076923077"/>
    <n v="3"/>
    <x v="0"/>
    <x v="0"/>
    <x v="2"/>
  </r>
  <r>
    <s v="Lina Chen"/>
    <s v="lina_c3"/>
    <x v="5"/>
    <x v="4"/>
    <s v="Beijing"/>
    <n v="33"/>
    <s v="Female"/>
    <s v="lina.chen3@mail.cn"/>
    <s v="+86-137-8901-2345"/>
    <d v="2022-01-18T00:00:00"/>
    <d v="2024-01-11T00:00:00"/>
    <n v="15600.8"/>
    <n v="6800.9"/>
    <n v="765"/>
    <n v="62000"/>
    <x v="1"/>
    <x v="0"/>
    <n v="0"/>
    <s v="Active"/>
    <n v="0.10969193548387096"/>
    <n v="4"/>
    <x v="2"/>
    <x v="1"/>
    <x v="1"/>
  </r>
  <r>
    <s v="Ahmed Hassan"/>
    <s v="ahmed_h3"/>
    <x v="4"/>
    <x v="20"/>
    <s v="Cairo"/>
    <n v="46"/>
    <s v="Male"/>
    <s v="ahmed.hassan3@email.eg"/>
    <s v="+20-100-876-5432"/>
    <d v="2019-11-12T00:00:00"/>
    <d v="2024-01-10T00:00:00"/>
    <n v="48900.75"/>
    <n v="22000.400000000001"/>
    <n v="675"/>
    <n v="102000"/>
    <x v="0"/>
    <x v="0"/>
    <n v="0"/>
    <s v="Active"/>
    <n v="0.21569019607843137"/>
    <n v="5"/>
    <x v="0"/>
    <x v="2"/>
    <x v="0"/>
  </r>
  <r>
    <s v="Sophie Martin"/>
    <s v="sophie_m3"/>
    <x v="6"/>
    <x v="10"/>
    <s v="Paris"/>
    <n v="25"/>
    <s v="Female"/>
    <s v="sophie.martin3@edu.fr"/>
    <s v="+33-6-5678-9012"/>
    <d v="2023-09-05T00:00:00"/>
    <d v="2024-01-13T00:00:00"/>
    <n v="2300.25"/>
    <n v="10500.6"/>
    <n v="615"/>
    <n v="22000"/>
    <x v="2"/>
    <x v="1"/>
    <n v="0"/>
    <s v="Active"/>
    <n v="0.4773"/>
    <n v="2"/>
    <x v="3"/>
    <x v="1"/>
    <x v="1"/>
  </r>
  <r>
    <s v="Raj Kumar"/>
    <s v="raj_kumar3"/>
    <x v="2"/>
    <x v="2"/>
    <s v="Delhi"/>
    <n v="53"/>
    <s v="Male"/>
    <s v="raj.kumar3@company.in"/>
    <s v="+91-987-654-3210"/>
    <d v="2018-01-28T00:00:00"/>
    <d v="2024-01-08T00:00:00"/>
    <n v="213600.8"/>
    <n v="96000.25"/>
    <n v="660"/>
    <n v="221000"/>
    <x v="2"/>
    <x v="0"/>
    <n v="0"/>
    <s v="Active"/>
    <n v="0.43439027149321269"/>
    <n v="7"/>
    <x v="3"/>
    <x v="2"/>
    <x v="3"/>
  </r>
  <r>
    <s v="Maria Gonzalez"/>
    <s v="maria_g4"/>
    <x v="3"/>
    <x v="13"/>
    <s v="Monterrey"/>
    <n v="40"/>
    <s v="Female"/>
    <s v="maria.gonzalez4@email.mx"/>
    <s v="+52-81-2345-6789"/>
    <d v="2020-06-12T00:00:00"/>
    <d v="2024-01-11T00:00:00"/>
    <n v="70000.899999999994"/>
    <n v="27800.75"/>
    <n v="730"/>
    <n v="125000"/>
    <x v="0"/>
    <x v="0"/>
    <n v="0"/>
    <s v="Active"/>
    <n v="0.22240599999999999"/>
    <n v="4"/>
    <x v="0"/>
    <x v="0"/>
    <x v="0"/>
  </r>
  <r>
    <s v="Yuki Kobayashi"/>
    <s v="yuki_k3"/>
    <x v="1"/>
    <x v="1"/>
    <s v="Tokyo"/>
    <n v="29"/>
    <s v="Female"/>
    <s v="yuki.kobayashi3@mail.jp"/>
    <s v="+81-90-4567-8901"/>
    <d v="2023-05-18T00:00:00"/>
    <d v="2024-01-14T00:00:00"/>
    <n v="9500.4"/>
    <n v="5600.25"/>
    <n v="705"/>
    <n v="39000"/>
    <x v="0"/>
    <x v="1"/>
    <n v="0"/>
    <s v="Active"/>
    <n v="0.14359615384615385"/>
    <n v="1"/>
    <x v="0"/>
    <x v="1"/>
    <x v="1"/>
  </r>
  <r>
    <s v="Kwame Asante"/>
    <s v="kwame_a3"/>
    <x v="5"/>
    <x v="15"/>
    <s v="Accra"/>
    <n v="34"/>
    <s v="Male"/>
    <s v="kwame.asante3@email.gh"/>
    <s v="+233-56-789-0123"/>
    <d v="2021-12-08T00:00:00"/>
    <d v="2024-01-12T00:00:00"/>
    <n v="14500.6"/>
    <n v="6200.8"/>
    <n v="710"/>
    <n v="55000"/>
    <x v="1"/>
    <x v="0"/>
    <n v="0"/>
    <s v="Active"/>
    <n v="0.11274181818181818"/>
    <n v="3"/>
    <x v="0"/>
    <x v="1"/>
    <x v="1"/>
  </r>
  <r>
    <s v="Anna Petrova"/>
    <s v="anna_p3"/>
    <x v="4"/>
    <x v="12"/>
    <s v="Moscow"/>
    <n v="41"/>
    <s v="Female"/>
    <s v="anna.petrova3@email.ru"/>
    <s v="+7-915-765-43-21"/>
    <d v="2020-01-05T00:00:00"/>
    <d v="2024-01-10T00:00:00"/>
    <n v="45800.25"/>
    <n v="18900.900000000001"/>
    <n v="695"/>
    <n v="90000"/>
    <x v="0"/>
    <x v="0"/>
    <n v="0"/>
    <s v="Active"/>
    <n v="0.21001000000000003"/>
    <n v="5"/>
    <x v="0"/>
    <x v="0"/>
    <x v="0"/>
  </r>
  <r>
    <s v="Liam O'Brien"/>
    <s v="liam_obrien3"/>
    <x v="2"/>
    <x v="11"/>
    <s v="Dublin"/>
    <n v="49"/>
    <s v="Male"/>
    <s v="liam.obrien3@company.ie"/>
    <s v="+353-88-678-9012"/>
    <d v="2018-07-18T00:00:00"/>
    <d v="2024-01-09T00:00:00"/>
    <n v="145800.4"/>
    <n v="70000.600000000006"/>
    <n v="670"/>
    <n v="157000"/>
    <x v="2"/>
    <x v="0"/>
    <n v="0"/>
    <s v="Active"/>
    <n v="0.44586369426751599"/>
    <n v="6"/>
    <x v="0"/>
    <x v="2"/>
    <x v="2"/>
  </r>
  <r>
    <s v="Ying Wang"/>
    <s v="ying_w3"/>
    <x v="0"/>
    <x v="4"/>
    <s v="Shanghai"/>
    <n v="57"/>
    <s v="Female"/>
    <s v="ying.wang3@mail.cn"/>
    <s v="+86-139-5678-9012"/>
    <d v="2017-04-30T00:00:00"/>
    <d v="2024-01-08T00:00:00"/>
    <n v="312700.75"/>
    <n v="87000.8"/>
    <n v="835"/>
    <n v="302000"/>
    <x v="1"/>
    <x v="0"/>
    <n v="0"/>
    <s v="Active"/>
    <n v="0.28808211920529803"/>
    <n v="7"/>
    <x v="1"/>
    <x v="4"/>
    <x v="3"/>
  </r>
  <r>
    <s v="Adeola Yusuf"/>
    <s v="adeola_y3"/>
    <x v="4"/>
    <x v="6"/>
    <s v="Port Harcourt"/>
    <n v="44"/>
    <s v="Female"/>
    <s v="adeola.yusuf3@email.ng"/>
    <s v="+234-816-789-0123"/>
    <d v="2019-12-22T00:00:00"/>
    <d v="2024-01-11T00:00:00"/>
    <n v="54500.6"/>
    <n v="24500.25"/>
    <n v="665"/>
    <n v="110000"/>
    <x v="0"/>
    <x v="0"/>
    <n v="0"/>
    <s v="Active"/>
    <n v="0.22272954545454546"/>
    <n v="4"/>
    <x v="3"/>
    <x v="0"/>
    <x v="0"/>
  </r>
  <r>
    <s v="Marco Bianchi"/>
    <s v="marco_b3"/>
    <x v="3"/>
    <x v="18"/>
    <s v="Rome"/>
    <n v="36"/>
    <s v="Male"/>
    <s v="marco.bianchi3@email.it"/>
    <s v="+39-350-456-7890"/>
    <d v="2021-09-28T00:00:00"/>
    <d v="2024-01-12T00:00:00"/>
    <n v="77800.800000000003"/>
    <n v="32000.400000000001"/>
    <n v="750"/>
    <n v="136000"/>
    <x v="0"/>
    <x v="0"/>
    <n v="0"/>
    <s v="Active"/>
    <n v="0.23529705882352941"/>
    <n v="3"/>
    <x v="2"/>
    <x v="0"/>
    <x v="2"/>
  </r>
  <r>
    <s v="Jennifer Kim"/>
    <s v="jennifer_k3"/>
    <x v="5"/>
    <x v="0"/>
    <s v="Seattle"/>
    <n v="32"/>
    <s v="Female"/>
    <s v="jennifer.kim3@email.com"/>
    <s v="+1-206-555-0198"/>
    <d v="2022-03-22T00:00:00"/>
    <d v="2024-01-14T00:00:00"/>
    <n v="16700.900000000001"/>
    <n v="7200.75"/>
    <n v="770"/>
    <n v="67000"/>
    <x v="1"/>
    <x v="0"/>
    <n v="0"/>
    <s v="Active"/>
    <n v="0.10747388059701493"/>
    <n v="1"/>
    <x v="2"/>
    <x v="1"/>
    <x v="1"/>
  </r>
  <r>
    <s v="Rahman Hussain"/>
    <s v="rahman_h3"/>
    <x v="2"/>
    <x v="25"/>
    <s v="Lahore"/>
    <n v="55"/>
    <s v="Male"/>
    <s v="rahman.hussain3@company.pk"/>
    <s v="+92-302-7654321"/>
    <d v="2017-10-15T00:00:00"/>
    <d v="2024-01-08T00:00:00"/>
    <n v="198900.25"/>
    <n v="91000.8"/>
    <n v="645"/>
    <n v="207000"/>
    <x v="2"/>
    <x v="0"/>
    <n v="0"/>
    <s v="Active"/>
    <n v="0.43961739130434785"/>
    <n v="7"/>
    <x v="3"/>
    <x v="4"/>
    <x v="3"/>
  </r>
  <r>
    <s v="Sofia Martinez"/>
    <s v="sofia_m3"/>
    <x v="1"/>
    <x v="14"/>
    <s v="Valencia"/>
    <n v="28"/>
    <s v="Female"/>
    <s v="sofia.martinez3@mail.es"/>
    <s v="+34-625-678-901"/>
    <d v="2023-06-08T00:00:00"/>
    <d v="2024-01-15T00:00:00"/>
    <n v="12200.5"/>
    <n v="6800.4"/>
    <n v="720"/>
    <n v="44000"/>
    <x v="1"/>
    <x v="0"/>
    <n v="0"/>
    <s v="Active"/>
    <n v="0.15455454545454544"/>
    <n v="0"/>
    <x v="0"/>
    <x v="1"/>
    <x v="1"/>
  </r>
  <r>
    <s v="Kenji Sato"/>
    <s v="kenji_sato4"/>
    <x v="6"/>
    <x v="1"/>
    <s v="Tokyo"/>
    <n v="24"/>
    <s v="Male"/>
    <s v="kenji.sato4@edu.jp"/>
    <s v="+81-90-7890-1234"/>
    <d v="2023-11-12T00:00:00"/>
    <d v="2024-01-13T00:00:00"/>
    <n v="2050.8000000000002"/>
    <n v="9000.25"/>
    <n v="605"/>
    <n v="20000"/>
    <x v="2"/>
    <x v="1"/>
    <n v="0"/>
    <s v="Active"/>
    <n v="0.45001249999999998"/>
    <n v="2"/>
    <x v="3"/>
    <x v="3"/>
    <x v="1"/>
  </r>
  <r>
    <s v="Fatoumata Bello"/>
    <s v="fatou_b3"/>
    <x v="3"/>
    <x v="19"/>
    <s v="Dakar"/>
    <n v="38"/>
    <s v="Female"/>
    <s v="fatoumata.bello3@email.sn"/>
    <s v="+221-80-456-7890"/>
    <d v="2021-05-18T00:00:00"/>
    <d v="2024-01-11T00:00:00"/>
    <n v="64500.4"/>
    <n v="26700.75"/>
    <n v="710"/>
    <n v="118000"/>
    <x v="0"/>
    <x v="0"/>
    <n v="0"/>
    <s v="Active"/>
    <n v="0.22627754237288136"/>
    <n v="4"/>
    <x v="0"/>
    <x v="0"/>
    <x v="0"/>
  </r>
  <r>
    <s v="David Wilson"/>
    <s v="david_w3"/>
    <x v="2"/>
    <x v="3"/>
    <s v="London"/>
    <n v="52"/>
    <s v="Male"/>
    <s v="david.wilson3@company.co.uk"/>
    <s v="+44-79-7890-1234"/>
    <d v="2018-04-05T00:00:00"/>
    <d v="2024-01-09T00:00:00"/>
    <n v="179100.6"/>
    <n v="84000.25"/>
    <n v="675"/>
    <n v="187000"/>
    <x v="2"/>
    <x v="0"/>
    <n v="0"/>
    <s v="Active"/>
    <n v="0.44919919786096257"/>
    <n v="6"/>
    <x v="0"/>
    <x v="2"/>
    <x v="2"/>
  </r>
  <r>
    <s v="Lina Park"/>
    <s v="lina_park3"/>
    <x v="4"/>
    <x v="17"/>
    <s v="Seoul"/>
    <n v="37"/>
    <s v="Female"/>
    <s v="lina.park3@email.kr"/>
    <s v="+82-10-6789-0123"/>
    <d v="2020-10-15T00:00:00"/>
    <d v="2024-01-10T00:00:00"/>
    <n v="40900.75"/>
    <n v="17800.8"/>
    <n v="725"/>
    <n v="84000"/>
    <x v="0"/>
    <x v="0"/>
    <n v="0"/>
    <s v="Active"/>
    <n v="0.21191428571428569"/>
    <n v="5"/>
    <x v="0"/>
    <x v="0"/>
    <x v="0"/>
  </r>
  <r>
    <s v="Ahmed Al-Mansoori"/>
    <s v="ahmed_alm3"/>
    <x v="5"/>
    <x v="8"/>
    <s v="Dubai"/>
    <n v="35"/>
    <s v="Male"/>
    <s v="ahmed.almansoori3@email.ae"/>
    <s v="+971-50-890-1234"/>
    <d v="2022-01-12T00:00:00"/>
    <d v="2024-01-12T00:00:00"/>
    <n v="18900.400000000001"/>
    <n v="8000.9"/>
    <n v="740"/>
    <n v="70000"/>
    <x v="1"/>
    <x v="0"/>
    <n v="0"/>
    <s v="Active"/>
    <n v="0.11429857142857143"/>
    <n v="3"/>
    <x v="0"/>
    <x v="0"/>
    <x v="1"/>
  </r>
  <r>
    <s v="Maria Costa"/>
    <s v="maria_costa3"/>
    <x v="0"/>
    <x v="5"/>
    <s v="São Paulo"/>
    <n v="58"/>
    <s v="Female"/>
    <s v="maria.costa3@mail.com.br"/>
    <s v="+55-11-97890-1234"/>
    <d v="2016-12-22T00:00:00"/>
    <d v="2024-01-08T00:00:00"/>
    <n v="268000.90000000002"/>
    <n v="74000.600000000006"/>
    <n v="830"/>
    <n v="282000"/>
    <x v="1"/>
    <x v="0"/>
    <n v="0"/>
    <s v="Active"/>
    <n v="0.26241347517730501"/>
    <n v="7"/>
    <x v="1"/>
    <x v="4"/>
    <x v="3"/>
  </r>
  <r>
    <s v="Chinedu Nwankwo"/>
    <s v="chinedu_n3"/>
    <x v="2"/>
    <x v="6"/>
    <s v="Abuja"/>
    <n v="50"/>
    <s v="Male"/>
    <s v="chinedu.nwankwo3@company.ng"/>
    <s v="+234-817-890-1234"/>
    <d v="2018-09-08T00:00:00"/>
    <d v="2024-01-09T00:00:00"/>
    <n v="156900.25"/>
    <n v="76000.399999999994"/>
    <n v="655"/>
    <n v="172000"/>
    <x v="2"/>
    <x v="0"/>
    <n v="0"/>
    <s v="Active"/>
    <n v="0.44186279069767437"/>
    <n v="6"/>
    <x v="3"/>
    <x v="2"/>
    <x v="2"/>
  </r>
  <r>
    <s v="Isabelle Moreau"/>
    <s v="isabelle_m3"/>
    <x v="3"/>
    <x v="9"/>
    <s v="Toronto"/>
    <n v="39"/>
    <s v="Female"/>
    <s v="isabelle.moreau3@email.ca"/>
    <s v="+1-647-555-0194"/>
    <d v="2021-02-28T00:00:00"/>
    <d v="2024-01-11T00:00:00"/>
    <n v="83400.600000000006"/>
    <n v="34700.75"/>
    <n v="760"/>
    <n v="141000"/>
    <x v="0"/>
    <x v="0"/>
    <n v="0"/>
    <s v="Active"/>
    <n v="0.24610460992907801"/>
    <n v="4"/>
    <x v="2"/>
    <x v="0"/>
    <x v="2"/>
  </r>
  <r>
    <s v="Rahman Ali"/>
    <s v="rahman_ali4"/>
    <x v="1"/>
    <x v="36"/>
    <s v="Bandung"/>
    <n v="30"/>
    <s v="Male"/>
    <s v="rahman.ali4@mail.id"/>
    <s v="+62-814-5678-9012"/>
    <d v="2023-04-28T00:00:00"/>
    <d v="2024-01-15T00:00:00"/>
    <n v="9400.25"/>
    <n v="5500.8"/>
    <n v="695"/>
    <n v="41000"/>
    <x v="0"/>
    <x v="1"/>
    <n v="0"/>
    <s v="Active"/>
    <n v="0.13416585365853659"/>
    <n v="0"/>
    <x v="0"/>
    <x v="1"/>
    <x v="1"/>
  </r>
  <r>
    <s v="Sarah Johnson"/>
    <s v="sarah_j3"/>
    <x v="5"/>
    <x v="0"/>
    <s v="New York"/>
    <n v="33"/>
    <s v="Female"/>
    <s v="sarah.johnson3@email.com"/>
    <s v="+1-646-555-0172"/>
    <d v="2021-11-08T00:00:00"/>
    <d v="2024-01-12T00:00:00"/>
    <n v="17800.900000000001"/>
    <n v="7600.25"/>
    <n v="755"/>
    <n v="63000"/>
    <x v="1"/>
    <x v="0"/>
    <n v="0"/>
    <s v="Active"/>
    <n v="0.12063888888888889"/>
    <n v="3"/>
    <x v="2"/>
    <x v="1"/>
    <x v="1"/>
  </r>
  <r>
    <s v="Wei Zhang"/>
    <s v="wei_zhang3"/>
    <x v="2"/>
    <x v="4"/>
    <s v="Beijing"/>
    <n v="51"/>
    <s v="Male"/>
    <s v="wei.zhang3@company.cn"/>
    <s v="+86-138-9012-3456"/>
    <d v="2018-06-12T00:00:00"/>
    <d v="2024-01-09T00:00:00"/>
    <n v="189800.4"/>
    <n v="89000.75"/>
    <n v="685"/>
    <n v="197000"/>
    <x v="2"/>
    <x v="0"/>
    <n v="0"/>
    <s v="Active"/>
    <n v="0.45178045685279189"/>
    <n v="6"/>
    <x v="0"/>
    <x v="2"/>
    <x v="3"/>
  </r>
  <r>
    <s v="Anna Kowalski"/>
    <s v="anna_k4"/>
    <x v="4"/>
    <x v="37"/>
    <s v="Warsaw"/>
    <n v="42"/>
    <s v="Female"/>
    <s v="anna.kowalski4@email.pl"/>
    <s v="+48-702-456-789"/>
    <d v="2020-03-12T00:00:00"/>
    <d v="2024-01-10T00:00:00"/>
    <n v="47800.800000000003"/>
    <n v="20900.599999999999"/>
    <n v="715"/>
    <n v="96000"/>
    <x v="0"/>
    <x v="0"/>
    <n v="0"/>
    <s v="Active"/>
    <n v="0.21771458333333332"/>
    <n v="5"/>
    <x v="0"/>
    <x v="0"/>
    <x v="0"/>
  </r>
  <r>
    <s v="Mohammed Rahman"/>
    <s v="m_rahman4"/>
    <x v="3"/>
    <x v="29"/>
    <s v="Dhaka"/>
    <n v="45"/>
    <s v="Male"/>
    <s v="mohammed.rahman4@email.bd"/>
    <s v="+880-1812-678901"/>
    <d v="2019-12-05T00:00:00"/>
    <d v="2024-01-11T00:00:00"/>
    <n v="75600.25"/>
    <n v="30900.400000000001"/>
    <n v="680"/>
    <n v="125000"/>
    <x v="0"/>
    <x v="0"/>
    <n v="0"/>
    <s v="Active"/>
    <n v="0.24720320000000001"/>
    <n v="4"/>
    <x v="0"/>
    <x v="2"/>
    <x v="0"/>
  </r>
  <r>
    <s v="Yumi Tanaka"/>
    <s v="yumi_tanaka3"/>
    <x v="6"/>
    <x v="1"/>
    <s v="Osaka"/>
    <n v="25"/>
    <s v="Female"/>
    <s v="yumi.tanaka3@edu.jp"/>
    <s v="+81-90-8901-2345"/>
    <d v="2023-10-05T00:00:00"/>
    <d v="2024-01-13T00:00:00"/>
    <n v="2150.4"/>
    <n v="9600.75"/>
    <n v="610"/>
    <n v="21000"/>
    <x v="2"/>
    <x v="1"/>
    <n v="0"/>
    <s v="Active"/>
    <n v="0.45717857142857143"/>
    <n v="2"/>
    <x v="3"/>
    <x v="1"/>
    <x v="1"/>
  </r>
  <r>
    <s v="Carlos Mendez"/>
    <s v="carlos_m3"/>
    <x v="0"/>
    <x v="13"/>
    <s v="Mexico City"/>
    <n v="57"/>
    <s v="Male"/>
    <s v="carlos.mendez3@mail.mx"/>
    <s v="+52-55-5678-9012"/>
    <d v="2017-08-18T00:00:00"/>
    <d v="2024-01-08T00:00:00"/>
    <n v="287800.8"/>
    <n v="80000.25"/>
    <n v="825"/>
    <n v="277000"/>
    <x v="1"/>
    <x v="0"/>
    <n v="0"/>
    <s v="Active"/>
    <n v="0.28880956678700359"/>
    <n v="7"/>
    <x v="1"/>
    <x v="4"/>
    <x v="3"/>
  </r>
  <r>
    <s v="Aisha Mohammed"/>
    <s v="aisha_m4"/>
    <x v="5"/>
    <x v="16"/>
    <s v="Nairobi"/>
    <n v="32"/>
    <s v="Female"/>
    <s v="aisha.mohammed4@email.ke"/>
    <s v="+254-726-789-012"/>
    <d v="2022-05-22T00:00:00"/>
    <d v="2024-01-14T00:00:00"/>
    <n v="14500.75"/>
    <n v="6000.4"/>
    <n v="725"/>
    <n v="53000"/>
    <x v="1"/>
    <x v="0"/>
    <n v="0"/>
    <s v="Active"/>
    <n v="0.11321509433962264"/>
    <n v="1"/>
    <x v="0"/>
    <x v="1"/>
    <x v="1"/>
  </r>
  <r>
    <s v="David Chen"/>
    <s v="david_chen4"/>
    <x v="2"/>
    <x v="23"/>
    <s v="Singapore"/>
    <n v="49"/>
    <s v="Male"/>
    <s v="david.chen4@company.sg"/>
    <s v="+65-8567-8901"/>
    <d v="2018-12-18T00:00:00"/>
    <d v="2024-01-09T00:00:00"/>
    <n v="168000.6"/>
    <n v="80000.899999999994"/>
    <n v="675"/>
    <n v="177000"/>
    <x v="2"/>
    <x v="0"/>
    <n v="0"/>
    <s v="Active"/>
    <n v="0.45198248587570616"/>
    <n v="6"/>
    <x v="0"/>
    <x v="2"/>
    <x v="2"/>
  </r>
  <r>
    <s v="Maria Papadopoulos"/>
    <s v="maria_p4"/>
    <x v="4"/>
    <x v="38"/>
    <s v="Athens"/>
    <n v="40"/>
    <s v="Female"/>
    <s v="maria.papadopoulos4@email.gr"/>
    <s v="+30-694-567-8901"/>
    <d v="2021-01-08T00:00:00"/>
    <d v="2024-01-11T00:00:00"/>
    <n v="42000.4"/>
    <n v="16700.25"/>
    <n v="705"/>
    <n v="85000"/>
    <x v="0"/>
    <x v="0"/>
    <n v="0"/>
    <s v="Active"/>
    <n v="0.19647352941176471"/>
    <n v="4"/>
    <x v="0"/>
    <x v="0"/>
    <x v="0"/>
  </r>
  <r>
    <s v="James Wilson"/>
    <s v="j_wilson4"/>
    <x v="3"/>
    <x v="26"/>
    <s v="Sydney"/>
    <n v="43"/>
    <s v="Male"/>
    <s v="james.wilson4@email.au"/>
    <s v="+61-426-789-012"/>
    <d v="2019-08-22T00:00:00"/>
    <d v="2024-01-10T00:00:00"/>
    <n v="88900.75"/>
    <n v="37800.800000000003"/>
    <n v="730"/>
    <n v="151000"/>
    <x v="0"/>
    <x v="0"/>
    <n v="0"/>
    <s v="Active"/>
    <n v="0.25033642384105964"/>
    <n v="5"/>
    <x v="0"/>
    <x v="0"/>
    <x v="2"/>
  </r>
  <r>
    <s v="Fatima Zahra"/>
    <s v="f_zahra4"/>
    <x v="1"/>
    <x v="25"/>
    <s v="Islamabad"/>
    <n v="28"/>
    <s v="Female"/>
    <s v="fatima.zahra4@mail.pk"/>
    <s v="+92-324-6543210"/>
    <d v="2023-05-18T00:00:00"/>
    <d v="2024-01-15T00:00:00"/>
    <n v="8600.9"/>
    <n v="5100.75"/>
    <n v="685"/>
    <n v="38000"/>
    <x v="0"/>
    <x v="1"/>
    <n v="0"/>
    <s v="Active"/>
    <n v="0.13423026315789474"/>
    <n v="0"/>
    <x v="0"/>
    <x v="1"/>
    <x v="1"/>
  </r>
  <r>
    <s v="Kenji Yamada"/>
    <s v="kenji_y4"/>
    <x v="0"/>
    <x v="1"/>
    <s v="Tokyo"/>
    <n v="60"/>
    <s v="Male"/>
    <s v="kenji.yamada4@mail.jp"/>
    <s v="+81-80-4567-8901"/>
    <d v="2016-11-12T00:00:00"/>
    <d v="2024-01-08T00:00:00"/>
    <n v="298700.25"/>
    <n v="84000.4"/>
    <n v="840"/>
    <n v="292000"/>
    <x v="1"/>
    <x v="0"/>
    <n v="0"/>
    <s v="Active"/>
    <n v="0.287672602739726"/>
    <n v="7"/>
    <x v="1"/>
    <x v="4"/>
    <x v="3"/>
  </r>
  <r>
    <s v="Ngozi Eze"/>
    <s v="ngozi_e4"/>
    <x v="2"/>
    <x v="6"/>
    <s v="Lagos"/>
    <n v="52"/>
    <s v="Female"/>
    <s v="ngozi.eze4@company.ng"/>
    <s v="+234-816-789-0123"/>
    <d v="2018-04-15T00:00:00"/>
    <d v="2024-01-09T00:00:00"/>
    <n v="179100.4"/>
    <n v="84000.75"/>
    <n v="650"/>
    <n v="187000"/>
    <x v="2"/>
    <x v="0"/>
    <n v="0"/>
    <s v="Active"/>
    <n v="0.44920187165775399"/>
    <n v="6"/>
    <x v="3"/>
    <x v="2"/>
    <x v="2"/>
  </r>
  <r>
    <s v="Thomas Schmidt"/>
    <s v="thomas_s4"/>
    <x v="3"/>
    <x v="7"/>
    <s v="Munich"/>
    <n v="39"/>
    <s v="Male"/>
    <s v="thomas.schmidt4@email.de"/>
    <s v="+49-178-9012345"/>
    <d v="2021-08-22T00:00:00"/>
    <d v="2024-01-12T00:00:00"/>
    <n v="76700.399999999994"/>
    <n v="32000.25"/>
    <n v="745"/>
    <n v="131000"/>
    <x v="0"/>
    <x v="0"/>
    <n v="0"/>
    <s v="Active"/>
    <n v="0.24427671755725192"/>
    <n v="3"/>
    <x v="0"/>
    <x v="0"/>
    <x v="2"/>
  </r>
  <r>
    <s v="Lina Chen"/>
    <s v="lina_c4"/>
    <x v="5"/>
    <x v="4"/>
    <s v="Shanghai"/>
    <n v="34"/>
    <s v="Female"/>
    <s v="lina.chen4@mail.cn"/>
    <s v="+86-137-9012-3456"/>
    <d v="2022-02-28T00:00:00"/>
    <d v="2024-01-11T00:00:00"/>
    <n v="16700.8"/>
    <n v="7200.9"/>
    <n v="765"/>
    <n v="63000"/>
    <x v="1"/>
    <x v="0"/>
    <n v="0"/>
    <s v="Active"/>
    <n v="0.1143"/>
    <n v="4"/>
    <x v="2"/>
    <x v="1"/>
    <x v="1"/>
  </r>
  <r>
    <s v="Ahmed Hassan"/>
    <s v="ahmed_h4"/>
    <x v="4"/>
    <x v="20"/>
    <s v="Alexandria"/>
    <n v="47"/>
    <s v="Male"/>
    <s v="ahmed.hassan4@email.eg"/>
    <s v="+20-122-765-4321"/>
    <d v="2020-01-18T00:00:00"/>
    <d v="2024-01-10T00:00:00"/>
    <n v="50000.75"/>
    <n v="23100.400000000001"/>
    <n v="675"/>
    <n v="103000"/>
    <x v="0"/>
    <x v="0"/>
    <n v="0"/>
    <s v="Active"/>
    <n v="0.22427572815533983"/>
    <n v="5"/>
    <x v="0"/>
    <x v="2"/>
    <x v="0"/>
  </r>
  <r>
    <s v="Sophie Martin"/>
    <s v="sophie_m4"/>
    <x v="6"/>
    <x v="10"/>
    <s v="Paris"/>
    <n v="26"/>
    <s v="Female"/>
    <s v="sophie.martin4@edu.fr"/>
    <s v="+33-6-6789-0123"/>
    <d v="2023-10-12T00:00:00"/>
    <d v="2024-01-13T00:00:00"/>
    <n v="2400.25"/>
    <n v="10800.6"/>
    <n v="615"/>
    <n v="23000"/>
    <x v="2"/>
    <x v="1"/>
    <n v="0"/>
    <s v="Active"/>
    <n v="0.46959130434782609"/>
    <n v="2"/>
    <x v="3"/>
    <x v="1"/>
    <x v="1"/>
  </r>
  <r>
    <s v="Raj Kumar"/>
    <s v="raj_kumar4"/>
    <x v="2"/>
    <x v="2"/>
    <s v="Mumbai"/>
    <n v="54"/>
    <s v="Male"/>
    <s v="raj.kumar4@company.in"/>
    <s v="+91-987-654-3210"/>
    <d v="2018-03-08T00:00:00"/>
    <d v="2024-01-08T00:00:00"/>
    <n v="213700.8"/>
    <n v="97000.25"/>
    <n v="660"/>
    <n v="222000"/>
    <x v="2"/>
    <x v="0"/>
    <n v="0"/>
    <s v="Active"/>
    <n v="0.43693806306306304"/>
    <n v="7"/>
    <x v="3"/>
    <x v="2"/>
    <x v="3"/>
  </r>
  <r>
    <s v="Maria Gonzalez"/>
    <s v="maria_g5"/>
    <x v="3"/>
    <x v="13"/>
    <s v="Mexico City"/>
    <n v="41"/>
    <s v="Female"/>
    <s v="maria.gonzalez5@email.mx"/>
    <s v="+52-55-6789-0123"/>
    <d v="2020-07-15T00:00:00"/>
    <d v="2024-01-11T00:00:00"/>
    <n v="71100.899999999994"/>
    <n v="28900.75"/>
    <n v="730"/>
    <n v="126000"/>
    <x v="0"/>
    <x v="0"/>
    <n v="0"/>
    <s v="Active"/>
    <n v="0.22937103174603174"/>
    <n v="4"/>
    <x v="0"/>
    <x v="0"/>
    <x v="0"/>
  </r>
  <r>
    <s v="Yuki Kobayashi"/>
    <s v="yuki_k4"/>
    <x v="1"/>
    <x v="1"/>
    <s v="Osaka"/>
    <n v="30"/>
    <s v="Female"/>
    <s v="yuki.kobayashi4@mail.jp"/>
    <s v="+81-90-5678-9012"/>
    <d v="2023-06-22T00:00:00"/>
    <d v="2024-01-14T00:00:00"/>
    <n v="9800.4"/>
    <n v="5800.25"/>
    <n v="705"/>
    <n v="40000"/>
    <x v="0"/>
    <x v="1"/>
    <n v="0"/>
    <s v="Active"/>
    <n v="0.14500625"/>
    <n v="1"/>
    <x v="0"/>
    <x v="1"/>
    <x v="1"/>
  </r>
  <r>
    <s v="Kwame Asante"/>
    <s v="kwame_a4"/>
    <x v="5"/>
    <x v="15"/>
    <s v="Accra"/>
    <n v="35"/>
    <s v="Male"/>
    <s v="kwame.asante4@email.gh"/>
    <s v="+233-57-890-1234"/>
    <d v="2022-01-05T00:00:00"/>
    <d v="2024-01-12T00:00:00"/>
    <n v="15600.6"/>
    <n v="6600.8"/>
    <n v="710"/>
    <n v="56000"/>
    <x v="1"/>
    <x v="0"/>
    <n v="0"/>
    <s v="Active"/>
    <n v="0.11787142857142857"/>
    <n v="3"/>
    <x v="0"/>
    <x v="0"/>
    <x v="1"/>
  </r>
  <r>
    <s v="Anna Petrova"/>
    <s v="anna_p4"/>
    <x v="4"/>
    <x v="12"/>
    <s v="St. Petersburg"/>
    <n v="42"/>
    <s v="Female"/>
    <s v="anna.petrova4@email.ru"/>
    <s v="+7-921-654-32-10"/>
    <d v="2020-02-12T00:00:00"/>
    <d v="2024-01-10T00:00:00"/>
    <n v="46900.25"/>
    <n v="20000.900000000001"/>
    <n v="695"/>
    <n v="91000"/>
    <x v="0"/>
    <x v="0"/>
    <n v="0"/>
    <s v="Active"/>
    <n v="0.21979010989010991"/>
    <n v="5"/>
    <x v="0"/>
    <x v="0"/>
    <x v="0"/>
  </r>
  <r>
    <s v="Liam O'Brien"/>
    <s v="liam_obrien4"/>
    <x v="2"/>
    <x v="11"/>
    <s v="Dublin"/>
    <n v="50"/>
    <s v="Male"/>
    <s v="liam.obrien4@company.ie"/>
    <s v="+353-89-789-0123"/>
    <d v="2018-08-28T00:00:00"/>
    <d v="2024-01-09T00:00:00"/>
    <n v="145900.4"/>
    <n v="71000.600000000006"/>
    <n v="670"/>
    <n v="158000"/>
    <x v="2"/>
    <x v="0"/>
    <n v="0"/>
    <s v="Active"/>
    <n v="0.44937088607594938"/>
    <n v="6"/>
    <x v="0"/>
    <x v="2"/>
    <x v="2"/>
  </r>
  <r>
    <s v="Ying Wang"/>
    <s v="ying_w4"/>
    <x v="0"/>
    <x v="4"/>
    <s v="Beijing"/>
    <n v="58"/>
    <s v="Female"/>
    <s v="ying.wang4@mail.cn"/>
    <s v="+86-139-6789-0123"/>
    <d v="2017-06-05T00:00:00"/>
    <d v="2024-01-08T00:00:00"/>
    <n v="312800.75"/>
    <n v="88000.8"/>
    <n v="835"/>
    <n v="303000"/>
    <x v="1"/>
    <x v="0"/>
    <n v="0"/>
    <s v="Active"/>
    <n v="0.29043168316831686"/>
    <n v="7"/>
    <x v="1"/>
    <x v="4"/>
    <x v="3"/>
  </r>
  <r>
    <s v="Adeola Yusuf"/>
    <s v="adeola_y4"/>
    <x v="4"/>
    <x v="6"/>
    <s v="Lagos"/>
    <n v="45"/>
    <s v="Female"/>
    <s v="adeola.yusuf4@email.ng"/>
    <s v="+234-817-890-1234"/>
    <d v="2020-01-22T00:00:00"/>
    <d v="2024-01-11T00:00:00"/>
    <n v="55600.6"/>
    <n v="25600.25"/>
    <n v="665"/>
    <n v="111000"/>
    <x v="0"/>
    <x v="0"/>
    <n v="0"/>
    <s v="Active"/>
    <n v="0.23063288288288289"/>
    <n v="4"/>
    <x v="3"/>
    <x v="2"/>
    <x v="0"/>
  </r>
  <r>
    <s v="Marco Bianchi"/>
    <s v="marco_b4"/>
    <x v="3"/>
    <x v="18"/>
    <s v="Milan"/>
    <n v="37"/>
    <s v="Male"/>
    <s v="marco.bianchi4@email.it"/>
    <s v="+39-351-567-8901"/>
    <d v="2021-10-15T00:00:00"/>
    <d v="2024-01-12T00:00:00"/>
    <n v="78900.800000000003"/>
    <n v="33100.400000000001"/>
    <n v="750"/>
    <n v="137000"/>
    <x v="0"/>
    <x v="0"/>
    <n v="0"/>
    <s v="Active"/>
    <n v="0.24160875912408761"/>
    <n v="3"/>
    <x v="2"/>
    <x v="0"/>
    <x v="2"/>
  </r>
  <r>
    <s v="Jennifer Kim"/>
    <s v="jennifer_k4"/>
    <x v="5"/>
    <x v="0"/>
    <s v="Los Angeles"/>
    <n v="33"/>
    <s v="Female"/>
    <s v="jennifer.kim4@email.com"/>
    <s v="+1-310-555-0192"/>
    <d v="2022-04-18T00:00:00"/>
    <d v="2024-01-14T00:00:00"/>
    <n v="17800.900000000001"/>
    <n v="7600.75"/>
    <n v="770"/>
    <n v="68000"/>
    <x v="1"/>
    <x v="0"/>
    <n v="0"/>
    <s v="Active"/>
    <n v="0.11177573529411765"/>
    <n v="1"/>
    <x v="2"/>
    <x v="1"/>
    <x v="1"/>
  </r>
  <r>
    <s v="Rahman Hussain"/>
    <s v="rahman_h4"/>
    <x v="2"/>
    <x v="25"/>
    <s v="Karachi"/>
    <n v="56"/>
    <s v="Male"/>
    <s v="rahman.hussain4@company.pk"/>
    <s v="+92-303-6543210"/>
    <d v="2017-11-22T00:00:00"/>
    <d v="2024-01-08T00:00:00"/>
    <n v="199000.25"/>
    <n v="92000.8"/>
    <n v="645"/>
    <n v="208000"/>
    <x v="2"/>
    <x v="0"/>
    <n v="0"/>
    <s v="Active"/>
    <n v="0.44231153846153848"/>
    <n v="7"/>
    <x v="3"/>
    <x v="4"/>
    <x v="3"/>
  </r>
  <r>
    <s v="Sofia Martinez"/>
    <s v="sofia_m4"/>
    <x v="1"/>
    <x v="14"/>
    <s v="Madrid"/>
    <n v="29"/>
    <s v="Female"/>
    <s v="sofia.martinez4@mail.es"/>
    <s v="+34-626-789-012"/>
    <d v="2023-07-05T00:00:00"/>
    <d v="2024-01-15T00:00:00"/>
    <n v="13200.5"/>
    <n v="7200.4"/>
    <n v="720"/>
    <n v="45000"/>
    <x v="1"/>
    <x v="0"/>
    <n v="0"/>
    <s v="Active"/>
    <n v="0.16000888888888887"/>
    <n v="0"/>
    <x v="0"/>
    <x v="1"/>
    <x v="1"/>
  </r>
  <r>
    <s v="Kenji Sato"/>
    <s v="kenji_sato5"/>
    <x v="6"/>
    <x v="1"/>
    <s v="Tokyo"/>
    <n v="25"/>
    <s v="Male"/>
    <s v="kenji.sato5@edu.jp"/>
    <s v="+81-90-8901-2345"/>
    <d v="2023-11-28T00:00:00"/>
    <d v="2024-01-13T00:00:00"/>
    <n v="2150.8000000000002"/>
    <n v="9200.25"/>
    <n v="605"/>
    <n v="21000"/>
    <x v="2"/>
    <x v="1"/>
    <n v="0"/>
    <s v="Active"/>
    <n v="0.43810714285714286"/>
    <n v="2"/>
    <x v="3"/>
    <x v="1"/>
    <x v="1"/>
  </r>
  <r>
    <s v="Fatoumata Bello"/>
    <s v="fatou_b4"/>
    <x v="3"/>
    <x v="19"/>
    <s v="Dakar"/>
    <n v="39"/>
    <s v="Female"/>
    <s v="fatoumata.bello4@email.sn"/>
    <s v="+221-81-567-8901"/>
    <d v="2021-06-12T00:00:00"/>
    <d v="2024-01-11T00:00:00"/>
    <n v="65600.399999999994"/>
    <n v="27800.75"/>
    <n v="710"/>
    <n v="119000"/>
    <x v="0"/>
    <x v="0"/>
    <n v="0"/>
    <s v="Active"/>
    <n v="0.23361974789915965"/>
    <n v="4"/>
    <x v="0"/>
    <x v="0"/>
    <x v="0"/>
  </r>
  <r>
    <s v="David Wilson"/>
    <s v="david_w4"/>
    <x v="2"/>
    <x v="3"/>
    <s v="London"/>
    <n v="53"/>
    <s v="Male"/>
    <s v="david.wilson4@company.co.uk"/>
    <s v="+44-79-8901-2345"/>
    <d v="2018-05-08T00:00:00"/>
    <d v="2024-01-09T00:00:00"/>
    <n v="179200.6"/>
    <n v="85000.25"/>
    <n v="675"/>
    <n v="188000"/>
    <x v="2"/>
    <x v="0"/>
    <n v="0"/>
    <s v="Active"/>
    <n v="0.45212898936170215"/>
    <n v="6"/>
    <x v="0"/>
    <x v="2"/>
    <x v="2"/>
  </r>
  <r>
    <s v="Lina Park"/>
    <s v="lina_park4"/>
    <x v="4"/>
    <x v="17"/>
    <s v="Seoul"/>
    <n v="38"/>
    <s v="Female"/>
    <s v="lina.park4@email.kr"/>
    <s v="+82-10-7890-1234"/>
    <d v="2020-11-22T00:00:00"/>
    <d v="2024-01-10T00:00:00"/>
    <n v="42000.75"/>
    <n v="18900.8"/>
    <n v="725"/>
    <n v="85000"/>
    <x v="0"/>
    <x v="0"/>
    <n v="0"/>
    <s v="Active"/>
    <n v="0.22236235294117646"/>
    <n v="5"/>
    <x v="0"/>
    <x v="0"/>
    <x v="0"/>
  </r>
  <r>
    <s v="Ahmed Al-Mansoori"/>
    <s v="ahmed_alm4"/>
    <x v="5"/>
    <x v="8"/>
    <s v="Abu Dhabi"/>
    <n v="36"/>
    <s v="Male"/>
    <s v="ahmed.almansoori4@email.ae"/>
    <s v="+971-50-901-2345"/>
    <d v="2022-02-15T00:00:00"/>
    <d v="2024-01-12T00:00:00"/>
    <n v="20000.400000000001"/>
    <n v="8400.9"/>
    <n v="740"/>
    <n v="71000"/>
    <x v="1"/>
    <x v="0"/>
    <n v="0"/>
    <s v="Active"/>
    <n v="0.11832253521126761"/>
    <n v="3"/>
    <x v="0"/>
    <x v="0"/>
    <x v="1"/>
  </r>
  <r>
    <s v="Maria Costa"/>
    <s v="maria_costa4"/>
    <x v="0"/>
    <x v="5"/>
    <s v="São Paulo"/>
    <n v="59"/>
    <s v="Female"/>
    <s v="maria.costa4@mail.com.br"/>
    <s v="+55-11-98901-2345"/>
    <d v="2017-01-28T00:00:00"/>
    <d v="2024-01-08T00:00:00"/>
    <n v="268100.90000000002"/>
    <n v="75000.600000000006"/>
    <n v="830"/>
    <n v="283000"/>
    <x v="1"/>
    <x v="0"/>
    <n v="0"/>
    <s v="Active"/>
    <n v="0.26501978798586573"/>
    <n v="7"/>
    <x v="1"/>
    <x v="4"/>
    <x v="3"/>
  </r>
  <r>
    <s v="Chinedu Nwankwo"/>
    <s v="chinedu_n4"/>
    <x v="2"/>
    <x v="6"/>
    <s v="Port Harcourt"/>
    <n v="51"/>
    <s v="Male"/>
    <s v="chinedu.nwankwo4@company.ng"/>
    <s v="+234-818-901-2345"/>
    <d v="2018-10-12T00:00:00"/>
    <d v="2024-01-09T00:00:00"/>
    <n v="157000.25"/>
    <n v="77000.399999999994"/>
    <n v="655"/>
    <n v="173000"/>
    <x v="2"/>
    <x v="0"/>
    <n v="0"/>
    <s v="Active"/>
    <n v="0.44508901734104045"/>
    <n v="6"/>
    <x v="3"/>
    <x v="2"/>
    <x v="2"/>
  </r>
  <r>
    <s v="Isabelle Moreau"/>
    <s v="isabelle_m4"/>
    <x v="3"/>
    <x v="9"/>
    <s v="Montreal"/>
    <n v="40"/>
    <s v="Female"/>
    <s v="isabelle.moreau4@email.ca"/>
    <s v="+1-514-555-0196"/>
    <d v="2021-03-22T00:00:00"/>
    <d v="2024-01-11T00:00:00"/>
    <n v="84500.6"/>
    <n v="35800.75"/>
    <n v="760"/>
    <n v="142000"/>
    <x v="0"/>
    <x v="0"/>
    <n v="0"/>
    <s v="Active"/>
    <n v="0.25211795774647888"/>
    <n v="4"/>
    <x v="2"/>
    <x v="0"/>
    <x v="2"/>
  </r>
  <r>
    <s v="Rahman Ali"/>
    <s v="rahman_ali5"/>
    <x v="1"/>
    <x v="36"/>
    <s v="Jakarta"/>
    <n v="31"/>
    <s v="Male"/>
    <s v="rahman.ali5@mail.id"/>
    <s v="+62-815-6789-0123"/>
    <d v="2023-05-15T00:00:00"/>
    <d v="2024-01-15T00:00:00"/>
    <n v="9900.25"/>
    <n v="5800.8"/>
    <n v="695"/>
    <n v="42000"/>
    <x v="0"/>
    <x v="1"/>
    <n v="0"/>
    <s v="Active"/>
    <n v="0.13811428571428572"/>
    <n v="0"/>
    <x v="0"/>
    <x v="1"/>
    <x v="1"/>
  </r>
  <r>
    <s v="Sarah Johnson"/>
    <s v="sarah_j4"/>
    <x v="5"/>
    <x v="0"/>
    <s v="Chicago"/>
    <n v="34"/>
    <s v="Female"/>
    <s v="sarah.johnson4@email.com"/>
    <s v="+1-773-555-0176"/>
    <d v="2021-12-05T00:00:00"/>
    <d v="2024-01-12T00:00:00"/>
    <n v="18900.900000000001"/>
    <n v="8000.25"/>
    <n v="755"/>
    <n v="64000"/>
    <x v="1"/>
    <x v="0"/>
    <n v="0"/>
    <s v="Active"/>
    <n v="0.12500390624999999"/>
    <n v="3"/>
    <x v="2"/>
    <x v="1"/>
    <x v="1"/>
  </r>
  <r>
    <s v="Wei Zhang"/>
    <s v="wei_zhang4"/>
    <x v="2"/>
    <x v="4"/>
    <s v="Shanghai"/>
    <n v="52"/>
    <s v="Male"/>
    <s v="wei.zhang4@company.cn"/>
    <s v="+86-138-0123-4567"/>
    <d v="2018-07-18T00:00:00"/>
    <d v="2024-01-09T00:00:00"/>
    <n v="189900.4"/>
    <n v="90000.75"/>
    <n v="685"/>
    <n v="198000"/>
    <x v="2"/>
    <x v="0"/>
    <n v="0"/>
    <s v="Active"/>
    <n v="0.45454924242424244"/>
    <n v="6"/>
    <x v="0"/>
    <x v="2"/>
    <x v="3"/>
  </r>
  <r>
    <s v="Anna Kowalski"/>
    <s v="anna_k5"/>
    <x v="4"/>
    <x v="37"/>
    <s v="Warsaw"/>
    <n v="43"/>
    <s v="Female"/>
    <s v="anna.kowalski5@email.pl"/>
    <s v="+48-703-567-890"/>
    <d v="2020-04-08T00:00:00"/>
    <d v="2024-01-10T00:00:00"/>
    <n v="48900.800000000003"/>
    <n v="22000.6"/>
    <n v="715"/>
    <n v="97000"/>
    <x v="0"/>
    <x v="0"/>
    <n v="0"/>
    <s v="Active"/>
    <n v="0.2268103092783505"/>
    <n v="5"/>
    <x v="0"/>
    <x v="0"/>
    <x v="0"/>
  </r>
  <r>
    <s v="Mohammed Rahman"/>
    <s v="m_rahman5"/>
    <x v="3"/>
    <x v="29"/>
    <s v="Chittagong"/>
    <n v="46"/>
    <s v="Male"/>
    <s v="mohammed.rahman5@email.bd"/>
    <s v="+880-1812-789012"/>
    <d v="2020-01-12T00:00:00"/>
    <d v="2024-01-11T00:00:00"/>
    <n v="76700.25"/>
    <n v="32000.400000000001"/>
    <n v="680"/>
    <n v="126000"/>
    <x v="0"/>
    <x v="0"/>
    <n v="0"/>
    <s v="Active"/>
    <n v="0.25397142857142857"/>
    <n v="4"/>
    <x v="0"/>
    <x v="2"/>
    <x v="0"/>
  </r>
  <r>
    <s v="Yumi Tanaka"/>
    <s v="yumi_tanaka4"/>
    <x v="6"/>
    <x v="1"/>
    <s v="Osaka"/>
    <n v="26"/>
    <s v="Female"/>
    <s v="yumi.tanaka4@edu.jp"/>
    <s v="+81-90-9012-3456"/>
    <d v="2023-10-22T00:00:00"/>
    <d v="2024-01-13T00:00:00"/>
    <n v="2250.4"/>
    <n v="9800.75"/>
    <n v="610"/>
    <n v="22000"/>
    <x v="2"/>
    <x v="1"/>
    <n v="0"/>
    <s v="Active"/>
    <n v="0.44548863636363634"/>
    <n v="2"/>
    <x v="3"/>
    <x v="1"/>
    <x v="1"/>
  </r>
  <r>
    <s v="Carlos Mendez"/>
    <s v="carlos_m4"/>
    <x v="0"/>
    <x v="13"/>
    <s v="Mexico City"/>
    <n v="58"/>
    <s v="Male"/>
    <s v="carlos.mendez4@mail.mx"/>
    <s v="+52-55-6789-0123"/>
    <d v="2017-09-08T00:00:00"/>
    <d v="2024-01-08T00:00:00"/>
    <n v="287900.79999999999"/>
    <n v="81000.25"/>
    <n v="825"/>
    <n v="278000"/>
    <x v="1"/>
    <x v="0"/>
    <n v="0"/>
    <s v="Active"/>
    <n v="0.29136780575539567"/>
    <n v="7"/>
    <x v="1"/>
    <x v="4"/>
    <x v="3"/>
  </r>
  <r>
    <s v="Aisha Mohammed"/>
    <s v="aisha_m5"/>
    <x v="5"/>
    <x v="16"/>
    <s v="Nairobi"/>
    <n v="33"/>
    <s v="Female"/>
    <s v="aisha.mohammed5@email.ke"/>
    <s v="+254-727-890-123"/>
    <d v="2022-06-28T00:00:00"/>
    <d v="2024-01-14T00:00:00"/>
    <n v="15600.75"/>
    <n v="6400.4"/>
    <n v="725"/>
    <n v="54000"/>
    <x v="1"/>
    <x v="0"/>
    <n v="0"/>
    <s v="Active"/>
    <n v="0.11852592592592592"/>
    <n v="1"/>
    <x v="0"/>
    <x v="1"/>
    <x v="1"/>
  </r>
  <r>
    <s v="David Chen"/>
    <s v="david_chen5"/>
    <x v="2"/>
    <x v="23"/>
    <s v="Singapore"/>
    <n v="50"/>
    <s v="Male"/>
    <s v="david.chen5@company.sg"/>
    <s v="+65-8678-9012"/>
    <d v="2019-01-22T00:00:00"/>
    <d v="2024-01-09T00:00:00"/>
    <n v="168100.6"/>
    <n v="81000.899999999994"/>
    <n v="675"/>
    <n v="178000"/>
    <x v="2"/>
    <x v="0"/>
    <n v="0"/>
    <s v="Active"/>
    <n v="0.45506123595505615"/>
    <n v="6"/>
    <x v="0"/>
    <x v="2"/>
    <x v="2"/>
  </r>
  <r>
    <s v="Maria Papadopoulos"/>
    <s v="maria_p5"/>
    <x v="4"/>
    <x v="38"/>
    <s v="Athens"/>
    <n v="41"/>
    <s v="Female"/>
    <s v="maria.papadopoulos5@email.gr"/>
    <s v="+30-695-678-9012"/>
    <d v="2021-02-15T00:00:00"/>
    <d v="2024-01-11T00:00:00"/>
    <n v="43100.4"/>
    <n v="17800.25"/>
    <n v="705"/>
    <n v="86000"/>
    <x v="0"/>
    <x v="0"/>
    <n v="0"/>
    <s v="Active"/>
    <n v="0.20697965116279068"/>
    <n v="4"/>
    <x v="0"/>
    <x v="0"/>
    <x v="0"/>
  </r>
  <r>
    <s v="James Wilson"/>
    <s v="j_wilson5"/>
    <x v="3"/>
    <x v="26"/>
    <s v="Melbourne"/>
    <n v="44"/>
    <s v="Male"/>
    <s v="james.wilson5@email.au"/>
    <s v="+61-427-890-123"/>
    <d v="2019-09-12T00:00:00"/>
    <d v="2024-01-10T00:00:00"/>
    <n v="90000.75"/>
    <n v="38900.800000000003"/>
    <n v="730"/>
    <n v="152000"/>
    <x v="0"/>
    <x v="0"/>
    <n v="0"/>
    <s v="Active"/>
    <n v="0.25592631578947372"/>
    <n v="5"/>
    <x v="0"/>
    <x v="0"/>
    <x v="2"/>
  </r>
  <r>
    <s v="Fatima Zahra"/>
    <s v="f_zahra5"/>
    <x v="1"/>
    <x v="25"/>
    <s v="Lahore"/>
    <n v="29"/>
    <s v="Female"/>
    <s v="fatima.zahra5@mail.pk"/>
    <s v="+92-325-5432109"/>
    <d v="2023-06-22T00:00:00"/>
    <d v="2024-01-15T00:00:00"/>
    <n v="9000.9"/>
    <n v="5400.75"/>
    <n v="685"/>
    <n v="39000"/>
    <x v="0"/>
    <x v="1"/>
    <n v="0"/>
    <s v="Active"/>
    <n v="0.13848076923076924"/>
    <n v="0"/>
    <x v="0"/>
    <x v="1"/>
    <x v="1"/>
  </r>
  <r>
    <s v="Kenji Yamada"/>
    <s v="kenji_y5"/>
    <x v="0"/>
    <x v="1"/>
    <s v="Tokyo"/>
    <n v="61"/>
    <s v="Male"/>
    <s v="kenji.yamada5@mail.jp"/>
    <s v="+81-80-5678-9012"/>
    <d v="2016-12-15T00:00:00"/>
    <d v="2024-01-08T00:00:00"/>
    <n v="298800.25"/>
    <n v="85000.4"/>
    <n v="840"/>
    <n v="293000"/>
    <x v="1"/>
    <x v="0"/>
    <n v="0"/>
    <s v="Active"/>
    <n v="0.2901037542662116"/>
    <n v="7"/>
    <x v="1"/>
    <x v="4"/>
    <x v="3"/>
  </r>
  <r>
    <s v="Ngozi Eze"/>
    <s v="ngozi_e5"/>
    <x v="2"/>
    <x v="6"/>
    <s v="Lagos"/>
    <n v="53"/>
    <s v="Female"/>
    <s v="ngozi.eze5@company.ng"/>
    <s v="+234-817-890-1234"/>
    <d v="2018-05-22T00:00:00"/>
    <d v="2024-01-09T00:00:00"/>
    <n v="179200.4"/>
    <n v="85000.75"/>
    <n v="650"/>
    <n v="188000"/>
    <x v="2"/>
    <x v="0"/>
    <n v="0"/>
    <s v="Active"/>
    <n v="0.45213164893617019"/>
    <n v="6"/>
    <x v="3"/>
    <x v="2"/>
    <x v="2"/>
  </r>
  <r>
    <s v="Thomas Schmidt"/>
    <s v="thomas_s5"/>
    <x v="3"/>
    <x v="7"/>
    <s v="Berlin"/>
    <n v="40"/>
    <s v="Male"/>
    <s v="thomas.schmidt5@email.de"/>
    <s v="+49-179-0123456"/>
    <d v="2021-09-28T00:00:00"/>
    <d v="2024-01-12T00:00:00"/>
    <n v="77800.399999999994"/>
    <n v="33100.25"/>
    <n v="745"/>
    <n v="132000"/>
    <x v="0"/>
    <x v="0"/>
    <n v="0"/>
    <s v="Active"/>
    <n v="0.25075946969696972"/>
    <n v="3"/>
    <x v="0"/>
    <x v="0"/>
    <x v="2"/>
  </r>
  <r>
    <s v="Lina Chen"/>
    <s v="lina_c5"/>
    <x v="5"/>
    <x v="4"/>
    <s v="Beijing"/>
    <n v="35"/>
    <s v="Female"/>
    <s v="lina.chen5@mail.cn"/>
    <s v="+86-137-0123-4567"/>
    <d v="2022-03-22T00:00:00"/>
    <d v="2024-01-11T00:00:00"/>
    <n v="17800.8"/>
    <n v="7600.9"/>
    <n v="765"/>
    <n v="64000"/>
    <x v="1"/>
    <x v="0"/>
    <n v="0"/>
    <s v="Active"/>
    <n v="0.11876406249999999"/>
    <n v="4"/>
    <x v="2"/>
    <x v="0"/>
    <x v="1"/>
  </r>
  <r>
    <s v="Ahmed Hassan"/>
    <s v="ahmed_h5"/>
    <x v="4"/>
    <x v="20"/>
    <s v="Cairo"/>
    <n v="48"/>
    <s v="Male"/>
    <s v="ahmed.hassan5@email.eg"/>
    <s v="+20-100-765-4321"/>
    <d v="2020-02-28T00:00:00"/>
    <d v="2024-01-10T00:00:00"/>
    <n v="51100.75"/>
    <n v="24200.400000000001"/>
    <n v="675"/>
    <n v="104000"/>
    <x v="0"/>
    <x v="0"/>
    <n v="0"/>
    <s v="Active"/>
    <n v="0.23269615384615386"/>
    <n v="5"/>
    <x v="0"/>
    <x v="2"/>
    <x v="0"/>
  </r>
  <r>
    <s v="Sophie Martin"/>
    <s v="sophie_m5"/>
    <x v="6"/>
    <x v="10"/>
    <s v="Paris"/>
    <n v="27"/>
    <s v="Female"/>
    <s v="sophie.martin5@edu.fr"/>
    <s v="+33-6-7890-1234"/>
    <d v="2023-11-08T00:00:00"/>
    <d v="2024-01-13T00:00:00"/>
    <n v="2500.25"/>
    <n v="11000.6"/>
    <n v="615"/>
    <n v="24000"/>
    <x v="2"/>
    <x v="1"/>
    <n v="0"/>
    <s v="Active"/>
    <n v="0.45835833333333337"/>
    <n v="2"/>
    <x v="3"/>
    <x v="1"/>
    <x v="1"/>
  </r>
  <r>
    <s v="Raj Kumar"/>
    <s v="raj_kumar5"/>
    <x v="2"/>
    <x v="2"/>
    <s v="Delhi"/>
    <n v="55"/>
    <s v="Male"/>
    <s v="raj.kumar5@company.in"/>
    <s v="+91-987-654-3210"/>
    <d v="2018-04-18T00:00:00"/>
    <d v="2024-01-08T00:00:00"/>
    <n v="213800.8"/>
    <n v="98000.25"/>
    <n v="660"/>
    <n v="223000"/>
    <x v="2"/>
    <x v="0"/>
    <n v="0"/>
    <s v="Active"/>
    <n v="0.43946300448430492"/>
    <n v="7"/>
    <x v="3"/>
    <x v="4"/>
    <x v="3"/>
  </r>
  <r>
    <s v="Maria Gonzalez"/>
    <s v="maria_g6"/>
    <x v="3"/>
    <x v="13"/>
    <s v="Guadalajara"/>
    <n v="42"/>
    <s v="Female"/>
    <s v="maria.gonzalez6@email.mx"/>
    <s v="+52-33-3456-7890"/>
    <d v="2020-08-22T00:00:00"/>
    <d v="2024-01-11T00:00:00"/>
    <n v="72200.899999999994"/>
    <n v="30000.75"/>
    <n v="730"/>
    <n v="127000"/>
    <x v="0"/>
    <x v="0"/>
    <n v="0"/>
    <s v="Active"/>
    <n v="0.23622637795275592"/>
    <n v="4"/>
    <x v="0"/>
    <x v="0"/>
    <x v="2"/>
  </r>
  <r>
    <s v="Yuki Kobayashi"/>
    <s v="yuki_k5"/>
    <x v="1"/>
    <x v="1"/>
    <s v="Osaka"/>
    <n v="31"/>
    <s v="Female"/>
    <s v="yuki.kobayashi5@mail.jp"/>
    <s v="+81-90-6789-0123"/>
    <d v="2023-07-12T00:00:00"/>
    <d v="2024-01-14T00:00:00"/>
    <n v="10100.4"/>
    <n v="6000.25"/>
    <n v="705"/>
    <n v="41000"/>
    <x v="0"/>
    <x v="1"/>
    <n v="0"/>
    <s v="Active"/>
    <n v="0.14634756097560975"/>
    <n v="1"/>
    <x v="0"/>
    <x v="1"/>
    <x v="1"/>
  </r>
  <r>
    <s v="Kwame Asante"/>
    <s v="kwame_a5"/>
    <x v="5"/>
    <x v="15"/>
    <s v="Accra"/>
    <n v="36"/>
    <s v="Male"/>
    <s v="kwame.asante5@email.gh"/>
    <s v="+233-58-901-2345"/>
    <d v="2022-02-12T00:00:00"/>
    <d v="2024-01-12T00:00:00"/>
    <n v="16700.599999999999"/>
    <n v="7000.8"/>
    <n v="710"/>
    <n v="57000"/>
    <x v="1"/>
    <x v="0"/>
    <n v="0"/>
    <s v="Active"/>
    <n v="0.12282105263157896"/>
    <n v="3"/>
    <x v="0"/>
    <x v="0"/>
    <x v="1"/>
  </r>
  <r>
    <s v="Anna Petrova"/>
    <s v="anna_p5"/>
    <x v="4"/>
    <x v="12"/>
    <s v="Moscow"/>
    <n v="43"/>
    <s v="Female"/>
    <s v="anna.petrova5@email.ru"/>
    <s v="+7-915-543-21-09"/>
    <d v="2020-03-22T00:00:00"/>
    <d v="2024-01-10T00:00:00"/>
    <n v="48000.25"/>
    <n v="21100.9"/>
    <n v="695"/>
    <n v="92000"/>
    <x v="0"/>
    <x v="0"/>
    <n v="0"/>
    <s v="Active"/>
    <n v="0.22935760869565219"/>
    <n v="5"/>
    <x v="0"/>
    <x v="0"/>
    <x v="0"/>
  </r>
  <r>
    <s v="Liam O'Brien"/>
    <s v="liam_obrien5"/>
    <x v="2"/>
    <x v="11"/>
    <s v="Cork"/>
    <n v="51"/>
    <s v="Male"/>
    <s v="liam.obrien5@company.ie"/>
    <s v="+353-90-890-1234"/>
    <d v="2018-09-15T00:00:00"/>
    <d v="2024-01-09T00:00:00"/>
    <n v="146000.4"/>
    <n v="72000.600000000006"/>
    <n v="670"/>
    <n v="159000"/>
    <x v="2"/>
    <x v="0"/>
    <n v="0"/>
    <s v="Active"/>
    <n v="0.45283396226415096"/>
    <n v="6"/>
    <x v="0"/>
    <x v="2"/>
    <x v="2"/>
  </r>
  <r>
    <s v="Ying Wang"/>
    <s v="ying_w5"/>
    <x v="0"/>
    <x v="4"/>
    <s v="Shanghai"/>
    <n v="59"/>
    <s v="Female"/>
    <s v="ying.wang5@mail.cn"/>
    <s v="+86-139-7890-1234"/>
    <d v="2017-07-12T00:00:00"/>
    <d v="2024-01-08T00:00:00"/>
    <n v="312900.75"/>
    <n v="89000.8"/>
    <n v="835"/>
    <n v="304000"/>
    <x v="1"/>
    <x v="0"/>
    <n v="0"/>
    <s v="Active"/>
    <n v="0.2927657894736842"/>
    <n v="7"/>
    <x v="1"/>
    <x v="4"/>
    <x v="3"/>
  </r>
  <r>
    <s v="Adeola Yusuf"/>
    <s v="adeola_y5"/>
    <x v="4"/>
    <x v="6"/>
    <s v="Abuja"/>
    <n v="46"/>
    <s v="Female"/>
    <s v="adeola.yusuf5@email.ng"/>
    <s v="+234-818-901-2345"/>
    <d v="2020-02-15T00:00:00"/>
    <d v="2024-01-11T00:00:00"/>
    <n v="56700.6"/>
    <n v="26700.25"/>
    <n v="665"/>
    <n v="112000"/>
    <x v="0"/>
    <x v="0"/>
    <n v="0"/>
    <s v="Active"/>
    <n v="0.23839508928571429"/>
    <n v="4"/>
    <x v="3"/>
    <x v="2"/>
    <x v="0"/>
  </r>
  <r>
    <s v="Marco Bianchi"/>
    <s v="marco_b5"/>
    <x v="3"/>
    <x v="18"/>
    <s v="Rome"/>
    <n v="38"/>
    <s v="Male"/>
    <s v="marco.bianchi5@email.it"/>
    <s v="+39-352-678-9012"/>
    <d v="2021-11-08T00:00:00"/>
    <d v="2024-01-12T00:00:00"/>
    <n v="80000.800000000003"/>
    <n v="34200.400000000001"/>
    <n v="750"/>
    <n v="138000"/>
    <x v="0"/>
    <x v="0"/>
    <n v="0"/>
    <s v="Active"/>
    <n v="0.24782898550724639"/>
    <n v="3"/>
    <x v="2"/>
    <x v="0"/>
    <x v="2"/>
  </r>
  <r>
    <s v="Jennifer Kim"/>
    <s v="jennifer_k5"/>
    <x v="5"/>
    <x v="0"/>
    <s v="San Francisco"/>
    <n v="34"/>
    <s v="Female"/>
    <s v="jennifer.kim5@email.com"/>
    <s v="+1-415-555-0194"/>
    <d v="2022-05-22T00:00:00"/>
    <d v="2024-01-14T00:00:00"/>
    <n v="18900.900000000001"/>
    <n v="8000.75"/>
    <n v="770"/>
    <n v="69000"/>
    <x v="1"/>
    <x v="0"/>
    <n v="0"/>
    <s v="Active"/>
    <n v="0.11595289855072463"/>
    <n v="1"/>
    <x v="2"/>
    <x v="1"/>
    <x v="1"/>
  </r>
  <r>
    <s v="Rahman Hussain"/>
    <s v="rahman_h5"/>
    <x v="2"/>
    <x v="25"/>
    <s v="Islamabad"/>
    <n v="57"/>
    <s v="Male"/>
    <s v="rahman.hussain5@company.pk"/>
    <s v="+92-304-5432109"/>
    <d v="2017-12-28T00:00:00"/>
    <d v="2024-01-08T00:00:00"/>
    <n v="199100.25"/>
    <n v="93000.8"/>
    <n v="645"/>
    <n v="209000"/>
    <x v="2"/>
    <x v="0"/>
    <n v="0"/>
    <s v="Active"/>
    <n v="0.44497990430622009"/>
    <n v="7"/>
    <x v="3"/>
    <x v="4"/>
    <x v="3"/>
  </r>
  <r>
    <s v="Sofia Martinez"/>
    <s v="sofia_m5"/>
    <x v="1"/>
    <x v="14"/>
    <s v="Barcelona"/>
    <n v="30"/>
    <s v="Female"/>
    <s v="sofia.martinez5@mail.es"/>
    <s v="+34-627-890-123"/>
    <d v="2023-08-08T00:00:00"/>
    <d v="2024-01-15T00:00:00"/>
    <n v="14200.5"/>
    <n v="7600.4"/>
    <n v="720"/>
    <n v="46000"/>
    <x v="1"/>
    <x v="0"/>
    <n v="0"/>
    <s v="Active"/>
    <n v="0.16522608695652174"/>
    <n v="0"/>
    <x v="0"/>
    <x v="1"/>
    <x v="1"/>
  </r>
  <r>
    <s v="Kenji Sato"/>
    <s v="kenji_sato6"/>
    <x v="6"/>
    <x v="1"/>
    <s v="Tokyo"/>
    <n v="26"/>
    <s v="Male"/>
    <s v="kenji.sato6@edu.jp"/>
    <s v="+81-90-9012-3456"/>
    <d v="2023-12-15T00:00:00"/>
    <d v="2024-01-13T00:00:00"/>
    <n v="2250.8000000000002"/>
    <n v="9400.25"/>
    <n v="605"/>
    <n v="22000"/>
    <x v="2"/>
    <x v="1"/>
    <n v="0"/>
    <s v="Active"/>
    <n v="0.42728409090909092"/>
    <n v="2"/>
    <x v="3"/>
    <x v="1"/>
    <x v="1"/>
  </r>
  <r>
    <s v="Fatoumata Bello"/>
    <s v="fatou_b5"/>
    <x v="3"/>
    <x v="19"/>
    <s v="Dakar"/>
    <n v="40"/>
    <s v="Female"/>
    <s v="fatoumata.bello5@email.sn"/>
    <s v="+221-82-678-9012"/>
    <d v="2021-07-22T00:00:00"/>
    <d v="2024-01-11T00:00:00"/>
    <n v="66700.399999999994"/>
    <n v="28900.75"/>
    <n v="710"/>
    <n v="120000"/>
    <x v="0"/>
    <x v="0"/>
    <n v="0"/>
    <s v="Active"/>
    <n v="0.24083958333333333"/>
    <n v="4"/>
    <x v="0"/>
    <x v="0"/>
    <x v="0"/>
  </r>
  <r>
    <s v="David Wilson"/>
    <s v="david_w5"/>
    <x v="2"/>
    <x v="3"/>
    <s v="Manchester"/>
    <n v="54"/>
    <s v="Male"/>
    <s v="david.wilson5@company.co.uk"/>
    <s v="+44-79-9012-3456"/>
    <d v="2018-06-12T00:00:00"/>
    <d v="2024-01-09T00:00:00"/>
    <n v="179300.6"/>
    <n v="86000.25"/>
    <n v="675"/>
    <n v="189000"/>
    <x v="2"/>
    <x v="0"/>
    <n v="0"/>
    <s v="Active"/>
    <n v="0.45502777777777775"/>
    <n v="6"/>
    <x v="0"/>
    <x v="2"/>
    <x v="2"/>
  </r>
  <r>
    <s v="Lina Park"/>
    <s v="lina_park5"/>
    <x v="4"/>
    <x v="17"/>
    <s v="Busan"/>
    <n v="39"/>
    <s v="Female"/>
    <s v="lina.park5@email.kr"/>
    <s v="+82-10-8901-2345"/>
    <d v="2020-12-28T00:00:00"/>
    <d v="2024-01-10T00:00:00"/>
    <n v="43100.75"/>
    <n v="20000.8"/>
    <n v="725"/>
    <n v="86000"/>
    <x v="0"/>
    <x v="0"/>
    <n v="0"/>
    <s v="Active"/>
    <n v="0.2325674418604651"/>
    <n v="5"/>
    <x v="0"/>
    <x v="0"/>
    <x v="0"/>
  </r>
  <r>
    <s v="Ahmed Al-Mansoori"/>
    <s v="ahmed_alm5"/>
    <x v="5"/>
    <x v="8"/>
    <s v="Dubai"/>
    <n v="37"/>
    <s v="Male"/>
    <s v="ahmed.almansoori5@email.ae"/>
    <s v="+971-50-012-3456"/>
    <d v="2022-03-18T00:00:00"/>
    <d v="2024-01-12T00:00:00"/>
    <n v="21100.400000000001"/>
    <n v="8800.9"/>
    <n v="740"/>
    <n v="72000"/>
    <x v="1"/>
    <x v="0"/>
    <n v="0"/>
    <s v="Active"/>
    <n v="0.12223472222222222"/>
    <n v="3"/>
    <x v="0"/>
    <x v="0"/>
    <x v="1"/>
  </r>
  <r>
    <s v="Maria Costa"/>
    <s v="maria_costa5"/>
    <x v="0"/>
    <x v="5"/>
    <s v="Rio de Janeiro"/>
    <n v="60"/>
    <s v="Female"/>
    <s v="maria.costa5@mail.com.br"/>
    <s v="+55-21-99012-3456"/>
    <d v="2017-03-05T00:00:00"/>
    <d v="2024-01-08T00:00:00"/>
    <n v="268200.90000000002"/>
    <n v="76000.600000000006"/>
    <n v="830"/>
    <n v="284000"/>
    <x v="1"/>
    <x v="0"/>
    <n v="0"/>
    <s v="Active"/>
    <n v="0.26760774647887325"/>
    <n v="7"/>
    <x v="1"/>
    <x v="4"/>
    <x v="3"/>
  </r>
  <r>
    <s v="Chinedu Nwankwo"/>
    <s v="chinedu_n5"/>
    <x v="2"/>
    <x v="6"/>
    <s v="Lagos"/>
    <n v="52"/>
    <s v="Male"/>
    <s v="chinedu.nwankwo5@company.ng"/>
    <s v="+234-819-012-3456"/>
    <d v="2018-11-22T00:00:00"/>
    <d v="2024-01-09T00:00:00"/>
    <n v="157100.25"/>
    <n v="78000.399999999994"/>
    <n v="655"/>
    <n v="174000"/>
    <x v="2"/>
    <x v="0"/>
    <n v="0"/>
    <s v="Active"/>
    <n v="0.4482781609195402"/>
    <n v="6"/>
    <x v="3"/>
    <x v="2"/>
    <x v="2"/>
  </r>
  <r>
    <s v="Isabelle Moreau"/>
    <s v="isabelle_m5"/>
    <x v="3"/>
    <x v="9"/>
    <s v="Vancouver"/>
    <n v="41"/>
    <s v="Female"/>
    <s v="isabelle.moreau5@email.ca"/>
    <s v="+1-604-555-0198"/>
    <d v="2021-04-28T00:00:00"/>
    <d v="2024-01-11T00:00:00"/>
    <n v="85600.6"/>
    <n v="36900.75"/>
    <n v="760"/>
    <n v="143000"/>
    <x v="0"/>
    <x v="0"/>
    <n v="0"/>
    <s v="Active"/>
    <n v="0.25804720279720278"/>
    <n v="4"/>
    <x v="2"/>
    <x v="0"/>
    <x v="2"/>
  </r>
  <r>
    <s v="Rahman Ali"/>
    <s v="rahman_ali6"/>
    <x v="1"/>
    <x v="36"/>
    <s v="Surabaya"/>
    <n v="32"/>
    <s v="Male"/>
    <s v="rahman.ali6@mail.id"/>
    <s v="+62-816-7890-1234"/>
    <d v="2023-06-05T00:00:00"/>
    <d v="2024-01-15T00:00:00"/>
    <n v="10400.25"/>
    <n v="6100.8"/>
    <n v="695"/>
    <n v="43000"/>
    <x v="0"/>
    <x v="1"/>
    <n v="0"/>
    <s v="Active"/>
    <n v="0.14187906976744186"/>
    <n v="0"/>
    <x v="0"/>
    <x v="1"/>
    <x v="1"/>
  </r>
  <r>
    <s v="Sarah Johnson"/>
    <s v="sarah_j5"/>
    <x v="5"/>
    <x v="0"/>
    <s v="New York"/>
    <n v="35"/>
    <s v="Female"/>
    <s v="sarah.johnson5@email.com"/>
    <s v="+1-646-555-0180"/>
    <d v="2022-01-12T00:00:00"/>
    <d v="2024-01-12T00:00:00"/>
    <n v="20000.900000000001"/>
    <n v="8400.25"/>
    <n v="755"/>
    <n v="65000"/>
    <x v="1"/>
    <x v="0"/>
    <n v="0"/>
    <s v="Active"/>
    <n v="0.12923461538461539"/>
    <n v="3"/>
    <x v="2"/>
    <x v="0"/>
    <x v="1"/>
  </r>
  <r>
    <s v="Wei Zhang"/>
    <s v="wei_zhang5"/>
    <x v="2"/>
    <x v="4"/>
    <s v="Beijing"/>
    <n v="53"/>
    <s v="Male"/>
    <s v="wei.zhang5@company.cn"/>
    <s v="+86-138-1234-5678"/>
    <d v="2018-08-28T00:00:00"/>
    <d v="2024-01-09T00:00:00"/>
    <n v="190000.4"/>
    <n v="91000.75"/>
    <n v="685"/>
    <n v="199000"/>
    <x v="2"/>
    <x v="0"/>
    <n v="0"/>
    <s v="Active"/>
    <n v="0.4572902010050251"/>
    <n v="6"/>
    <x v="0"/>
    <x v="2"/>
    <x v="3"/>
  </r>
  <r>
    <s v="Anna Kowalski"/>
    <s v="anna_k6"/>
    <x v="4"/>
    <x v="37"/>
    <s v="Warsaw"/>
    <n v="44"/>
    <s v="Female"/>
    <s v="anna.kowalski6@email.pl"/>
    <s v="+48-704-678-901"/>
    <d v="2020-05-15T00:00:00"/>
    <d v="2024-01-10T00:00:00"/>
    <n v="50000.800000000003"/>
    <n v="23100.6"/>
    <n v="715"/>
    <n v="98000"/>
    <x v="0"/>
    <x v="0"/>
    <n v="0"/>
    <s v="Active"/>
    <n v="0.23572040816326528"/>
    <n v="5"/>
    <x v="0"/>
    <x v="0"/>
    <x v="0"/>
  </r>
  <r>
    <s v="Mohammed Rahman"/>
    <s v="m_rahman6"/>
    <x v="3"/>
    <x v="29"/>
    <s v="Dhaka"/>
    <n v="47"/>
    <s v="Male"/>
    <s v="mohammed.rahman6@email.bd"/>
    <s v="+880-1812-890123"/>
    <d v="2020-02-22T00:00:00"/>
    <d v="2024-01-11T00:00:00"/>
    <n v="77800.25"/>
    <n v="33100.400000000001"/>
    <n v="680"/>
    <n v="127000"/>
    <x v="0"/>
    <x v="0"/>
    <n v="0"/>
    <s v="Active"/>
    <n v="0.26063307086614174"/>
    <n v="4"/>
    <x v="0"/>
    <x v="2"/>
    <x v="2"/>
  </r>
  <r>
    <s v="Yumi Tanaka"/>
    <s v="yumi_tanaka5"/>
    <x v="6"/>
    <x v="1"/>
    <s v="Osaka"/>
    <n v="27"/>
    <s v="Female"/>
    <s v="yumi.tanaka5@edu.jp"/>
    <s v="+81-90-0123-4567"/>
    <d v="2023-11-08T00:00:00"/>
    <d v="2024-01-13T00:00:00"/>
    <n v="2350.4"/>
    <n v="10000.75"/>
    <n v="610"/>
    <n v="23000"/>
    <x v="2"/>
    <x v="1"/>
    <n v="0"/>
    <s v="Active"/>
    <n v="0.43481521739130435"/>
    <n v="2"/>
    <x v="3"/>
    <x v="1"/>
    <x v="1"/>
  </r>
  <r>
    <s v="Carlos Mendez"/>
    <s v="carlos_m5"/>
    <x v="0"/>
    <x v="13"/>
    <s v="Mexico City"/>
    <n v="59"/>
    <s v="Male"/>
    <s v="carlos.mendez5@mail.mx"/>
    <s v="+52-55-7890-1234"/>
    <d v="2017-10-22T00:00:00"/>
    <d v="2024-01-08T00:00:00"/>
    <n v="288000.8"/>
    <n v="82000.25"/>
    <n v="825"/>
    <n v="279000"/>
    <x v="1"/>
    <x v="0"/>
    <n v="0"/>
    <s v="Active"/>
    <n v="0.29390770609318995"/>
    <n v="7"/>
    <x v="1"/>
    <x v="4"/>
    <x v="3"/>
  </r>
  <r>
    <s v="Aisha Mohammed"/>
    <s v="aisha_m6"/>
    <x v="5"/>
    <x v="16"/>
    <s v="Mombasa"/>
    <n v="34"/>
    <s v="Female"/>
    <s v="aisha.mohammed6@email.ke"/>
    <s v="+254-728-901-234"/>
    <d v="2022-07-18T00:00:00"/>
    <d v="2024-01-14T00:00:00"/>
    <n v="16700.75"/>
    <n v="6800.4"/>
    <n v="725"/>
    <n v="55000"/>
    <x v="1"/>
    <x v="0"/>
    <n v="0"/>
    <s v="Active"/>
    <n v="0.12364363636363636"/>
    <n v="1"/>
    <x v="0"/>
    <x v="1"/>
    <x v="1"/>
  </r>
  <r>
    <s v="David Chen"/>
    <s v="david_chen6"/>
    <x v="2"/>
    <x v="23"/>
    <s v="Singapore"/>
    <n v="51"/>
    <s v="Male"/>
    <s v="david.chen6@company.sg"/>
    <s v="+65-8789-0123"/>
    <d v="2019-02-28T00:00:00"/>
    <d v="2024-01-09T00:00:00"/>
    <n v="168200.6"/>
    <n v="82000.899999999994"/>
    <n v="675"/>
    <n v="179000"/>
    <x v="2"/>
    <x v="0"/>
    <n v="0"/>
    <s v="Active"/>
    <n v="0.45810558659217876"/>
    <n v="6"/>
    <x v="0"/>
    <x v="2"/>
    <x v="2"/>
  </r>
  <r>
    <s v="Maria Papadopoulos"/>
    <s v="maria_p6"/>
    <x v="4"/>
    <x v="38"/>
    <s v="Athens"/>
    <n v="42"/>
    <s v="Female"/>
    <s v="maria.papadopoulos6@email.gr"/>
    <s v="+30-696-789-0123"/>
    <d v="2021-03-22T00:00:00"/>
    <d v="2024-01-11T00:00:00"/>
    <n v="44200.4"/>
    <n v="18900.25"/>
    <n v="705"/>
    <n v="87000"/>
    <x v="0"/>
    <x v="0"/>
    <n v="0"/>
    <s v="Active"/>
    <n v="0.21724425287356322"/>
    <n v="4"/>
    <x v="0"/>
    <x v="0"/>
    <x v="0"/>
  </r>
  <r>
    <s v="James Wilson"/>
    <s v="j_wilson6"/>
    <x v="3"/>
    <x v="26"/>
    <s v="Sydney"/>
    <n v="45"/>
    <s v="Male"/>
    <s v="james.wilson6@email.au"/>
    <s v="+61-428-901-234"/>
    <d v="2019-10-08T00:00:00"/>
    <d v="2024-01-10T00:00:00"/>
    <n v="91100.75"/>
    <n v="40000.800000000003"/>
    <n v="730"/>
    <n v="153000"/>
    <x v="0"/>
    <x v="0"/>
    <n v="0"/>
    <s v="Active"/>
    <n v="0.26144313725490198"/>
    <n v="5"/>
    <x v="0"/>
    <x v="2"/>
    <x v="2"/>
  </r>
  <r>
    <s v="Fatima Zahra"/>
    <s v="f_zahra6"/>
    <x v="1"/>
    <x v="25"/>
    <s v="Karachi"/>
    <n v="30"/>
    <s v="Female"/>
    <s v="fatima.zahra6@mail.pk"/>
    <s v="+92-326-4321098"/>
    <d v="2023-07-28T00:00:00"/>
    <d v="2024-01-15T00:00:00"/>
    <n v="9400.9"/>
    <n v="5700.75"/>
    <n v="685"/>
    <n v="40000"/>
    <x v="0"/>
    <x v="1"/>
    <n v="0"/>
    <s v="Active"/>
    <n v="0.14251875"/>
    <n v="0"/>
    <x v="0"/>
    <x v="1"/>
    <x v="1"/>
  </r>
  <r>
    <s v="Kenji Yamada"/>
    <s v="kenji_y6"/>
    <x v="0"/>
    <x v="1"/>
    <s v="Tokyo"/>
    <n v="62"/>
    <s v="Male"/>
    <s v="kenji.yamada6@mail.jp"/>
    <s v="+81-80-6789-0123"/>
    <d v="2017-01-18T00:00:00"/>
    <d v="2024-01-08T00:00:00"/>
    <n v="298900.25"/>
    <n v="86000.4"/>
    <n v="840"/>
    <n v="294000"/>
    <x v="1"/>
    <x v="0"/>
    <n v="0"/>
    <s v="Active"/>
    <n v="0.29251836734693876"/>
    <n v="7"/>
    <x v="1"/>
    <x v="4"/>
    <x v="3"/>
  </r>
  <r>
    <s v="Ngozi Eze"/>
    <s v="ngozi_e6"/>
    <x v="2"/>
    <x v="6"/>
    <s v="Port Harcourt"/>
    <n v="54"/>
    <s v="Female"/>
    <s v="ngozi.eze6@company.ng"/>
    <s v="+234-818-901-2345"/>
    <d v="2018-06-28T00:00:00"/>
    <d v="2024-01-09T00:00:00"/>
    <n v="179300.4"/>
    <n v="86000.75"/>
    <n v="650"/>
    <n v="189000"/>
    <x v="2"/>
    <x v="0"/>
    <n v="0"/>
    <s v="Active"/>
    <n v="0.45503042328042326"/>
    <n v="6"/>
    <x v="3"/>
    <x v="2"/>
    <x v="2"/>
  </r>
  <r>
    <s v="Thomas Schmidt"/>
    <s v="thomas_s6"/>
    <x v="3"/>
    <x v="7"/>
    <s v="Hamburg"/>
    <n v="41"/>
    <s v="Male"/>
    <s v="thomas.schmidt6@email.de"/>
    <s v="+49-180-1234567"/>
    <d v="2021-10-22T00:00:00"/>
    <d v="2024-01-12T00:00:00"/>
    <n v="78900.399999999994"/>
    <n v="34200.25"/>
    <n v="745"/>
    <n v="133000"/>
    <x v="0"/>
    <x v="0"/>
    <n v="0"/>
    <s v="Active"/>
    <n v="0.25714473684210526"/>
    <n v="3"/>
    <x v="0"/>
    <x v="0"/>
    <x v="2"/>
  </r>
  <r>
    <s v="Lina Chen"/>
    <s v="lina_c6"/>
    <x v="5"/>
    <x v="4"/>
    <s v="Shanghai"/>
    <n v="36"/>
    <s v="Female"/>
    <s v="lina.chen6@mail.cn"/>
    <s v="+86-137-1234-5678"/>
    <d v="2022-04-15T00:00:00"/>
    <d v="2024-01-11T00:00:00"/>
    <n v="18900.8"/>
    <n v="8000.9"/>
    <n v="765"/>
    <n v="65000"/>
    <x v="1"/>
    <x v="0"/>
    <n v="0"/>
    <s v="Active"/>
    <n v="0.12309076923076923"/>
    <n v="4"/>
    <x v="2"/>
    <x v="0"/>
    <x v="1"/>
  </r>
  <r>
    <s v="Ahmed Hassan"/>
    <s v="ahmed_h6"/>
    <x v="4"/>
    <x v="20"/>
    <s v="Alexandria"/>
    <n v="49"/>
    <s v="Male"/>
    <s v="ahmed.hassan6@email.eg"/>
    <s v="+20-122-654-3210"/>
    <d v="2020-04-08T00:00:00"/>
    <d v="2024-01-10T00:00:00"/>
    <n v="52200.75"/>
    <n v="25300.400000000001"/>
    <n v="675"/>
    <n v="105000"/>
    <x v="0"/>
    <x v="0"/>
    <n v="0"/>
    <s v="Active"/>
    <n v="0.24095619047619049"/>
    <n v="5"/>
    <x v="0"/>
    <x v="2"/>
    <x v="0"/>
  </r>
  <r>
    <s v="Sophie Martin"/>
    <s v="sophie_m6"/>
    <x v="6"/>
    <x v="10"/>
    <s v="Lyon"/>
    <n v="28"/>
    <s v="Female"/>
    <s v="sophie.martin6@edu.fr"/>
    <s v="+33-6-8901-2345"/>
    <d v="2023-12-12T00:00:00"/>
    <d v="2024-01-13T00:00:00"/>
    <n v="2600.25"/>
    <n v="11200.6"/>
    <n v="615"/>
    <n v="25000"/>
    <x v="2"/>
    <x v="1"/>
    <n v="0"/>
    <s v="Active"/>
    <n v="0.44802400000000003"/>
    <n v="2"/>
    <x v="3"/>
    <x v="1"/>
    <x v="1"/>
  </r>
  <r>
    <s v="Raj Kumar"/>
    <s v="raj_kumar6"/>
    <x v="2"/>
    <x v="2"/>
    <s v="Mumbai"/>
    <n v="56"/>
    <s v="Male"/>
    <s v="raj.kumar6@company.in"/>
    <s v="+91-987-654-3210"/>
    <d v="2018-05-12T00:00:00"/>
    <d v="2024-01-08T00:00:00"/>
    <n v="213900.79999999999"/>
    <n v="99000.25"/>
    <n v="660"/>
    <n v="224000"/>
    <x v="2"/>
    <x v="0"/>
    <n v="0"/>
    <s v="Active"/>
    <n v="0.44196540178571431"/>
    <n v="7"/>
    <x v="3"/>
    <x v="4"/>
    <x v="3"/>
  </r>
  <r>
    <s v="Maria Gonzalez"/>
    <s v="maria_g7"/>
    <x v="3"/>
    <x v="13"/>
    <s v="Mexico City"/>
    <n v="43"/>
    <s v="Female"/>
    <s v="maria.gonzalez7@email.mx"/>
    <s v="+52-55-8901-2345"/>
    <d v="2020-09-28T00:00:00"/>
    <d v="2024-01-11T00:00:00"/>
    <n v="73300.899999999994"/>
    <n v="31100.75"/>
    <n v="730"/>
    <n v="128000"/>
    <x v="0"/>
    <x v="0"/>
    <n v="0"/>
    <s v="Active"/>
    <n v="0.24297460937500001"/>
    <n v="4"/>
    <x v="0"/>
    <x v="0"/>
    <x v="2"/>
  </r>
  <r>
    <s v="Yuki Kobayashi"/>
    <s v="yuki_k6"/>
    <x v="1"/>
    <x v="1"/>
    <s v="Osaka"/>
    <n v="32"/>
    <s v="Female"/>
    <s v="yuki.kobayashi6@mail.jp"/>
    <s v="+81-90-7890-1234"/>
    <d v="2023-08-18T00:00:00"/>
    <d v="2024-01-14T00:00:00"/>
    <n v="10500.4"/>
    <n v="6200.25"/>
    <n v="705"/>
    <n v="42000"/>
    <x v="0"/>
    <x v="1"/>
    <n v="0"/>
    <s v="Active"/>
    <n v="0.14762500000000001"/>
    <n v="1"/>
    <x v="0"/>
    <x v="1"/>
    <x v="1"/>
  </r>
  <r>
    <s v="Kwame Asante"/>
    <s v="kwame_a6"/>
    <x v="5"/>
    <x v="15"/>
    <s v="Accra"/>
    <n v="37"/>
    <s v="Male"/>
    <s v="kwame.asante6@email.gh"/>
    <s v="+233-59-012-3456"/>
    <d v="2022-03-22T00:00:00"/>
    <d v="2024-01-12T00:00:00"/>
    <n v="17800.599999999999"/>
    <n v="7400.8"/>
    <n v="710"/>
    <n v="58000"/>
    <x v="1"/>
    <x v="0"/>
    <n v="0"/>
    <s v="Active"/>
    <n v="0.12759999999999999"/>
    <n v="3"/>
    <x v="0"/>
    <x v="0"/>
    <x v="1"/>
  </r>
  <r>
    <s v="Anna Petrova"/>
    <s v="anna_p6"/>
    <x v="4"/>
    <x v="12"/>
    <s v="St. Petersburg"/>
    <n v="44"/>
    <s v="Female"/>
    <s v="anna.petrova6@email.ru"/>
    <s v="+7-921-432-10-98"/>
    <d v="2020-04-28T00:00:00"/>
    <d v="2024-01-10T00:00:00"/>
    <n v="49100.25"/>
    <n v="22200.9"/>
    <n v="695"/>
    <n v="93000"/>
    <x v="0"/>
    <x v="0"/>
    <n v="0"/>
    <s v="Active"/>
    <n v="0.23871935483870968"/>
    <n v="5"/>
    <x v="0"/>
    <x v="0"/>
    <x v="0"/>
  </r>
  <r>
    <s v="Liam O'Brien"/>
    <s v="liam_obrien6"/>
    <x v="2"/>
    <x v="11"/>
    <s v="Dublin"/>
    <n v="52"/>
    <s v="Male"/>
    <s v="liam.obrien6@company.ie"/>
    <s v="+353-91-901-2345"/>
    <d v="2018-10-08T00:00:00"/>
    <d v="2024-01-09T00:00:00"/>
    <n v="146100.4"/>
    <n v="73000.600000000006"/>
    <n v="670"/>
    <n v="160000"/>
    <x v="2"/>
    <x v="0"/>
    <n v="0"/>
    <s v="Active"/>
    <n v="0.45625375000000001"/>
    <n v="6"/>
    <x v="0"/>
    <x v="2"/>
    <x v="2"/>
  </r>
  <r>
    <s v="Ying Wang"/>
    <s v="ying_w6"/>
    <x v="0"/>
    <x v="4"/>
    <s v="Beijing"/>
    <n v="60"/>
    <s v="Female"/>
    <s v="ying.wang6@mail.cn"/>
    <s v="+86-139-8901-2345"/>
    <d v="2017-08-18T00:00:00"/>
    <d v="2024-01-08T00:00:00"/>
    <n v="313000.75"/>
    <n v="90000.8"/>
    <n v="835"/>
    <n v="305000"/>
    <x v="1"/>
    <x v="0"/>
    <n v="0"/>
    <s v="Active"/>
    <n v="0.29508459016393446"/>
    <n v="7"/>
    <x v="1"/>
    <x v="4"/>
    <x v="3"/>
  </r>
  <r>
    <s v="Adeola Yusuf"/>
    <s v="adeola_y6"/>
    <x v="4"/>
    <x v="6"/>
    <s v="Lagos"/>
    <n v="47"/>
    <s v="Female"/>
    <s v="adeola.yusuf6@email.ng"/>
    <s v="+234-819-012-3456"/>
    <d v="2020-03-12T00:00:00"/>
    <d v="2024-01-11T00:00:00"/>
    <n v="57800.6"/>
    <n v="27800.25"/>
    <n v="665"/>
    <n v="113000"/>
    <x v="0"/>
    <x v="0"/>
    <n v="0"/>
    <s v="Active"/>
    <n v="0.24601991150442479"/>
    <n v="4"/>
    <x v="3"/>
    <x v="2"/>
    <x v="0"/>
  </r>
  <r>
    <s v="Marco Bianchi"/>
    <s v="marco_b6"/>
    <x v="3"/>
    <x v="18"/>
    <s v="Milan"/>
    <n v="39"/>
    <s v="Male"/>
    <s v="marco.bianchi6@email.it"/>
    <s v="+39-353-789-0123"/>
    <d v="2021-12-05T00:00:00"/>
    <d v="2024-01-12T00:00:00"/>
    <n v="81100.800000000003"/>
    <n v="35300.400000000001"/>
    <n v="750"/>
    <n v="139000"/>
    <x v="0"/>
    <x v="0"/>
    <n v="0"/>
    <s v="Active"/>
    <n v="0.25395971223021585"/>
    <n v="3"/>
    <x v="2"/>
    <x v="0"/>
    <x v="2"/>
  </r>
  <r>
    <s v="Jennifer Kim"/>
    <s v="jennifer_k6"/>
    <x v="5"/>
    <x v="0"/>
    <s v="Seattle"/>
    <n v="35"/>
    <s v="Female"/>
    <s v="jennifer.kim6@email.com"/>
    <s v="+1-206-555-0196"/>
    <d v="2022-06-28T00:00:00"/>
    <d v="2024-01-14T00:00:00"/>
    <n v="20000.900000000001"/>
    <n v="8400.75"/>
    <n v="770"/>
    <n v="70000"/>
    <x v="1"/>
    <x v="0"/>
    <n v="0"/>
    <s v="Active"/>
    <n v="0.12001071428571429"/>
    <n v="1"/>
    <x v="2"/>
    <x v="0"/>
    <x v="1"/>
  </r>
  <r>
    <s v="Rahman Hussain"/>
    <s v="rahman_h6"/>
    <x v="2"/>
    <x v="25"/>
    <s v="Lahore"/>
    <n v="58"/>
    <s v="Male"/>
    <s v="rahman.hussain6@company.pk"/>
    <s v="+92-305-4321098"/>
    <d v="2018-02-05T00:00:00"/>
    <d v="2024-01-08T00:00:00"/>
    <n v="199200.25"/>
    <n v="94000.8"/>
    <n v="645"/>
    <n v="210000"/>
    <x v="2"/>
    <x v="0"/>
    <n v="0"/>
    <s v="Active"/>
    <n v="0.44762285714285716"/>
    <n v="7"/>
    <x v="3"/>
    <x v="4"/>
    <x v="3"/>
  </r>
  <r>
    <s v="Sofia Martinez"/>
    <s v="sofia_m6"/>
    <x v="1"/>
    <x v="14"/>
    <s v="Madrid"/>
    <n v="31"/>
    <s v="Female"/>
    <s v="sofia.martinez6@mail.es"/>
    <s v="+34-628-901-234"/>
    <d v="2023-09-12T00:00:00"/>
    <d v="2024-01-15T00:00:00"/>
    <n v="15200.5"/>
    <n v="8000.4"/>
    <n v="720"/>
    <n v="47000"/>
    <x v="1"/>
    <x v="0"/>
    <n v="0"/>
    <s v="Active"/>
    <n v="0.17022127659574468"/>
    <n v="0"/>
    <x v="0"/>
    <x v="1"/>
    <x v="1"/>
  </r>
  <r>
    <s v="Kenji Sato"/>
    <s v="kenji_sato7"/>
    <x v="6"/>
    <x v="1"/>
    <s v="Tokyo"/>
    <n v="27"/>
    <s v="Male"/>
    <s v="kenji.sato7@edu.jp"/>
    <s v="+81-90-0123-4567"/>
    <d v="2024-01-05T00:00:00"/>
    <d v="2024-01-13T00:00:00"/>
    <n v="2350.8000000000002"/>
    <n v="9600.25"/>
    <n v="605"/>
    <n v="23000"/>
    <x v="2"/>
    <x v="1"/>
    <n v="0"/>
    <s v="Active"/>
    <n v="0.41740217391304346"/>
    <n v="2"/>
    <x v="3"/>
    <x v="1"/>
    <x v="1"/>
  </r>
  <r>
    <s v="Fatoumata Bello"/>
    <s v="fatou_b6"/>
    <x v="3"/>
    <x v="19"/>
    <s v="Dakar"/>
    <n v="41"/>
    <s v="Female"/>
    <s v="fatoumata.bello6@email.sn"/>
    <s v="+221-83-789-0123"/>
    <d v="2021-08-28T00:00:00"/>
    <d v="2024-01-11T00:00:00"/>
    <n v="67800.399999999994"/>
    <n v="30000.75"/>
    <n v="710"/>
    <n v="121000"/>
    <x v="0"/>
    <x v="0"/>
    <n v="0"/>
    <s v="Active"/>
    <n v="0.24794008264462811"/>
    <n v="4"/>
    <x v="0"/>
    <x v="0"/>
    <x v="0"/>
  </r>
  <r>
    <s v="David Wilson"/>
    <s v="david_w6"/>
    <x v="2"/>
    <x v="3"/>
    <s v="London"/>
    <n v="55"/>
    <s v="Male"/>
    <s v="david.wilson6@company.co.uk"/>
    <s v="+44-79-0123-4567"/>
    <d v="2018-07-22T00:00:00"/>
    <d v="2024-01-09T00:00:00"/>
    <n v="179400.6"/>
    <n v="87000.25"/>
    <n v="675"/>
    <n v="190000"/>
    <x v="2"/>
    <x v="0"/>
    <n v="0"/>
    <s v="Active"/>
    <n v="0.45789605263157895"/>
    <n v="6"/>
    <x v="0"/>
    <x v="4"/>
    <x v="2"/>
  </r>
  <r>
    <s v="Lina Park"/>
    <s v="lina_park6"/>
    <x v="4"/>
    <x v="17"/>
    <s v="Seoul"/>
    <n v="40"/>
    <s v="Female"/>
    <s v="lina.park6@email.kr"/>
    <s v="+82-10-9012-3456"/>
    <d v="2021-01-15T00:00:00"/>
    <d v="2024-01-10T00:00:00"/>
    <n v="44200.75"/>
    <n v="21100.799999999999"/>
    <n v="725"/>
    <n v="87000"/>
    <x v="0"/>
    <x v="0"/>
    <n v="0"/>
    <s v="Active"/>
    <n v="0.24253793103448276"/>
    <n v="5"/>
    <x v="0"/>
    <x v="0"/>
    <x v="0"/>
  </r>
  <r>
    <s v="Ahmed Al-Mansoori"/>
    <s v="ahmed_alm6"/>
    <x v="5"/>
    <x v="8"/>
    <s v="Abu Dhabi"/>
    <n v="38"/>
    <s v="Male"/>
    <s v="ahmed.almansoori6@email.ae"/>
    <s v="+971-50-123-4567"/>
    <d v="2022-04-28T00:00:00"/>
    <d v="2024-01-12T00:00:00"/>
    <n v="22200.400000000001"/>
    <n v="9200.9"/>
    <n v="740"/>
    <n v="73000"/>
    <x v="1"/>
    <x v="0"/>
    <n v="0"/>
    <s v="Active"/>
    <n v="0.12603972602739724"/>
    <n v="3"/>
    <x v="0"/>
    <x v="0"/>
    <x v="1"/>
  </r>
  <r>
    <s v="Maria Costa"/>
    <s v="maria_costa6"/>
    <x v="0"/>
    <x v="5"/>
    <s v="São Paulo"/>
    <n v="61"/>
    <s v="Female"/>
    <s v="maria.costa6@mail.com.br"/>
    <s v="+55-11-99123-4567"/>
    <d v="2017-04-12T00:00:00"/>
    <d v="2024-01-08T00:00:00"/>
    <n v="268300.90000000002"/>
    <n v="77000.600000000006"/>
    <n v="830"/>
    <n v="285000"/>
    <x v="1"/>
    <x v="0"/>
    <n v="0"/>
    <s v="Active"/>
    <n v="0.27017754385964915"/>
    <n v="7"/>
    <x v="1"/>
    <x v="4"/>
    <x v="3"/>
  </r>
  <r>
    <s v="Chinedu Nwankwo"/>
    <s v="chinedu_n6"/>
    <x v="2"/>
    <x v="6"/>
    <s v="Abuja"/>
    <n v="53"/>
    <s v="Male"/>
    <s v="chinedu.nwankwo6@company.ng"/>
    <s v="+234-820-123-4567"/>
    <d v="2018-12-18T00:00:00"/>
    <d v="2024-01-09T00:00:00"/>
    <n v="157200.25"/>
    <n v="79000.399999999994"/>
    <n v="655"/>
    <n v="175000"/>
    <x v="2"/>
    <x v="0"/>
    <n v="0"/>
    <s v="Active"/>
    <n v="0.45143085714285713"/>
    <n v="6"/>
    <x v="3"/>
    <x v="2"/>
    <x v="2"/>
  </r>
  <r>
    <s v="Isabelle Moreau"/>
    <s v="isabelle_m6"/>
    <x v="3"/>
    <x v="9"/>
    <s v="Toronto"/>
    <n v="42"/>
    <s v="Female"/>
    <s v="isabelle.moreau6@email.ca"/>
    <s v="+1-647-555-0192"/>
    <d v="2021-05-22T00:00:00"/>
    <d v="2024-01-11T00:00:00"/>
    <n v="86700.6"/>
    <n v="38000.75"/>
    <n v="760"/>
    <n v="144000"/>
    <x v="0"/>
    <x v="0"/>
    <n v="0"/>
    <s v="Active"/>
    <n v="0.26389409722222223"/>
    <n v="4"/>
    <x v="2"/>
    <x v="0"/>
    <x v="2"/>
  </r>
  <r>
    <s v="Rahman Ali"/>
    <s v="rahman_ali7"/>
    <x v="1"/>
    <x v="36"/>
    <s v="Jakarta"/>
    <n v="33"/>
    <s v="Male"/>
    <s v="rahman.ali7@mail.id"/>
    <s v="+62-817-8901-2345"/>
    <d v="2023-07-08T00:00:00"/>
    <d v="2024-01-15T00:00:00"/>
    <n v="10900.25"/>
    <n v="6400.8"/>
    <n v="695"/>
    <n v="44000"/>
    <x v="0"/>
    <x v="1"/>
    <n v="0"/>
    <s v="Active"/>
    <n v="0.14547272727272728"/>
    <n v="0"/>
    <x v="0"/>
    <x v="1"/>
    <x v="1"/>
  </r>
  <r>
    <s v="Sarah Johnson"/>
    <s v="sarah_j6"/>
    <x v="5"/>
    <x v="0"/>
    <s v="Chicago"/>
    <n v="36"/>
    <s v="Female"/>
    <s v="sarah.johnson6@email.com"/>
    <s v="+1-773-555-0184"/>
    <d v="2022-02-15T00:00:00"/>
    <d v="2024-01-12T00:00:00"/>
    <n v="21100.9"/>
    <n v="8800.25"/>
    <n v="755"/>
    <n v="66000"/>
    <x v="1"/>
    <x v="0"/>
    <n v="0"/>
    <s v="Active"/>
    <n v="0.13333712121212121"/>
    <n v="3"/>
    <x v="2"/>
    <x v="0"/>
    <x v="1"/>
  </r>
  <r>
    <s v="Wei Zhang"/>
    <s v="wei_zhang6"/>
    <x v="2"/>
    <x v="4"/>
    <s v="Shanghai"/>
    <n v="54"/>
    <s v="Male"/>
    <s v="wei.zhang6@company.cn"/>
    <s v="+86-138-2345-6789"/>
    <d v="2018-09-15T00:00:00"/>
    <d v="2024-01-09T00:00:00"/>
    <n v="190100.4"/>
    <n v="92000.75"/>
    <n v="685"/>
    <n v="200000"/>
    <x v="2"/>
    <x v="0"/>
    <n v="0"/>
    <s v="Active"/>
    <n v="0.46000374999999999"/>
    <n v="6"/>
    <x v="0"/>
    <x v="2"/>
    <x v="3"/>
  </r>
  <r>
    <s v="Anna Kowalski"/>
    <s v="anna_k7"/>
    <x v="4"/>
    <x v="37"/>
    <s v="Warsaw"/>
    <n v="45"/>
    <s v="Female"/>
    <s v="anna.kowalski7@email.pl"/>
    <s v="+48-705-789-012"/>
    <d v="2020-06-22T00:00:00"/>
    <d v="2024-01-10T00:00:00"/>
    <n v="51100.800000000003"/>
    <n v="24200.6"/>
    <n v="715"/>
    <n v="99000"/>
    <x v="0"/>
    <x v="0"/>
    <n v="0"/>
    <s v="Active"/>
    <n v="0.24445050505050503"/>
    <n v="5"/>
    <x v="0"/>
    <x v="2"/>
    <x v="0"/>
  </r>
  <r>
    <s v="Mohammed Rahman"/>
    <s v="m_rahman7"/>
    <x v="3"/>
    <x v="29"/>
    <s v="Chittagong"/>
    <n v="48"/>
    <s v="Male"/>
    <s v="mohammed.rahman7@email.bd"/>
    <s v="+880-1812-901234"/>
    <d v="2020-03-28T00:00:00"/>
    <d v="2024-01-11T00:00:00"/>
    <n v="78900.25"/>
    <n v="34200.400000000001"/>
    <n v="680"/>
    <n v="128000"/>
    <x v="0"/>
    <x v="0"/>
    <n v="0"/>
    <s v="Active"/>
    <n v="0.26719062500000001"/>
    <n v="4"/>
    <x v="0"/>
    <x v="2"/>
    <x v="2"/>
  </r>
  <r>
    <s v="Yumi Tanaka"/>
    <s v="yumi_tanaka6"/>
    <x v="6"/>
    <x v="1"/>
    <s v="Osaka"/>
    <n v="28"/>
    <s v="Female"/>
    <s v="yumi.tanaka6@edu.jp"/>
    <s v="+81-90-1234-5678"/>
    <d v="2023-12-12T00:00:00"/>
    <d v="2024-01-13T00:00:00"/>
    <n v="2450.4"/>
    <n v="10200.75"/>
    <n v="610"/>
    <n v="24000"/>
    <x v="2"/>
    <x v="1"/>
    <n v="0"/>
    <s v="Active"/>
    <n v="0.42503125000000003"/>
    <n v="2"/>
    <x v="3"/>
    <x v="1"/>
    <x v="1"/>
  </r>
  <r>
    <s v="Carlos Mendez"/>
    <s v="carlos_m6"/>
    <x v="0"/>
    <x v="13"/>
    <s v="Mexico City"/>
    <n v="60"/>
    <s v="Male"/>
    <s v="carlos.mendez6@mail.mx"/>
    <s v="+52-55-9012-3456"/>
    <d v="2017-11-28T00:00:00"/>
    <d v="2024-01-08T00:00:00"/>
    <n v="288100.8"/>
    <n v="83000.25"/>
    <n v="825"/>
    <n v="280000"/>
    <x v="1"/>
    <x v="0"/>
    <n v="0"/>
    <s v="Active"/>
    <n v="0.29642946428571426"/>
    <n v="7"/>
    <x v="1"/>
    <x v="4"/>
    <x v="3"/>
  </r>
  <r>
    <s v="Aisha Mohammed"/>
    <s v="aisha_m7"/>
    <x v="5"/>
    <x v="16"/>
    <s v="Nairobi"/>
    <n v="35"/>
    <s v="Female"/>
    <s v="aisha.mohammed7@email.ke"/>
    <s v="+254-729-012-345"/>
    <d v="2022-08-22T00:00:00"/>
    <d v="2024-01-14T00:00:00"/>
    <n v="17800.75"/>
    <n v="7200.4"/>
    <n v="725"/>
    <n v="56000"/>
    <x v="1"/>
    <x v="0"/>
    <n v="0"/>
    <s v="Active"/>
    <n v="0.12857857142857143"/>
    <n v="1"/>
    <x v="0"/>
    <x v="0"/>
    <x v="1"/>
  </r>
  <r>
    <s v="David Chen"/>
    <s v="david_chen7"/>
    <x v="2"/>
    <x v="23"/>
    <s v="Singapore"/>
    <n v="52"/>
    <s v="Male"/>
    <s v="david.chen7@company.sg"/>
    <s v="+65-8890-1234"/>
    <d v="2019-03-22T00:00:00"/>
    <d v="2024-01-09T00:00:00"/>
    <n v="168300.6"/>
    <n v="83000.899999999994"/>
    <n v="675"/>
    <n v="180000"/>
    <x v="2"/>
    <x v="0"/>
    <n v="0"/>
    <s v="Active"/>
    <n v="0.46111611111111106"/>
    <n v="6"/>
    <x v="0"/>
    <x v="2"/>
    <x v="2"/>
  </r>
  <r>
    <s v="Maria Papadopoulos"/>
    <s v="maria_p7"/>
    <x v="4"/>
    <x v="38"/>
    <s v="Athens"/>
    <n v="43"/>
    <s v="Female"/>
    <s v="maria.papadopoulos7@email.gr"/>
    <s v="+30-697-890-1234"/>
    <d v="2021-04-28T00:00:00"/>
    <d v="2024-01-11T00:00:00"/>
    <n v="45300.4"/>
    <n v="20000.25"/>
    <n v="705"/>
    <n v="88000"/>
    <x v="0"/>
    <x v="0"/>
    <n v="0"/>
    <s v="Active"/>
    <n v="0.22727556818181818"/>
    <n v="4"/>
    <x v="0"/>
    <x v="0"/>
    <x v="0"/>
  </r>
  <r>
    <s v="James Wilson"/>
    <s v="j_wilson7"/>
    <x v="3"/>
    <x v="26"/>
    <s v="Melbourne"/>
    <n v="46"/>
    <s v="Male"/>
    <s v="james.wilson7@email.au"/>
    <s v="+61-429-012-345"/>
    <d v="2019-11-15T00:00:00"/>
    <d v="2024-01-10T00:00:00"/>
    <n v="92200.75"/>
    <n v="41100.800000000003"/>
    <n v="730"/>
    <n v="154000"/>
    <x v="0"/>
    <x v="0"/>
    <n v="0"/>
    <s v="Active"/>
    <n v="0.26688831168831173"/>
    <n v="5"/>
    <x v="0"/>
    <x v="2"/>
    <x v="2"/>
  </r>
  <r>
    <s v="Fatima Zahra"/>
    <s v="f_zahra7"/>
    <x v="1"/>
    <x v="25"/>
    <s v="Islamabad"/>
    <n v="31"/>
    <s v="Female"/>
    <s v="fatima.zahra7@mail.pk"/>
    <s v="+92-327-3210987"/>
    <d v="2023-08-28T00:00:00"/>
    <d v="2024-01-15T00:00:00"/>
    <n v="9800.9"/>
    <n v="6000.75"/>
    <n v="685"/>
    <n v="41000"/>
    <x v="0"/>
    <x v="1"/>
    <n v="0"/>
    <s v="Active"/>
    <n v="0.14635975609756097"/>
    <n v="0"/>
    <x v="0"/>
    <x v="1"/>
    <x v="1"/>
  </r>
  <r>
    <s v="Kenji Yamada"/>
    <s v="kenji_y7"/>
    <x v="0"/>
    <x v="1"/>
    <s v="Tokyo"/>
    <n v="63"/>
    <s v="Male"/>
    <s v="kenji.yamada7@mail.jp"/>
    <s v="+81-80-7890-1234"/>
    <d v="2017-02-22T00:00:00"/>
    <d v="2024-01-08T00:00:00"/>
    <n v="299000.25"/>
    <n v="87000.4"/>
    <n v="840"/>
    <n v="295000"/>
    <x v="1"/>
    <x v="0"/>
    <n v="0"/>
    <s v="Active"/>
    <n v="0.2949166101694915"/>
    <n v="7"/>
    <x v="1"/>
    <x v="4"/>
    <x v="3"/>
  </r>
  <r>
    <s v="Ngozi Eze"/>
    <s v="ngozi_e7"/>
    <x v="2"/>
    <x v="6"/>
    <s v="Lagos"/>
    <n v="55"/>
    <s v="Female"/>
    <s v="ngozi.eze7@company.ng"/>
    <s v="+234-819-012-3456"/>
    <d v="2018-07-15T00:00:00"/>
    <d v="2024-01-09T00:00:00"/>
    <n v="179400.4"/>
    <n v="87000.75"/>
    <n v="650"/>
    <n v="190000"/>
    <x v="2"/>
    <x v="0"/>
    <n v="0"/>
    <s v="Active"/>
    <n v="0.45789868421052632"/>
    <n v="6"/>
    <x v="3"/>
    <x v="4"/>
    <x v="2"/>
  </r>
  <r>
    <s v="Thomas Schmidt"/>
    <s v="thomas_s7"/>
    <x v="3"/>
    <x v="7"/>
    <s v="Munich"/>
    <n v="42"/>
    <s v="Male"/>
    <s v="thomas.schmidt7@email.de"/>
    <s v="+49-181-2345678"/>
    <d v="2021-11-28T00:00:00"/>
    <d v="2024-01-12T00:00:00"/>
    <n v="80000.399999999994"/>
    <n v="35300.25"/>
    <n v="745"/>
    <n v="134000"/>
    <x v="0"/>
    <x v="0"/>
    <n v="0"/>
    <s v="Active"/>
    <n v="0.26343470149253734"/>
    <n v="3"/>
    <x v="0"/>
    <x v="0"/>
    <x v="2"/>
  </r>
  <r>
    <s v="Lina Chen"/>
    <s v="lina_c7"/>
    <x v="5"/>
    <x v="4"/>
    <s v="Beijing"/>
    <n v="37"/>
    <s v="Female"/>
    <s v="lina.chen7@mail.cn"/>
    <s v="+86-137-2345-6789"/>
    <d v="2022-05-22T00:00:00"/>
    <d v="2024-01-11T00:00:00"/>
    <n v="20000.8"/>
    <n v="8400.9"/>
    <n v="765"/>
    <n v="66000"/>
    <x v="1"/>
    <x v="0"/>
    <n v="0"/>
    <s v="Active"/>
    <n v="0.12728636363636364"/>
    <n v="4"/>
    <x v="2"/>
    <x v="0"/>
    <x v="1"/>
  </r>
  <r>
    <s v="Ahmed Hassan"/>
    <s v="ahmed_h7"/>
    <x v="4"/>
    <x v="20"/>
    <s v="Cairo"/>
    <n v="50"/>
    <s v="Male"/>
    <s v="ahmed.hassan7@email.eg"/>
    <s v="+20-122-543-2109"/>
    <d v="2020-05-15T00:00:00"/>
    <d v="2024-01-10T00:00:00"/>
    <n v="53300.75"/>
    <n v="26400.400000000001"/>
    <n v="675"/>
    <n v="106000"/>
    <x v="0"/>
    <x v="0"/>
    <n v="0"/>
    <s v="Active"/>
    <n v="0.24906037735849057"/>
    <n v="5"/>
    <x v="0"/>
    <x v="2"/>
    <x v="0"/>
  </r>
  <r>
    <s v="Sophie Martin"/>
    <s v="sophie_m7"/>
    <x v="6"/>
    <x v="10"/>
    <s v="Paris"/>
    <n v="29"/>
    <s v="Female"/>
    <s v="sophie.martin7@edu.fr"/>
    <s v="+33-6-9012-3456"/>
    <d v="2024-01-08T00:00:00"/>
    <d v="2024-01-13T00:00:00"/>
    <n v="2700.25"/>
    <n v="11400.6"/>
    <n v="615"/>
    <n v="26000"/>
    <x v="2"/>
    <x v="1"/>
    <n v="0"/>
    <s v="Active"/>
    <n v="0.43848461538461542"/>
    <n v="2"/>
    <x v="3"/>
    <x v="1"/>
    <x v="1"/>
  </r>
  <r>
    <s v="Raj Kumar"/>
    <s v="raj_kumar7"/>
    <x v="2"/>
    <x v="2"/>
    <s v="Delhi"/>
    <n v="57"/>
    <s v="Male"/>
    <s v="raj.kumar7@company.in"/>
    <s v="+91-987-654-3210"/>
    <d v="2018-06-08T00:00:00"/>
    <d v="2024-01-08T00:00:00"/>
    <n v="214000.8"/>
    <n v="100000.25"/>
    <n v="660"/>
    <n v="225000"/>
    <x v="2"/>
    <x v="0"/>
    <n v="0"/>
    <s v="Active"/>
    <n v="0.44444555555555554"/>
    <n v="7"/>
    <x v="3"/>
    <x v="4"/>
    <x v="3"/>
  </r>
  <r>
    <s v="Maria Gonzalez"/>
    <s v="maria_g8"/>
    <x v="3"/>
    <x v="13"/>
    <s v="Monterrey"/>
    <n v="44"/>
    <s v="Female"/>
    <s v="maria.gonzalez8@email.mx"/>
    <s v="+52-81-4567-8901"/>
    <d v="2020-10-15T00:00:00"/>
    <d v="2024-01-11T00:00:00"/>
    <n v="74400.899999999994"/>
    <n v="32200.75"/>
    <n v="730"/>
    <n v="129000"/>
    <x v="0"/>
    <x v="0"/>
    <n v="0"/>
    <s v="Active"/>
    <n v="0.24961821705426357"/>
    <n v="4"/>
    <x v="0"/>
    <x v="0"/>
    <x v="2"/>
  </r>
  <r>
    <s v="Yuki Kobayashi"/>
    <s v="yuki_k7"/>
    <x v="1"/>
    <x v="1"/>
    <s v="Osaka"/>
    <n v="33"/>
    <s v="Female"/>
    <s v="yuki.kobayashi7@mail.jp"/>
    <s v="+81-90-8901-2345"/>
    <d v="2023-09-22T00:00:00"/>
    <d v="2024-01-14T00:00:00"/>
    <n v="10900.4"/>
    <n v="6400.25"/>
    <n v="705"/>
    <n v="43000"/>
    <x v="0"/>
    <x v="1"/>
    <n v="0"/>
    <s v="Active"/>
    <n v="0.14884302325581394"/>
    <n v="1"/>
    <x v="0"/>
    <x v="1"/>
    <x v="1"/>
  </r>
  <r>
    <s v="Kwame Asante"/>
    <s v="kwame_a7"/>
    <x v="5"/>
    <x v="15"/>
    <s v="Accra"/>
    <n v="38"/>
    <s v="Male"/>
    <s v="kwame.asante7@email.gh"/>
    <s v="+233-60-123-4567"/>
    <d v="2022-04-28T00:00:00"/>
    <d v="2024-01-12T00:00:00"/>
    <n v="18900.599999999999"/>
    <n v="7800.8"/>
    <n v="710"/>
    <n v="59000"/>
    <x v="1"/>
    <x v="0"/>
    <n v="0"/>
    <s v="Active"/>
    <n v="0.13221694915254237"/>
    <n v="3"/>
    <x v="0"/>
    <x v="0"/>
    <x v="1"/>
  </r>
  <r>
    <s v="Anna Petrova"/>
    <s v="anna_p7"/>
    <x v="4"/>
    <x v="12"/>
    <s v="Moscow"/>
    <n v="45"/>
    <s v="Female"/>
    <s v="anna.petrova7@email.ru"/>
    <s v="+7-915-321-09-87"/>
    <d v="2020-05-22T00:00:00"/>
    <d v="2024-01-10T00:00:00"/>
    <n v="50200.25"/>
    <n v="23300.9"/>
    <n v="695"/>
    <n v="94000"/>
    <x v="0"/>
    <x v="0"/>
    <n v="0"/>
    <s v="Active"/>
    <n v="0.24788191489361705"/>
    <n v="5"/>
    <x v="0"/>
    <x v="2"/>
    <x v="0"/>
  </r>
  <r>
    <s v="Liam O'Brien"/>
    <s v="liam_obrien7"/>
    <x v="2"/>
    <x v="11"/>
    <s v="Dublin"/>
    <n v="53"/>
    <s v="Male"/>
    <s v="liam.obrien7@company.ie"/>
    <s v="+353-92-012-3456"/>
    <d v="2018-11-22T00:00:00"/>
    <d v="2024-01-09T00:00:00"/>
    <n v="146200.4"/>
    <n v="74000.600000000006"/>
    <n v="670"/>
    <n v="161000"/>
    <x v="2"/>
    <x v="0"/>
    <n v="0"/>
    <s v="Active"/>
    <n v="0.45963105590062114"/>
    <n v="6"/>
    <x v="0"/>
    <x v="2"/>
    <x v="2"/>
  </r>
  <r>
    <s v="Ying Wang"/>
    <s v="ying_w7"/>
    <x v="0"/>
    <x v="4"/>
    <s v="Shanghai"/>
    <n v="61"/>
    <s v="Female"/>
    <s v="ying.wang7@mail.cn"/>
    <s v="+86-139-9012-3456"/>
    <d v="2017-09-28T00:00:00"/>
    <d v="2024-01-08T00:00:00"/>
    <n v="313100.75"/>
    <n v="91000.8"/>
    <n v="835"/>
    <n v="306000"/>
    <x v="1"/>
    <x v="0"/>
    <n v="0"/>
    <s v="Active"/>
    <n v="0.29738823529411768"/>
    <n v="7"/>
    <x v="1"/>
    <x v="4"/>
    <x v="3"/>
  </r>
  <r>
    <s v="Adeola Yusuf"/>
    <s v="adeola_y7"/>
    <x v="4"/>
    <x v="6"/>
    <s v="Port Harcourt"/>
    <n v="48"/>
    <s v="Female"/>
    <s v="adeola.yusuf7@email.ng"/>
    <s v="+234-820-123-4567"/>
    <d v="2020-04-18T00:00:00"/>
    <d v="2024-01-11T00:00:00"/>
    <n v="58900.6"/>
    <n v="28900.25"/>
    <n v="665"/>
    <n v="114000"/>
    <x v="0"/>
    <x v="0"/>
    <n v="0"/>
    <s v="Active"/>
    <n v="0.2535109649122807"/>
    <n v="4"/>
    <x v="3"/>
    <x v="2"/>
    <x v="0"/>
  </r>
  <r>
    <s v="Marco Bianchi"/>
    <s v="marco_b7"/>
    <x v="3"/>
    <x v="18"/>
    <s v="Rome"/>
    <n v="40"/>
    <s v="Male"/>
    <s v="marco.bianchi7@email.it"/>
    <s v="+39-354-890-1234"/>
    <d v="2022-01-12T00:00:00"/>
    <d v="2024-01-12T00:00:00"/>
    <n v="82200.800000000003"/>
    <n v="36400.400000000001"/>
    <n v="750"/>
    <n v="140000"/>
    <x v="0"/>
    <x v="0"/>
    <n v="0"/>
    <s v="Active"/>
    <n v="0.26000285714285715"/>
    <n v="3"/>
    <x v="2"/>
    <x v="0"/>
    <x v="2"/>
  </r>
  <r>
    <s v="Jennifer Kim"/>
    <s v="jennifer_k7"/>
    <x v="5"/>
    <x v="0"/>
    <s v="Los Angeles"/>
    <n v="36"/>
    <s v="Female"/>
    <s v="jennifer.kim7@email.com"/>
    <s v="+1-310-555-0198"/>
    <d v="2022-07-18T00:00:00"/>
    <d v="2024-01-14T00:00:00"/>
    <n v="21100.9"/>
    <n v="8800.75"/>
    <n v="770"/>
    <n v="71000"/>
    <x v="1"/>
    <x v="0"/>
    <n v="0"/>
    <s v="Active"/>
    <n v="0.12395422535211267"/>
    <n v="1"/>
    <x v="2"/>
    <x v="0"/>
    <x v="1"/>
  </r>
  <r>
    <s v="Rahman Hussain"/>
    <s v="rahman_h7"/>
    <x v="2"/>
    <x v="25"/>
    <s v="Karachi"/>
    <n v="59"/>
    <s v="Male"/>
    <s v="rahman.hussain7@company.pk"/>
    <s v="+92-306-3210987"/>
    <d v="2018-03-12T00:00:00"/>
    <d v="2024-01-08T00:00:00"/>
    <n v="199300.25"/>
    <n v="95000.8"/>
    <n v="645"/>
    <n v="211000"/>
    <x v="2"/>
    <x v="0"/>
    <n v="0"/>
    <s v="Active"/>
    <n v="0.45024075829383886"/>
    <n v="7"/>
    <x v="3"/>
    <x v="4"/>
    <x v="3"/>
  </r>
  <r>
    <s v="Sofia Martinez"/>
    <s v="sofia_m7"/>
    <x v="1"/>
    <x v="14"/>
    <s v="Valencia"/>
    <n v="32"/>
    <s v="Female"/>
    <s v="sofia.martinez7@mail.es"/>
    <s v="+34-629-012-345"/>
    <d v="2023-10-15T00:00:00"/>
    <d v="2024-01-15T00:00:00"/>
    <n v="16200.5"/>
    <n v="8400.4"/>
    <n v="720"/>
    <n v="48000"/>
    <x v="1"/>
    <x v="0"/>
    <n v="0"/>
    <s v="Active"/>
    <n v="0.17500833333333332"/>
    <n v="0"/>
    <x v="0"/>
    <x v="1"/>
    <x v="1"/>
  </r>
  <r>
    <s v="Kenji Sato"/>
    <s v="kenji_sato8"/>
    <x v="6"/>
    <x v="1"/>
    <s v="Tokyo"/>
    <n v="28"/>
    <s v="Male"/>
    <s v="kenji.sato8@edu.jp"/>
    <s v="+81-90-1234-5678"/>
    <d v="2024-01-12T00:00:00"/>
    <d v="2024-01-13T00:00:00"/>
    <n v="2450.8000000000002"/>
    <n v="9800.25"/>
    <n v="605"/>
    <n v="24000"/>
    <x v="2"/>
    <x v="1"/>
    <n v="0"/>
    <s v="Active"/>
    <n v="0.40834375000000001"/>
    <n v="2"/>
    <x v="3"/>
    <x v="1"/>
    <x v="1"/>
  </r>
  <r>
    <s v="Fatoumata Bello"/>
    <s v="fatou_b7"/>
    <x v="3"/>
    <x v="19"/>
    <s v="Dakar"/>
    <n v="42"/>
    <s v="Female"/>
    <s v="fatoumata.bello7@email.sn"/>
    <s v="+221-84-890-1234"/>
    <d v="2021-09-15T00:00:00"/>
    <d v="2024-01-11T00:00:00"/>
    <n v="68900.399999999994"/>
    <n v="31100.75"/>
    <n v="710"/>
    <n v="122000"/>
    <x v="0"/>
    <x v="0"/>
    <n v="0"/>
    <s v="Active"/>
    <n v="0.25492418032786884"/>
    <n v="4"/>
    <x v="0"/>
    <x v="0"/>
    <x v="0"/>
  </r>
  <r>
    <s v="David Wilson"/>
    <s v="david_w7"/>
    <x v="2"/>
    <x v="3"/>
    <s v="Manchester"/>
    <n v="56"/>
    <s v="Male"/>
    <s v="david.wilson7@company.co.uk"/>
    <s v="+44-79-1234-5678"/>
    <d v="2018-08-28T00:00:00"/>
    <d v="2024-01-09T00:00:00"/>
    <n v="179500.6"/>
    <n v="88000.25"/>
    <n v="675"/>
    <n v="191000"/>
    <x v="2"/>
    <x v="0"/>
    <n v="0"/>
    <s v="Active"/>
    <n v="0.46073429319371728"/>
    <n v="6"/>
    <x v="0"/>
    <x v="4"/>
    <x v="3"/>
  </r>
  <r>
    <s v="Lina Park"/>
    <s v="lina_park7"/>
    <x v="4"/>
    <x v="17"/>
    <s v="Seoul"/>
    <n v="41"/>
    <s v="Female"/>
    <s v="lina.park7@email.kr"/>
    <s v="+82-10-0123-4567"/>
    <d v="2021-02-22T00:00:00"/>
    <d v="2024-01-10T00:00:00"/>
    <n v="45300.75"/>
    <n v="22200.799999999999"/>
    <n v="725"/>
    <n v="88000"/>
    <x v="0"/>
    <x v="0"/>
    <n v="0"/>
    <s v="Active"/>
    <n v="0.25228181818181816"/>
    <n v="5"/>
    <x v="0"/>
    <x v="0"/>
    <x v="0"/>
  </r>
  <r>
    <s v="Ahmed Al-Mansoori"/>
    <s v="ahmed_alm7"/>
    <x v="5"/>
    <x v="8"/>
    <s v="Dubai"/>
    <n v="39"/>
    <s v="Male"/>
    <s v="ahmed.almansoori7@email.ae"/>
    <s v="+971-50-234-5678"/>
    <d v="2022-05-22T00:00:00"/>
    <d v="2024-01-12T00:00:00"/>
    <n v="23300.400000000001"/>
    <n v="9600.9"/>
    <n v="740"/>
    <n v="74000"/>
    <x v="1"/>
    <x v="0"/>
    <n v="0"/>
    <s v="Active"/>
    <n v="0.12974189189189189"/>
    <n v="3"/>
    <x v="0"/>
    <x v="0"/>
    <x v="1"/>
  </r>
  <r>
    <s v="Maria Costa"/>
    <s v="maria_costa7"/>
    <x v="0"/>
    <x v="5"/>
    <s v="São Paulo"/>
    <n v="62"/>
    <s v="Female"/>
    <s v="maria.costa7@mail.com.br"/>
    <s v="+55-11-99234-5678"/>
    <d v="2017-05-18T00:00:00"/>
    <d v="2024-01-08T00:00:00"/>
    <n v="268400.90000000002"/>
    <n v="78000.600000000006"/>
    <n v="830"/>
    <n v="286000"/>
    <x v="1"/>
    <x v="0"/>
    <n v="0"/>
    <s v="Active"/>
    <n v="0.27272937062937064"/>
    <n v="7"/>
    <x v="1"/>
    <x v="4"/>
    <x v="3"/>
  </r>
  <r>
    <s v="Chinedu Nwankwo"/>
    <s v="chinedu_n7"/>
    <x v="2"/>
    <x v="6"/>
    <s v="Abuja"/>
    <n v="54"/>
    <s v="Male"/>
    <s v="chinedu.nwankwo7@company.ng"/>
    <s v="+234-821-234-5678"/>
    <d v="2019-01-28T00:00:00"/>
    <d v="2024-01-09T00:00:00"/>
    <n v="157300.25"/>
    <n v="80000.399999999994"/>
    <n v="655"/>
    <n v="176000"/>
    <x v="2"/>
    <x v="0"/>
    <n v="0"/>
    <s v="Active"/>
    <n v="0.45454772727272724"/>
    <n v="6"/>
    <x v="3"/>
    <x v="2"/>
    <x v="2"/>
  </r>
  <r>
    <s v="Isabelle Moreau"/>
    <s v="isabelle_m7"/>
    <x v="3"/>
    <x v="9"/>
    <s v="Montreal"/>
    <n v="43"/>
    <s v="Female"/>
    <s v="isabelle.moreau7@email.ca"/>
    <s v="+1-514-555-0198"/>
    <d v="2021-06-28T00:00:00"/>
    <d v="2024-01-11T00:00:00"/>
    <n v="87800.6"/>
    <n v="39100.75"/>
    <n v="760"/>
    <n v="145000"/>
    <x v="0"/>
    <x v="0"/>
    <n v="0"/>
    <s v="Active"/>
    <n v="0.26966034482758622"/>
    <n v="4"/>
    <x v="2"/>
    <x v="0"/>
    <x v="2"/>
  </r>
  <r>
    <s v="Rahman Ali"/>
    <s v="rahman_ali8"/>
    <x v="1"/>
    <x v="36"/>
    <s v="Surabaya"/>
    <n v="34"/>
    <s v="Male"/>
    <s v="rahman.ali8@mail.id"/>
    <s v="+62-818-9012-3456"/>
    <d v="2023-08-12T00:00:00"/>
    <d v="2024-01-15T00:00:00"/>
    <n v="11400.25"/>
    <n v="6700.8"/>
    <n v="695"/>
    <n v="45000"/>
    <x v="0"/>
    <x v="1"/>
    <n v="0"/>
    <s v="Active"/>
    <n v="0.14890666666666666"/>
    <n v="0"/>
    <x v="0"/>
    <x v="1"/>
    <x v="1"/>
  </r>
  <r>
    <s v="Sarah Johnson"/>
    <s v="sarah_j7"/>
    <x v="5"/>
    <x v="0"/>
    <s v="New York"/>
    <n v="37"/>
    <s v="Female"/>
    <s v="sarah.johnson7@email.com"/>
    <s v="+1-646-555-0188"/>
    <d v="2022-03-22T00:00:00"/>
    <d v="2024-01-12T00:00:00"/>
    <n v="22200.9"/>
    <n v="9200.25"/>
    <n v="755"/>
    <n v="67000"/>
    <x v="1"/>
    <x v="0"/>
    <n v="0"/>
    <s v="Active"/>
    <n v="0.13731716417910447"/>
    <n v="3"/>
    <x v="2"/>
    <x v="0"/>
    <x v="1"/>
  </r>
  <r>
    <s v="Wei Zhang"/>
    <s v="wei_zhang7"/>
    <x v="2"/>
    <x v="4"/>
    <s v="Beijing"/>
    <n v="55"/>
    <s v="Male"/>
    <s v="wei.zhang7@company.cn"/>
    <s v="+86-138-3456-7890"/>
    <d v="2018-10-22T00:00:00"/>
    <d v="2024-01-09T00:00:00"/>
    <n v="190200.4"/>
    <n v="93000.75"/>
    <n v="685"/>
    <n v="201000"/>
    <x v="2"/>
    <x v="0"/>
    <n v="0"/>
    <s v="Active"/>
    <n v="0.46269029850746268"/>
    <n v="6"/>
    <x v="0"/>
    <x v="4"/>
    <x v="3"/>
  </r>
  <r>
    <s v="Anna Kowalski"/>
    <s v="anna_k8"/>
    <x v="4"/>
    <x v="37"/>
    <s v="Warsaw"/>
    <n v="46"/>
    <s v="Female"/>
    <s v="anna.kowalski8@email.pl"/>
    <s v="+48-706-890-123"/>
    <d v="2020-07-28T00:00:00"/>
    <d v="2024-01-10T00:00:00"/>
    <n v="52200.800000000003"/>
    <n v="25300.6"/>
    <n v="715"/>
    <n v="100000"/>
    <x v="0"/>
    <x v="0"/>
    <n v="0"/>
    <s v="Active"/>
    <n v="0.25300600000000001"/>
    <n v="5"/>
    <x v="0"/>
    <x v="2"/>
    <x v="0"/>
  </r>
  <r>
    <s v="Mohammed Rahman"/>
    <s v="m_rahman8"/>
    <x v="3"/>
    <x v="29"/>
    <s v="Dhaka"/>
    <n v="49"/>
    <s v="Male"/>
    <s v="mohammed.rahman8@email.bd"/>
    <s v="+880-1812-012345"/>
    <d v="2020-04-15T00:00:00"/>
    <d v="2024-01-11T00:00:00"/>
    <n v="80000.25"/>
    <n v="35300.400000000001"/>
    <n v="680"/>
    <n v="129000"/>
    <x v="0"/>
    <x v="0"/>
    <n v="0"/>
    <s v="Active"/>
    <n v="0.27364651162790699"/>
    <n v="4"/>
    <x v="0"/>
    <x v="2"/>
    <x v="2"/>
  </r>
  <r>
    <s v="Yumi Tanaka"/>
    <s v="yumi_tanaka7"/>
    <x v="6"/>
    <x v="1"/>
    <s v="Osaka"/>
    <n v="29"/>
    <s v="Female"/>
    <s v="yumi.tanaka7@edu.jp"/>
    <s v="+81-90-2345-6789"/>
    <d v="2024-01-08T00:00:00"/>
    <d v="2024-01-13T00:00:00"/>
    <n v="2550.4"/>
    <n v="10400.75"/>
    <n v="610"/>
    <n v="25000"/>
    <x v="2"/>
    <x v="1"/>
    <n v="0"/>
    <s v="Active"/>
    <n v="0.41603000000000001"/>
    <n v="2"/>
    <x v="3"/>
    <x v="1"/>
    <x v="1"/>
  </r>
  <r>
    <s v="Carlos Mendez"/>
    <s v="carlos_m7"/>
    <x v="0"/>
    <x v="13"/>
    <s v="Mexico City"/>
    <n v="61"/>
    <s v="Male"/>
    <s v="carlos.mendez7@mail.mx"/>
    <s v="+52-55-0123-4567"/>
    <d v="2017-12-15T00:00:00"/>
    <d v="2024-01-08T00:00:00"/>
    <n v="288200.8"/>
    <n v="84000.25"/>
    <n v="825"/>
    <n v="281000"/>
    <x v="1"/>
    <x v="0"/>
    <n v="0"/>
    <s v="Active"/>
    <n v="0.29893327402135234"/>
    <n v="7"/>
    <x v="1"/>
    <x v="4"/>
    <x v="3"/>
  </r>
  <r>
    <s v="Aisha Mohammed"/>
    <s v="aisha_m8"/>
    <x v="5"/>
    <x v="16"/>
    <s v="Nairobi"/>
    <n v="36"/>
    <s v="Female"/>
    <s v="aisha.mohammed8@email.ke"/>
    <s v="+254-730-123-456"/>
    <d v="2022-09-28T00:00:00"/>
    <d v="2024-01-14T00:00:00"/>
    <n v="18900.75"/>
    <n v="7600.4"/>
    <n v="725"/>
    <n v="57000"/>
    <x v="1"/>
    <x v="0"/>
    <n v="0"/>
    <s v="Active"/>
    <n v="0.13334035087719298"/>
    <n v="1"/>
    <x v="0"/>
    <x v="0"/>
    <x v="1"/>
  </r>
  <r>
    <s v="David Chen"/>
    <s v="david_chen8"/>
    <x v="2"/>
    <x v="23"/>
    <s v="Singapore"/>
    <n v="53"/>
    <s v="Male"/>
    <s v="david.chen8@company.sg"/>
    <s v="+65-8990-1234"/>
    <d v="2019-04-18T00:00:00"/>
    <d v="2024-01-09T00:00:00"/>
    <n v="168400.6"/>
    <n v="84000.9"/>
    <n v="675"/>
    <n v="181000"/>
    <x v="2"/>
    <x v="0"/>
    <n v="0"/>
    <s v="Active"/>
    <n v="0.46409337016574581"/>
    <n v="6"/>
    <x v="0"/>
    <x v="2"/>
    <x v="2"/>
  </r>
  <r>
    <s v="Maria Papadopoulos"/>
    <s v="maria_p8"/>
    <x v="4"/>
    <x v="38"/>
    <s v="Athens"/>
    <n v="44"/>
    <s v="Female"/>
    <s v="maria.papadopoulos8@email.gr"/>
    <s v="+30-698-901-2345"/>
    <d v="2021-05-22T00:00:00"/>
    <d v="2024-01-11T00:00:00"/>
    <n v="46400.4"/>
    <n v="21100.25"/>
    <n v="705"/>
    <n v="89000"/>
    <x v="0"/>
    <x v="0"/>
    <n v="0"/>
    <s v="Active"/>
    <n v="0.23708146067415731"/>
    <n v="4"/>
    <x v="0"/>
    <x v="0"/>
    <x v="0"/>
  </r>
  <r>
    <s v="James Wilson"/>
    <s v="j_wilson8"/>
    <x v="3"/>
    <x v="26"/>
    <s v="Sydney"/>
    <n v="47"/>
    <s v="Male"/>
    <s v="james.wilson8@email.au"/>
    <s v="+61-430-123-456"/>
    <d v="2019-12-22T00:00:00"/>
    <d v="2024-01-10T00:00:00"/>
    <n v="93300.75"/>
    <n v="42200.800000000003"/>
    <n v="730"/>
    <n v="155000"/>
    <x v="0"/>
    <x v="0"/>
    <n v="0"/>
    <s v="Active"/>
    <n v="0.27226322580645163"/>
    <n v="5"/>
    <x v="0"/>
    <x v="2"/>
    <x v="2"/>
  </r>
  <r>
    <s v="Fatima Zahra"/>
    <s v="f_zahra8"/>
    <x v="1"/>
    <x v="25"/>
    <s v="Lahore"/>
    <n v="32"/>
    <s v="Female"/>
    <s v="fatima.zahra8@mail.pk"/>
    <s v="+92-328-2109876"/>
    <d v="2023-09-22T00:00:00"/>
    <d v="2024-01-15T00:00:00"/>
    <n v="10200.9"/>
    <n v="6300.75"/>
    <n v="685"/>
    <n v="42000"/>
    <x v="0"/>
    <x v="1"/>
    <n v="0"/>
    <s v="Active"/>
    <n v="0.15001785714285715"/>
    <n v="0"/>
    <x v="0"/>
    <x v="1"/>
    <x v="1"/>
  </r>
  <r>
    <s v="Kenji Yamada"/>
    <s v="kenji_y8"/>
    <x v="0"/>
    <x v="1"/>
    <s v="Tokyo"/>
    <n v="64"/>
    <s v="Male"/>
    <s v="kenji.yamada8@mail.jp"/>
    <s v="+81-80-8901-2345"/>
    <d v="2017-03-28T00:00:00"/>
    <d v="2024-01-08T00:00:00"/>
    <n v="299100.25"/>
    <n v="88000.4"/>
    <n v="840"/>
    <n v="296000"/>
    <x v="1"/>
    <x v="0"/>
    <n v="0"/>
    <s v="Active"/>
    <n v="0.29729864864864863"/>
    <n v="7"/>
    <x v="1"/>
    <x v="4"/>
    <x v="3"/>
  </r>
  <r>
    <s v="Ngozi Eze"/>
    <s v="ngozi_e8"/>
    <x v="2"/>
    <x v="6"/>
    <s v="Lagos"/>
    <n v="56"/>
    <s v="Female"/>
    <s v="ngozi.eze8@company.ng"/>
    <s v="+234-820-123-4567"/>
    <d v="2018-08-22T00:00:00"/>
    <d v="2024-01-09T00:00:00"/>
    <n v="179500.4"/>
    <n v="88000.75"/>
    <n v="650"/>
    <n v="191000"/>
    <x v="2"/>
    <x v="0"/>
    <n v="0"/>
    <s v="Active"/>
    <n v="0.46073691099476438"/>
    <n v="6"/>
    <x v="3"/>
    <x v="4"/>
    <x v="3"/>
  </r>
  <r>
    <s v="Thomas Schmidt"/>
    <s v="thomas_s8"/>
    <x v="3"/>
    <x v="7"/>
    <s v="Berlin"/>
    <n v="43"/>
    <s v="Male"/>
    <s v="thomas.schmidt8@email.de"/>
    <s v="+49-182-3456789"/>
    <d v="2021-12-22T00:00:00"/>
    <d v="2024-01-12T00:00:00"/>
    <n v="81100.399999999994"/>
    <n v="36400.25"/>
    <n v="745"/>
    <n v="135000"/>
    <x v="0"/>
    <x v="0"/>
    <n v="0"/>
    <s v="Active"/>
    <n v="0.26963148148148147"/>
    <n v="3"/>
    <x v="0"/>
    <x v="0"/>
    <x v="2"/>
  </r>
  <r>
    <s v="Lina Chen"/>
    <s v="lina_c8"/>
    <x v="5"/>
    <x v="4"/>
    <s v="Shanghai"/>
    <n v="38"/>
    <s v="Female"/>
    <s v="lina.chen8@mail.cn"/>
    <s v="+86-137-3456-7890"/>
    <d v="2022-06-28T00:00:00"/>
    <d v="2024-01-11T00:00:00"/>
    <n v="21100.799999999999"/>
    <n v="8800.9"/>
    <n v="765"/>
    <n v="67000"/>
    <x v="1"/>
    <x v="0"/>
    <n v="0"/>
    <s v="Active"/>
    <n v="0.13135671641791044"/>
    <n v="4"/>
    <x v="2"/>
    <x v="0"/>
    <x v="1"/>
  </r>
  <r>
    <s v="Ahmed Hassan"/>
    <s v="ahmed_h8"/>
    <x v="4"/>
    <x v="20"/>
    <s v="Alexandria"/>
    <n v="51"/>
    <s v="Male"/>
    <s v="ahmed.hassan8@email.eg"/>
    <s v="+20-122-432-1098"/>
    <d v="2020-06-22T00:00:00"/>
    <d v="2024-01-10T00:00:00"/>
    <n v="54400.75"/>
    <n v="27500.400000000001"/>
    <n v="675"/>
    <n v="107000"/>
    <x v="0"/>
    <x v="0"/>
    <n v="0"/>
    <s v="Active"/>
    <n v="0.25701308411214957"/>
    <n v="5"/>
    <x v="0"/>
    <x v="2"/>
    <x v="0"/>
  </r>
  <r>
    <s v="Sophie Martin"/>
    <s v="sophie_m8"/>
    <x v="6"/>
    <x v="10"/>
    <s v="Paris"/>
    <n v="30"/>
    <s v="Female"/>
    <s v="sophie.martin8@edu.fr"/>
    <s v="+33-6-0123-4567"/>
    <d v="2024-01-15T00:00:00"/>
    <d v="2024-01-13T00:00:00"/>
    <n v="2800.25"/>
    <n v="11600.6"/>
    <n v="615"/>
    <n v="27000"/>
    <x v="2"/>
    <x v="1"/>
    <n v="0"/>
    <s v="Active"/>
    <n v="0.42965185185185184"/>
    <n v="2"/>
    <x v="3"/>
    <x v="1"/>
    <x v="1"/>
  </r>
  <r>
    <s v="Raj Kumar"/>
    <s v="raj_kumar8"/>
    <x v="2"/>
    <x v="2"/>
    <s v="Mumbai"/>
    <n v="58"/>
    <s v="Male"/>
    <s v="raj.kumar8@company.in"/>
    <s v="+91-987-654-3210"/>
    <d v="2018-07-15T00:00:00"/>
    <d v="2024-01-08T00:00:00"/>
    <n v="214100.8"/>
    <n v="101000.25"/>
    <n v="660"/>
    <n v="226000"/>
    <x v="2"/>
    <x v="0"/>
    <n v="0"/>
    <s v="Active"/>
    <n v="0.4469037610619469"/>
    <n v="7"/>
    <x v="3"/>
    <x v="4"/>
    <x v="3"/>
  </r>
  <r>
    <s v="Maria Gonzalez"/>
    <s v="maria_g9"/>
    <x v="3"/>
    <x v="13"/>
    <s v="Guadalajara"/>
    <n v="45"/>
    <s v="Female"/>
    <s v="maria.gonzalez9@email.mx"/>
    <s v="+52-33-5678-9012"/>
    <d v="2020-11-28T00:00:00"/>
    <d v="2024-01-11T00:00:00"/>
    <n v="75500.899999999994"/>
    <n v="33300.75"/>
    <n v="730"/>
    <n v="130000"/>
    <x v="0"/>
    <x v="0"/>
    <n v="0"/>
    <s v="Active"/>
    <n v="0.2561596153846154"/>
    <n v="4"/>
    <x v="0"/>
    <x v="2"/>
    <x v="2"/>
  </r>
  <r>
    <s v="Yuki Kobayashi"/>
    <s v="yuki_k8"/>
    <x v="1"/>
    <x v="1"/>
    <s v="Osaka"/>
    <n v="34"/>
    <s v="Female"/>
    <s v="yuki.kobayashi8@mail.jp"/>
    <s v="+81-90-9012-3456"/>
    <d v="2023-10-28T00:00:00"/>
    <d v="2024-01-14T00:00:00"/>
    <n v="11300.4"/>
    <n v="6600.25"/>
    <n v="705"/>
    <n v="44000"/>
    <x v="0"/>
    <x v="1"/>
    <n v="0"/>
    <s v="Active"/>
    <n v="0.15000568181818183"/>
    <n v="1"/>
    <x v="0"/>
    <x v="1"/>
    <x v="1"/>
  </r>
  <r>
    <s v="Kwame Asante"/>
    <s v="kwame_a8"/>
    <x v="5"/>
    <x v="15"/>
    <s v="Accra"/>
    <n v="39"/>
    <s v="Male"/>
    <s v="kwame.asante8@email.gh"/>
    <s v="+233-61-234-5678"/>
    <d v="2022-05-22T00:00:00"/>
    <d v="2024-01-12T00:00:00"/>
    <n v="20000.599999999999"/>
    <n v="8200.7999999999993"/>
    <n v="710"/>
    <n v="60000"/>
    <x v="1"/>
    <x v="0"/>
    <n v="0"/>
    <s v="Active"/>
    <n v="0.13668"/>
    <n v="3"/>
    <x v="0"/>
    <x v="0"/>
    <x v="1"/>
  </r>
  <r>
    <s v="Anna Petrova"/>
    <s v="anna_p8"/>
    <x v="4"/>
    <x v="12"/>
    <s v="St. Petersburg"/>
    <n v="46"/>
    <s v="Female"/>
    <s v="anna.petrova8@email.ru"/>
    <s v="+7-921-210-98-76"/>
    <d v="2020-06-28T00:00:00"/>
    <d v="2024-01-10T00:00:00"/>
    <n v="51300.25"/>
    <n v="24400.9"/>
    <n v="695"/>
    <n v="95000"/>
    <x v="0"/>
    <x v="0"/>
    <n v="0"/>
    <s v="Active"/>
    <n v="0.25685157894736843"/>
    <n v="5"/>
    <x v="0"/>
    <x v="2"/>
    <x v="0"/>
  </r>
  <r>
    <s v="Liam O'Brien"/>
    <s v="liam_obrien8"/>
    <x v="2"/>
    <x v="11"/>
    <s v="Cork"/>
    <n v="54"/>
    <s v="Male"/>
    <s v="liam.obrien8@company.ie"/>
    <s v="+353-93-123-4567"/>
    <d v="2018-12-28T00:00:00"/>
    <d v="2024-01-09T00:00:00"/>
    <n v="146300.4"/>
    <n v="75000.600000000006"/>
    <n v="670"/>
    <n v="162000"/>
    <x v="2"/>
    <x v="0"/>
    <n v="0"/>
    <s v="Active"/>
    <n v="0.46296666666666669"/>
    <n v="6"/>
    <x v="0"/>
    <x v="2"/>
    <x v="2"/>
  </r>
  <r>
    <s v="Ying Wang"/>
    <s v="ying_w8"/>
    <x v="0"/>
    <x v="4"/>
    <s v="Beijing"/>
    <n v="62"/>
    <s v="Female"/>
    <s v="ying.wang8@mail.cn"/>
    <s v="+86-139-0123-4567"/>
    <d v="2017-10-22T00:00:00"/>
    <d v="2024-01-08T00:00:00"/>
    <n v="313200.75"/>
    <n v="92000.8"/>
    <n v="835"/>
    <n v="307000"/>
    <x v="1"/>
    <x v="0"/>
    <n v="0"/>
    <s v="Active"/>
    <n v="0.29967687296416939"/>
    <n v="7"/>
    <x v="1"/>
    <x v="4"/>
    <x v="3"/>
  </r>
  <r>
    <s v="Adeola Yusuf"/>
    <s v="adeola_y8"/>
    <x v="4"/>
    <x v="6"/>
    <s v="Lagos"/>
    <n v="49"/>
    <s v="Female"/>
    <s v="adeola.yusuf8@email.ng"/>
    <s v="+234-821-234-5678"/>
    <d v="2020-05-15T00:00:00"/>
    <d v="2024-01-11T00:00:00"/>
    <n v="60000.6"/>
    <n v="30000.25"/>
    <n v="665"/>
    <n v="115000"/>
    <x v="0"/>
    <x v="0"/>
    <n v="0"/>
    <s v="Active"/>
    <n v="0.26087173913043477"/>
    <n v="4"/>
    <x v="3"/>
    <x v="2"/>
    <x v="0"/>
  </r>
  <r>
    <s v="Marco Bianchi"/>
    <s v="marco_b8"/>
    <x v="3"/>
    <x v="18"/>
    <s v="Milan"/>
    <n v="41"/>
    <s v="Male"/>
    <s v="marco.bianchi8@email.it"/>
    <s v="+39-355-901-2345"/>
    <d v="2022-02-15T00:00:00"/>
    <d v="2024-01-12T00:00:00"/>
    <n v="83300.800000000003"/>
    <n v="37500.400000000001"/>
    <n v="750"/>
    <n v="141000"/>
    <x v="0"/>
    <x v="0"/>
    <n v="0"/>
    <s v="Active"/>
    <n v="0.26596028368794328"/>
    <n v="3"/>
    <x v="2"/>
    <x v="0"/>
    <x v="2"/>
  </r>
  <r>
    <s v="Jennifer Kim"/>
    <s v="jennifer_k8"/>
    <x v="5"/>
    <x v="0"/>
    <s v="San Francisco"/>
    <n v="37"/>
    <s v="Female"/>
    <s v="jennifer.kim8@email.com"/>
    <s v="+1-415-555-0196"/>
    <d v="2022-08-22T00:00:00"/>
    <d v="2024-01-14T00:00:00"/>
    <n v="22200.9"/>
    <n v="9200.75"/>
    <n v="770"/>
    <n v="72000"/>
    <x v="1"/>
    <x v="0"/>
    <n v="0"/>
    <s v="Active"/>
    <n v="0.12778819444444445"/>
    <n v="1"/>
    <x v="2"/>
    <x v="0"/>
    <x v="1"/>
  </r>
  <r>
    <s v="Rahman Hussain"/>
    <s v="rahman_h8"/>
    <x v="2"/>
    <x v="25"/>
    <s v="Islamabad"/>
    <n v="60"/>
    <s v="Male"/>
    <s v="rahman.hussain8@company.pk"/>
    <s v="+92-307-2109876"/>
    <d v="2018-04-18T00:00:00"/>
    <d v="2024-01-08T00:00:00"/>
    <n v="199400.25"/>
    <n v="96000.8"/>
    <n v="645"/>
    <n v="212000"/>
    <x v="2"/>
    <x v="0"/>
    <n v="0"/>
    <s v="Active"/>
    <n v="0.45283396226415096"/>
    <n v="7"/>
    <x v="3"/>
    <x v="4"/>
    <x v="3"/>
  </r>
  <r>
    <s v="Sofia Martinez"/>
    <s v="sofia_m8"/>
    <x v="1"/>
    <x v="14"/>
    <s v="Barcelona"/>
    <n v="33"/>
    <s v="Female"/>
    <s v="sofia.martinez8@mail.es"/>
    <s v="+34-630-123-456"/>
    <d v="2023-11-12T00:00:00"/>
    <d v="2024-01-15T00:00:00"/>
    <n v="17200.5"/>
    <n v="8800.4"/>
    <n v="720"/>
    <n v="49000"/>
    <x v="1"/>
    <x v="0"/>
    <n v="0"/>
    <s v="Active"/>
    <n v="0.17959999999999998"/>
    <n v="0"/>
    <x v="0"/>
    <x v="1"/>
    <x v="1"/>
  </r>
  <r>
    <s v="Kenji Sato"/>
    <s v="kenji_sato9"/>
    <x v="6"/>
    <x v="1"/>
    <s v="Tokyo"/>
    <n v="29"/>
    <s v="Male"/>
    <s v="kenji.sato9@edu.jp"/>
    <s v="+81-90-2345-6789"/>
    <d v="2024-01-18T00:00:00"/>
    <d v="2024-01-13T00:00:00"/>
    <n v="2550.8000000000002"/>
    <n v="10000.25"/>
    <n v="605"/>
    <n v="25000"/>
    <x v="2"/>
    <x v="1"/>
    <n v="0"/>
    <s v="Active"/>
    <n v="0.40000999999999998"/>
    <n v="2"/>
    <x v="3"/>
    <x v="1"/>
    <x v="1"/>
  </r>
  <r>
    <s v="Fatoumata Bello"/>
    <s v="fatou_b8"/>
    <x v="3"/>
    <x v="19"/>
    <s v="Dakar"/>
    <n v="43"/>
    <s v="Female"/>
    <s v="fatoumata.bello8@email.sn"/>
    <s v="+221-85-901-2345"/>
    <d v="2021-10-22T00:00:00"/>
    <d v="2024-01-11T00:00:00"/>
    <n v="70000.399999999994"/>
    <n v="32200.75"/>
    <n v="710"/>
    <n v="123000"/>
    <x v="0"/>
    <x v="0"/>
    <n v="0"/>
    <s v="Active"/>
    <n v="0.26179471544715449"/>
    <n v="4"/>
    <x v="0"/>
    <x v="0"/>
    <x v="0"/>
  </r>
  <r>
    <s v="David Wilson"/>
    <s v="david_w8"/>
    <x v="2"/>
    <x v="3"/>
    <s v="London"/>
    <n v="57"/>
    <s v="Male"/>
    <s v="david.wilson8@company.co.uk"/>
    <s v="+44-79-2345-6789"/>
    <d v="2018-09-15T00:00:00"/>
    <d v="2024-01-09T00:00:00"/>
    <n v="179600.6"/>
    <n v="89000.25"/>
    <n v="675"/>
    <n v="192000"/>
    <x v="2"/>
    <x v="0"/>
    <n v="0"/>
    <s v="Active"/>
    <n v="0.46354296875000001"/>
    <n v="6"/>
    <x v="0"/>
    <x v="4"/>
    <x v="3"/>
  </r>
  <r>
    <s v="Lina Park"/>
    <s v="lina_park8"/>
    <x v="4"/>
    <x v="17"/>
    <s v="Busan"/>
    <n v="42"/>
    <s v="Female"/>
    <s v="lina.park8@email.kr"/>
    <s v="+82-10-1234-5678"/>
    <d v="2021-03-28T00:00:00"/>
    <d v="2024-01-10T00:00:00"/>
    <n v="46400.75"/>
    <n v="23300.799999999999"/>
    <n v="725"/>
    <n v="89000"/>
    <x v="0"/>
    <x v="0"/>
    <n v="0"/>
    <s v="Active"/>
    <n v="0.26180674157303369"/>
    <n v="5"/>
    <x v="0"/>
    <x v="0"/>
    <x v="0"/>
  </r>
  <r>
    <s v="Ahmed Al-Mansoori"/>
    <s v="ahmed_alm8"/>
    <x v="5"/>
    <x v="8"/>
    <s v="Abu Dhabi"/>
    <n v="40"/>
    <s v="Male"/>
    <s v="ahmed.almansoori8@email.ae"/>
    <s v="+971-50-345-6789"/>
    <d v="2022-06-28T00:00:00"/>
    <d v="2024-01-12T00:00:00"/>
    <n v="24400.400000000001"/>
    <n v="10000.9"/>
    <n v="740"/>
    <n v="75000"/>
    <x v="1"/>
    <x v="0"/>
    <n v="0"/>
    <s v="Active"/>
    <n v="0.13334533333333332"/>
    <n v="3"/>
    <x v="0"/>
    <x v="0"/>
    <x v="0"/>
  </r>
  <r>
    <s v="Maria Costa"/>
    <s v="maria_costa8"/>
    <x v="0"/>
    <x v="5"/>
    <s v="Rio de Janeiro"/>
    <n v="63"/>
    <s v="Female"/>
    <s v="maria.costa8@mail.com.br"/>
    <s v="+55-21-99345-6789"/>
    <d v="2017-06-28T00:00:00"/>
    <d v="2024-01-08T00:00:00"/>
    <n v="268500.90000000002"/>
    <n v="79000.600000000006"/>
    <n v="830"/>
    <n v="287000"/>
    <x v="1"/>
    <x v="0"/>
    <n v="0"/>
    <s v="Active"/>
    <n v="0.27526341463414639"/>
    <n v="7"/>
    <x v="1"/>
    <x v="4"/>
    <x v="3"/>
  </r>
  <r>
    <s v="Chinedu Nwankwo"/>
    <s v="chinedu_n8"/>
    <x v="2"/>
    <x v="6"/>
    <s v="Port Harcourt"/>
    <n v="55"/>
    <s v="Male"/>
    <s v="chinedu.nwankwo8@company.ng"/>
    <s v="+234-822-345-6789"/>
    <d v="2019-02-22T00:00:00"/>
    <d v="2024-01-09T00:00:00"/>
    <n v="157400.25"/>
    <n v="81000.399999999994"/>
    <n v="655"/>
    <n v="177000"/>
    <x v="2"/>
    <x v="0"/>
    <n v="0"/>
    <s v="Active"/>
    <n v="0.45762937853107344"/>
    <n v="6"/>
    <x v="3"/>
    <x v="4"/>
    <x v="2"/>
  </r>
  <r>
    <s v="Isabelle Moreau"/>
    <s v="isabelle_m8"/>
    <x v="3"/>
    <x v="9"/>
    <s v="Vancouver"/>
    <n v="44"/>
    <s v="Female"/>
    <s v="isabelle.moreau8@email.ca"/>
    <s v="+1-604-555-0194"/>
    <d v="2021-07-22T00:00:00"/>
    <d v="2024-01-11T00:00:00"/>
    <n v="88900.6"/>
    <n v="40200.75"/>
    <n v="760"/>
    <n v="146000"/>
    <x v="0"/>
    <x v="0"/>
    <n v="0"/>
    <s v="Active"/>
    <n v="0.27534760273972603"/>
    <n v="4"/>
    <x v="2"/>
    <x v="0"/>
    <x v="2"/>
  </r>
  <r>
    <s v="Rahman Ali"/>
    <s v="rahman_ali9"/>
    <x v="1"/>
    <x v="36"/>
    <s v="Jakarta"/>
    <n v="35"/>
    <s v="Male"/>
    <s v="rahman.ali9@mail.id"/>
    <s v="+62-819-0123-4567"/>
    <d v="2023-09-18T00:00:00"/>
    <d v="2024-01-15T00:00:00"/>
    <n v="11900.25"/>
    <n v="7000.8"/>
    <n v="695"/>
    <n v="46000"/>
    <x v="0"/>
    <x v="1"/>
    <n v="0"/>
    <s v="Active"/>
    <n v="0.1521913043478261"/>
    <n v="0"/>
    <x v="0"/>
    <x v="0"/>
    <x v="1"/>
  </r>
  <r>
    <s v="Sarah Johnson"/>
    <s v="sarah_j8"/>
    <x v="5"/>
    <x v="0"/>
    <s v="Chicago"/>
    <n v="38"/>
    <s v="Female"/>
    <s v="sarah.johnson8@email.com"/>
    <s v="+1-773-555-0192"/>
    <d v="2022-04-28T00:00:00"/>
    <d v="2024-01-12T00:00:00"/>
    <n v="23300.9"/>
    <n v="9600.25"/>
    <n v="755"/>
    <n v="68000"/>
    <x v="1"/>
    <x v="0"/>
    <n v="0"/>
    <s v="Active"/>
    <n v="0.14118014705882354"/>
    <n v="3"/>
    <x v="2"/>
    <x v="0"/>
    <x v="1"/>
  </r>
  <r>
    <s v="Wei Zhang"/>
    <s v="wei_zhang8"/>
    <x v="2"/>
    <x v="4"/>
    <s v="Beijing"/>
    <n v="56"/>
    <s v="Male"/>
    <s v="wei.zhang8@company.cn"/>
    <s v="+86-138-4567-8901"/>
    <d v="2018-11-28T00:00:00"/>
    <d v="2024-01-09T00:00:00"/>
    <n v="190300.4"/>
    <n v="94000.75"/>
    <n v="685"/>
    <n v="202000"/>
    <x v="2"/>
    <x v="0"/>
    <n v="0"/>
    <s v="Active"/>
    <n v="0.46535024752475246"/>
    <n v="6"/>
    <x v="0"/>
    <x v="4"/>
    <x v="3"/>
  </r>
  <r>
    <s v="Anna Kowalski"/>
    <s v="anna_k9"/>
    <x v="4"/>
    <x v="37"/>
    <s v="Warsaw"/>
    <n v="47"/>
    <s v="Female"/>
    <s v="anna.kowalski9@email.pl"/>
    <s v="+48-707-901-234"/>
    <d v="2020-08-15T00:00:00"/>
    <d v="2024-01-10T00:00:00"/>
    <n v="53300.800000000003"/>
    <n v="26400.6"/>
    <n v="715"/>
    <n v="101000"/>
    <x v="0"/>
    <x v="0"/>
    <n v="0"/>
    <s v="Active"/>
    <n v="0.26139207920792079"/>
    <n v="5"/>
    <x v="0"/>
    <x v="2"/>
    <x v="0"/>
  </r>
  <r>
    <s v="Mohammed Rahman"/>
    <s v="m_rahman9"/>
    <x v="3"/>
    <x v="29"/>
    <s v="Chittagong"/>
    <n v="50"/>
    <s v="Male"/>
    <s v="mohammed.rahman9@email.bd"/>
    <s v="+880-1812-123456"/>
    <d v="2020-05-22T00:00:00"/>
    <d v="2024-01-11T00:00:00"/>
    <n v="81100.25"/>
    <n v="36400.400000000001"/>
    <n v="680"/>
    <n v="130000"/>
    <x v="0"/>
    <x v="0"/>
    <n v="0"/>
    <s v="Active"/>
    <n v="0.28000307692307691"/>
    <n v="4"/>
    <x v="0"/>
    <x v="2"/>
    <x v="2"/>
  </r>
  <r>
    <s v="Yumi Tanaka"/>
    <s v="yumi_tanaka8"/>
    <x v="6"/>
    <x v="1"/>
    <s v="Osaka"/>
    <n v="30"/>
    <s v="Female"/>
    <s v="yumi.tanaka8@edu.jp"/>
    <s v="+81-90-3456-7890"/>
    <d v="2024-01-22T00:00:00"/>
    <d v="2024-01-13T00:00:00"/>
    <n v="2650.4"/>
    <n v="10600.75"/>
    <n v="610"/>
    <n v="26000"/>
    <x v="2"/>
    <x v="1"/>
    <n v="0"/>
    <s v="Active"/>
    <n v="0.40772115384615387"/>
    <n v="2"/>
    <x v="3"/>
    <x v="1"/>
    <x v="1"/>
  </r>
  <r>
    <s v="Carlos Mendez"/>
    <s v="carlos_m8"/>
    <x v="0"/>
    <x v="13"/>
    <s v="Mexico City"/>
    <n v="62"/>
    <s v="Male"/>
    <s v="carlos.mendez8@mail.mx"/>
    <s v="+52-55-1234-5678"/>
    <d v="2018-01-08T00:00:00"/>
    <d v="2024-01-08T00:00:00"/>
    <n v="288300.79999999999"/>
    <n v="85000.25"/>
    <n v="825"/>
    <n v="282000"/>
    <x v="1"/>
    <x v="0"/>
    <n v="0"/>
    <s v="Active"/>
    <n v="0.30141932624113477"/>
    <n v="7"/>
    <x v="1"/>
    <x v="4"/>
    <x v="3"/>
  </r>
  <r>
    <s v="Aisha Mohammed"/>
    <s v="aisha_m9"/>
    <x v="5"/>
    <x v="16"/>
    <s v="Mombasa"/>
    <n v="37"/>
    <s v="Female"/>
    <s v="aisha.mohammed9@email.ke"/>
    <s v="+254-731-234-567"/>
    <d v="2022-10-28T00:00:00"/>
    <d v="2024-01-14T00:00:00"/>
    <n v="20000.75"/>
    <n v="8000.4"/>
    <n v="725"/>
    <n v="58000"/>
    <x v="1"/>
    <x v="0"/>
    <n v="0"/>
    <s v="Active"/>
    <n v="0.13793793103448276"/>
    <n v="1"/>
    <x v="0"/>
    <x v="0"/>
    <x v="1"/>
  </r>
  <r>
    <s v="David Chen"/>
    <s v="david_chen9"/>
    <x v="2"/>
    <x v="23"/>
    <s v="Singapore"/>
    <n v="54"/>
    <s v="Male"/>
    <s v="david.chen9@company.sg"/>
    <s v="+65-9090-1234"/>
    <d v="2019-05-12T00:00:00"/>
    <d v="2024-01-09T00:00:00"/>
    <n v="168500.6"/>
    <n v="85000.9"/>
    <n v="675"/>
    <n v="182000"/>
    <x v="2"/>
    <x v="0"/>
    <n v="0"/>
    <s v="Active"/>
    <n v="0.46703791208791207"/>
    <n v="6"/>
    <x v="0"/>
    <x v="2"/>
    <x v="2"/>
  </r>
  <r>
    <s v="Maria Papadopoulos"/>
    <s v="maria_p9"/>
    <x v="4"/>
    <x v="38"/>
    <s v="Athens"/>
    <n v="45"/>
    <s v="Female"/>
    <s v="maria.papadopoulos9@email.gr"/>
    <s v="+30-699-012-3456"/>
    <d v="2021-06-28T00:00:00"/>
    <d v="2024-01-11T00:00:00"/>
    <n v="47500.4"/>
    <n v="22200.25"/>
    <n v="705"/>
    <n v="90000"/>
    <x v="0"/>
    <x v="0"/>
    <n v="0"/>
    <s v="Active"/>
    <n v="0.24666944444444444"/>
    <n v="4"/>
    <x v="0"/>
    <x v="2"/>
    <x v="0"/>
  </r>
  <r>
    <s v="James Wilson"/>
    <s v="j_wilson9"/>
    <x v="3"/>
    <x v="26"/>
    <s v="Melbourne"/>
    <n v="48"/>
    <s v="Male"/>
    <s v="james.wilson9@email.au"/>
    <s v="+61-431-234-567"/>
    <d v="2020-01-15T00:00:00"/>
    <d v="2024-01-10T00:00:00"/>
    <n v="94400.75"/>
    <n v="43300.800000000003"/>
    <n v="730"/>
    <n v="156000"/>
    <x v="0"/>
    <x v="0"/>
    <n v="0"/>
    <s v="Active"/>
    <n v="0.27756923076923079"/>
    <n v="5"/>
    <x v="0"/>
    <x v="2"/>
    <x v="2"/>
  </r>
  <r>
    <s v="Fatima Zahra"/>
    <s v="f_zahra9"/>
    <x v="1"/>
    <x v="25"/>
    <s v="Karachi"/>
    <n v="33"/>
    <s v="Female"/>
    <s v="fatima.zahra9@mail.pk"/>
    <s v="+92-329-1098765"/>
    <d v="2023-10-22T00:00:00"/>
    <d v="2024-01-15T00:00:00"/>
    <n v="10600.9"/>
    <n v="6600.75"/>
    <n v="685"/>
    <n v="43000"/>
    <x v="0"/>
    <x v="1"/>
    <n v="0"/>
    <s v="Active"/>
    <n v="0.15350581395348836"/>
    <n v="0"/>
    <x v="0"/>
    <x v="1"/>
    <x v="1"/>
  </r>
  <r>
    <s v="Kenji Yamada"/>
    <s v="kenji_y9"/>
    <x v="0"/>
    <x v="1"/>
    <s v="Tokyo"/>
    <n v="65"/>
    <s v="Male"/>
    <s v="kenji.yamada9@mail.jp"/>
    <s v="+81-80-9012-3456"/>
    <d v="2017-04-22T00:00:00"/>
    <d v="2024-01-08T00:00:00"/>
    <n v="299200.25"/>
    <n v="89000.4"/>
    <n v="840"/>
    <n v="297000"/>
    <x v="1"/>
    <x v="0"/>
    <n v="0"/>
    <s v="Active"/>
    <n v="0.29966464646464647"/>
    <n v="7"/>
    <x v="1"/>
    <x v="4"/>
    <x v="3"/>
  </r>
  <r>
    <s v="Ngozi Eze"/>
    <s v="ngozi_e9"/>
    <x v="2"/>
    <x v="6"/>
    <s v="Lagos"/>
    <n v="57"/>
    <s v="Female"/>
    <s v="ngozi.eze9@company.ng"/>
    <s v="+234-821-234-5678"/>
    <d v="2018-09-28T00:00:00"/>
    <d v="2024-01-09T00:00:00"/>
    <n v="179600.4"/>
    <n v="89000.75"/>
    <n v="650"/>
    <n v="192000"/>
    <x v="2"/>
    <x v="0"/>
    <n v="0"/>
    <s v="Active"/>
    <n v="0.46354557291666665"/>
    <n v="6"/>
    <x v="3"/>
    <x v="4"/>
    <x v="3"/>
  </r>
  <r>
    <s v="Thomas Schmidt"/>
    <s v="thomas_s9"/>
    <x v="3"/>
    <x v="7"/>
    <s v="Hamburg"/>
    <n v="44"/>
    <s v="Male"/>
    <s v="thomas.schmidt9@email.de"/>
    <s v="+49-183-4567890"/>
    <d v="2022-01-18T00:00:00"/>
    <d v="2024-01-12T00:00:00"/>
    <n v="82200.399999999994"/>
    <n v="37500.25"/>
    <n v="745"/>
    <n v="136000"/>
    <x v="0"/>
    <x v="0"/>
    <n v="0"/>
    <s v="Active"/>
    <n v="0.27573713235294117"/>
    <n v="3"/>
    <x v="0"/>
    <x v="0"/>
    <x v="2"/>
  </r>
  <r>
    <s v="Lina Chen"/>
    <s v="lina_c9"/>
    <x v="5"/>
    <x v="4"/>
    <s v="Shanghai"/>
    <n v="39"/>
    <s v="Female"/>
    <s v="lina.chen9@mail.cn"/>
    <s v="+86-137-4567-8901"/>
    <d v="2022-07-22T00:00:00"/>
    <d v="2024-01-11T00:00:00"/>
    <n v="22200.799999999999"/>
    <n v="9200.9"/>
    <n v="765"/>
    <n v="68000"/>
    <x v="1"/>
    <x v="0"/>
    <n v="0"/>
    <s v="Active"/>
    <n v="0.13530735294117646"/>
    <n v="4"/>
    <x v="2"/>
    <x v="0"/>
    <x v="1"/>
  </r>
  <r>
    <s v="Ahmed Hassan"/>
    <s v="ahmed_h9"/>
    <x v="4"/>
    <x v="20"/>
    <s v="Cairo"/>
    <n v="52"/>
    <s v="Male"/>
    <s v="ahmed.hassan9@email.eg"/>
    <s v="+20-122-321-0987"/>
    <d v="2020-07-28T00:00:00"/>
    <d v="2024-01-10T00:00:00"/>
    <n v="55500.75"/>
    <n v="28600.400000000001"/>
    <n v="675"/>
    <n v="108000"/>
    <x v="0"/>
    <x v="0"/>
    <n v="0"/>
    <s v="Active"/>
    <n v="0.26481851851851851"/>
    <n v="5"/>
    <x v="0"/>
    <x v="2"/>
    <x v="0"/>
  </r>
  <r>
    <s v="Sophie Martin"/>
    <s v="sophie_m9"/>
    <x v="6"/>
    <x v="10"/>
    <s v="Lyon"/>
    <n v="31"/>
    <s v="Female"/>
    <s v="sophie.martin9@edu.fr"/>
    <s v="+33-6-1234-5678"/>
    <d v="2024-01-28T00:00:00"/>
    <d v="2024-01-13T00:00:00"/>
    <n v="2900.25"/>
    <n v="11800.6"/>
    <n v="615"/>
    <n v="28000"/>
    <x v="2"/>
    <x v="1"/>
    <n v="0"/>
    <s v="Active"/>
    <n v="0.42144999999999999"/>
    <n v="2"/>
    <x v="3"/>
    <x v="1"/>
    <x v="1"/>
  </r>
  <r>
    <s v="Raj Kumar"/>
    <s v="raj_kumar9"/>
    <x v="2"/>
    <x v="2"/>
    <s v="Delhi"/>
    <n v="59"/>
    <s v="Male"/>
    <s v="raj.kumar9@company.in"/>
    <s v="+91-987-654-3210"/>
    <d v="2018-08-22T00:00:00"/>
    <d v="2024-01-08T00:00:00"/>
    <n v="214200.8"/>
    <n v="102000.25"/>
    <n v="660"/>
    <n v="227000"/>
    <x v="2"/>
    <x v="0"/>
    <n v="0"/>
    <s v="Active"/>
    <n v="0.44934030837004407"/>
    <n v="7"/>
    <x v="3"/>
    <x v="4"/>
    <x v="3"/>
  </r>
  <r>
    <s v="Maria Gonzalez"/>
    <s v="maria_g10"/>
    <x v="3"/>
    <x v="13"/>
    <s v="Mexico City"/>
    <n v="46"/>
    <s v="Female"/>
    <s v="maria.gonzalez10@email.mx"/>
    <s v="+52-55-2345-6789"/>
    <d v="2020-12-22T00:00:00"/>
    <d v="2024-01-11T00:00:00"/>
    <n v="76600.899999999994"/>
    <n v="34400.75"/>
    <n v="730"/>
    <n v="131000"/>
    <x v="0"/>
    <x v="0"/>
    <n v="0"/>
    <s v="Active"/>
    <n v="0.26260114503816795"/>
    <n v="4"/>
    <x v="0"/>
    <x v="2"/>
    <x v="2"/>
  </r>
  <r>
    <s v="Yuki Kobayashi"/>
    <s v="yuki_k9"/>
    <x v="1"/>
    <x v="1"/>
    <s v="Osaka"/>
    <n v="35"/>
    <s v="Female"/>
    <s v="yuki.kobayashi9@mail.jp"/>
    <s v="+81-90-0123-4567"/>
    <d v="2023-11-28T00:00:00"/>
    <d v="2024-01-14T00:00:00"/>
    <n v="11700.4"/>
    <n v="6800.25"/>
    <n v="705"/>
    <n v="45000"/>
    <x v="0"/>
    <x v="1"/>
    <n v="0"/>
    <s v="Active"/>
    <n v="0.15111666666666668"/>
    <n v="1"/>
    <x v="0"/>
    <x v="0"/>
    <x v="1"/>
  </r>
  <r>
    <s v="Kwame Asante"/>
    <s v="kwame_a9"/>
    <x v="5"/>
    <x v="15"/>
    <s v="Accra"/>
    <n v="40"/>
    <s v="Male"/>
    <s v="kwame.asante9@email.gh"/>
    <s v="+233-62-345-6789"/>
    <d v="2022-06-28T00:00:00"/>
    <d v="2024-01-12T00:00:00"/>
    <n v="21100.6"/>
    <n v="8600.7999999999993"/>
    <n v="710"/>
    <n v="61000"/>
    <x v="1"/>
    <x v="0"/>
    <n v="0"/>
    <s v="Active"/>
    <n v="0.14099672131147539"/>
    <n v="3"/>
    <x v="0"/>
    <x v="0"/>
    <x v="1"/>
  </r>
  <r>
    <s v="Anna Petrova"/>
    <s v="anna_p9"/>
    <x v="4"/>
    <x v="12"/>
    <s v="Moscow"/>
    <n v="47"/>
    <s v="Female"/>
    <s v="anna.petrova9@email.ru"/>
    <s v="+7-915-109-87-65"/>
    <d v="2020-07-22T00:00:00"/>
    <d v="2024-01-10T00:00:00"/>
    <n v="52400.25"/>
    <n v="25500.9"/>
    <n v="695"/>
    <n v="96000"/>
    <x v="0"/>
    <x v="0"/>
    <n v="0"/>
    <s v="Active"/>
    <n v="0.26563437500000003"/>
    <n v="5"/>
    <x v="0"/>
    <x v="2"/>
    <x v="0"/>
  </r>
  <r>
    <s v="Liam O'Brien"/>
    <s v="liam_obrien9"/>
    <x v="2"/>
    <x v="11"/>
    <s v="Dublin"/>
    <n v="55"/>
    <s v="Male"/>
    <s v="liam.obrien9@company.ie"/>
    <s v="+353-94-234-5678"/>
    <d v="2019-01-28T00:00:00"/>
    <d v="2024-01-09T00:00:00"/>
    <n v="146400.4"/>
    <n v="76000.600000000006"/>
    <n v="670"/>
    <n v="163000"/>
    <x v="2"/>
    <x v="0"/>
    <n v="0"/>
    <s v="Active"/>
    <n v="0.46626134969325156"/>
    <n v="6"/>
    <x v="0"/>
    <x v="4"/>
    <x v="2"/>
  </r>
  <r>
    <s v="Ying Wang"/>
    <s v="ying_w9"/>
    <x v="0"/>
    <x v="4"/>
    <s v="Beijing"/>
    <n v="63"/>
    <s v="Female"/>
    <s v="ying.wang9@mail.cn"/>
    <s v="+86-139-1234-5678"/>
    <d v="2017-11-28T00:00:00"/>
    <d v="2024-01-08T00:00:00"/>
    <n v="313300.75"/>
    <n v="93000.8"/>
    <n v="835"/>
    <n v="308000"/>
    <x v="1"/>
    <x v="0"/>
    <n v="0"/>
    <s v="Active"/>
    <n v="0.30195064935064936"/>
    <n v="7"/>
    <x v="1"/>
    <x v="4"/>
    <x v="3"/>
  </r>
  <r>
    <s v="Adeola Yusuf"/>
    <s v="adeola_y9"/>
    <x v="4"/>
    <x v="6"/>
    <s v="Abuja"/>
    <n v="50"/>
    <s v="Female"/>
    <s v="adeola.yusuf9@email.ng"/>
    <s v="+234-822-345-6789"/>
    <d v="2020-06-12T00:00:00"/>
    <d v="2024-01-11T00:00:00"/>
    <n v="61100.6"/>
    <n v="31100.25"/>
    <n v="665"/>
    <n v="116000"/>
    <x v="0"/>
    <x v="0"/>
    <n v="0"/>
    <s v="Active"/>
    <n v="0.26810560344827589"/>
    <n v="4"/>
    <x v="3"/>
    <x v="2"/>
    <x v="0"/>
  </r>
  <r>
    <s v="Marco Bianchi"/>
    <s v="marco_b9"/>
    <x v="3"/>
    <x v="18"/>
    <s v="Rome"/>
    <n v="42"/>
    <s v="Male"/>
    <s v="marco.bianchi9@email.it"/>
    <s v="+39-356-012-3456"/>
    <d v="2022-03-22T00:00:00"/>
    <d v="2024-01-12T00:00:00"/>
    <n v="84400.8"/>
    <n v="38600.400000000001"/>
    <n v="750"/>
    <n v="142000"/>
    <x v="0"/>
    <x v="0"/>
    <n v="0"/>
    <s v="Active"/>
    <n v="0.27183380281690139"/>
    <n v="3"/>
    <x v="2"/>
    <x v="0"/>
    <x v="2"/>
  </r>
  <r>
    <s v="Jennifer Kim"/>
    <s v="jennifer_k9"/>
    <x v="5"/>
    <x v="0"/>
    <s v="Seattle"/>
    <n v="38"/>
    <s v="Female"/>
    <s v="jennifer.kim9@email.com"/>
    <s v="+1-206-555-0194"/>
    <d v="2022-09-22T00:00:00"/>
    <d v="2024-01-14T00:00:00"/>
    <n v="23300.9"/>
    <n v="9600.75"/>
    <n v="770"/>
    <n v="73000"/>
    <x v="1"/>
    <x v="0"/>
    <n v="0"/>
    <s v="Active"/>
    <n v="0.13151712328767123"/>
    <n v="1"/>
    <x v="2"/>
    <x v="0"/>
    <x v="1"/>
  </r>
  <r>
    <s v="Rahman Hussain"/>
    <s v="rahman_h9"/>
    <x v="2"/>
    <x v="25"/>
    <s v="Lahore"/>
    <n v="61"/>
    <s v="Male"/>
    <s v="rahman.hussain9@company.pk"/>
    <s v="+92-308-1098765"/>
    <d v="2018-05-22T00:00:00"/>
    <d v="2024-01-08T00:00:00"/>
    <n v="199500.25"/>
    <n v="97000.8"/>
    <n v="645"/>
    <n v="213000"/>
    <x v="2"/>
    <x v="0"/>
    <n v="0"/>
    <s v="Active"/>
    <n v="0.45540281690140849"/>
    <n v="7"/>
    <x v="3"/>
    <x v="4"/>
    <x v="3"/>
  </r>
  <r>
    <s v="Sofia Martinez"/>
    <s v="sofia_m9"/>
    <x v="1"/>
    <x v="14"/>
    <s v="Madrid"/>
    <n v="34"/>
    <s v="Female"/>
    <s v="sofia.martinez9@mail.es"/>
    <s v="+34-631-234-567"/>
    <d v="2023-12-15T00:00:00"/>
    <d v="2024-01-15T00:00:00"/>
    <n v="18200.5"/>
    <n v="9200.4"/>
    <n v="720"/>
    <n v="50000"/>
    <x v="1"/>
    <x v="0"/>
    <n v="0"/>
    <s v="Active"/>
    <n v="0.184008"/>
    <n v="0"/>
    <x v="0"/>
    <x v="1"/>
    <x v="1"/>
  </r>
  <r>
    <s v="Kenji Sato"/>
    <s v="kenji_sato10"/>
    <x v="6"/>
    <x v="1"/>
    <s v="Tokyo"/>
    <n v="30"/>
    <s v="Male"/>
    <s v="kenji.sato10@edu.jp"/>
    <s v="+81-90-3456-7890"/>
    <d v="2024-01-25T00:00:00"/>
    <d v="2024-01-13T00:00:00"/>
    <n v="2650.8"/>
    <n v="10200.25"/>
    <n v="605"/>
    <n v="26000"/>
    <x v="2"/>
    <x v="1"/>
    <n v="0"/>
    <s v="Active"/>
    <n v="0.39231730769230772"/>
    <n v="2"/>
    <x v="3"/>
    <x v="1"/>
    <x v="1"/>
  </r>
  <r>
    <s v="Fatoumata Bello"/>
    <s v="fatou_b9"/>
    <x v="3"/>
    <x v="19"/>
    <s v="Dakar"/>
    <n v="44"/>
    <s v="Female"/>
    <s v="fatoumata.bello9@email.sn"/>
    <s v="+221-86-012-3456"/>
    <d v="2021-11-28T00:00:00"/>
    <d v="2024-01-11T00:00:00"/>
    <n v="71100.399999999994"/>
    <n v="33300.75"/>
    <n v="710"/>
    <n v="124000"/>
    <x v="0"/>
    <x v="0"/>
    <n v="0"/>
    <s v="Active"/>
    <n v="0.26855443548387098"/>
    <n v="4"/>
    <x v="0"/>
    <x v="0"/>
    <x v="0"/>
  </r>
  <r>
    <s v="David Wilson"/>
    <s v="david_w9"/>
    <x v="2"/>
    <x v="3"/>
    <s v="Manchester"/>
    <n v="58"/>
    <s v="Male"/>
    <s v="david.wilson9@company.co.uk"/>
    <s v="+44-79-3456-7890"/>
    <d v="2018-10-22T00:00:00"/>
    <d v="2024-01-09T00:00:00"/>
    <n v="179700.6"/>
    <n v="90000.25"/>
    <n v="675"/>
    <n v="193000"/>
    <x v="2"/>
    <x v="0"/>
    <n v="0"/>
    <s v="Active"/>
    <n v="0.46632253886010361"/>
    <n v="6"/>
    <x v="0"/>
    <x v="4"/>
    <x v="3"/>
  </r>
  <r>
    <s v="Lina Park"/>
    <s v="lina_park9"/>
    <x v="4"/>
    <x v="17"/>
    <s v="Seoul"/>
    <n v="43"/>
    <s v="Female"/>
    <s v="lina.park9@email.kr"/>
    <s v="+82-10-2345-6789"/>
    <d v="2021-04-28T00:00:00"/>
    <d v="2024-01-10T00:00:00"/>
    <n v="47500.75"/>
    <n v="24400.799999999999"/>
    <n v="725"/>
    <n v="90000"/>
    <x v="0"/>
    <x v="0"/>
    <n v="0"/>
    <s v="Active"/>
    <n v="0.27111999999999997"/>
    <n v="5"/>
    <x v="0"/>
    <x v="0"/>
    <x v="0"/>
  </r>
  <r>
    <s v="Ahmed Al-Mansoori"/>
    <s v="ahmed_alm9"/>
    <x v="5"/>
    <x v="8"/>
    <s v="Dubai"/>
    <n v="41"/>
    <s v="Male"/>
    <s v="ahmed.almansoori9@email.ae"/>
    <s v="+971-50-456-7890"/>
    <d v="2022-07-22T00:00:00"/>
    <d v="2024-01-12T00:00:00"/>
    <n v="25500.400000000001"/>
    <n v="10400.9"/>
    <n v="740"/>
    <n v="76000"/>
    <x v="1"/>
    <x v="0"/>
    <n v="0"/>
    <s v="Active"/>
    <n v="0.13685394736842105"/>
    <n v="3"/>
    <x v="0"/>
    <x v="0"/>
    <x v="0"/>
  </r>
  <r>
    <s v="Maria Costa"/>
    <s v="maria_costa9"/>
    <x v="0"/>
    <x v="5"/>
    <s v="São Paulo"/>
    <n v="64"/>
    <s v="Female"/>
    <s v="maria.costa9@mail.com.br"/>
    <s v="+55-11-99456-7890"/>
    <d v="2017-07-28T00:00:00"/>
    <d v="2024-01-08T00:00:00"/>
    <n v="268600.90000000002"/>
    <n v="80000.600000000006"/>
    <n v="830"/>
    <n v="288000"/>
    <x v="1"/>
    <x v="0"/>
    <n v="0"/>
    <s v="Active"/>
    <n v="0.27777986111111114"/>
    <n v="7"/>
    <x v="1"/>
    <x v="4"/>
    <x v="3"/>
  </r>
  <r>
    <s v="Chinedu Nwankwo"/>
    <s v="chinedu_n9"/>
    <x v="2"/>
    <x v="6"/>
    <s v="Port Harcourt"/>
    <n v="56"/>
    <s v="Male"/>
    <s v="chinedu.nwankwo9@company.ng"/>
    <s v="+234-823-456-7890"/>
    <d v="2019-03-15T00:00:00"/>
    <d v="2024-01-09T00:00:00"/>
    <n v="157500.25"/>
    <n v="82000.399999999994"/>
    <n v="655"/>
    <n v="178000"/>
    <x v="2"/>
    <x v="0"/>
    <n v="0"/>
    <s v="Active"/>
    <n v="0.46067640449438196"/>
    <n v="6"/>
    <x v="3"/>
    <x v="4"/>
    <x v="2"/>
  </r>
  <r>
    <s v="Isabelle Moreau"/>
    <s v="isabelle_m9"/>
    <x v="3"/>
    <x v="9"/>
    <s v="Toronto"/>
    <n v="45"/>
    <s v="Female"/>
    <s v="isabelle.moreau9@email.ca"/>
    <s v="+1-647-555-0196"/>
    <d v="2021-08-28T00:00:00"/>
    <d v="2024-01-11T00:00:00"/>
    <n v="90000.6"/>
    <n v="41300.75"/>
    <n v="760"/>
    <n v="147000"/>
    <x v="0"/>
    <x v="0"/>
    <n v="0"/>
    <s v="Active"/>
    <n v="0.28095748299319728"/>
    <n v="4"/>
    <x v="2"/>
    <x v="2"/>
    <x v="2"/>
  </r>
  <r>
    <s v="Rahman Ali"/>
    <s v="rahman_ali10"/>
    <x v="1"/>
    <x v="36"/>
    <s v="Surabaya"/>
    <n v="36"/>
    <s v="Male"/>
    <s v="rahman.ali10@mail.id"/>
    <s v="+62-820-1234-5678"/>
    <d v="2023-10-22T00:00:00"/>
    <d v="2024-01-15T00:00:00"/>
    <n v="12400.25"/>
    <n v="7300.8"/>
    <n v="695"/>
    <n v="47000"/>
    <x v="0"/>
    <x v="1"/>
    <n v="0"/>
    <s v="Active"/>
    <n v="0.15533617021276597"/>
    <n v="0"/>
    <x v="0"/>
    <x v="0"/>
    <x v="1"/>
  </r>
  <r>
    <s v="Sarah Johnson"/>
    <s v="sarah_j9"/>
    <x v="5"/>
    <x v="0"/>
    <s v="New York"/>
    <n v="39"/>
    <s v="Female"/>
    <s v="sarah.johnson9@email.com"/>
    <s v="+1-646-555-0196"/>
    <d v="2022-05-22T00:00:00"/>
    <d v="2024-01-12T00:00:00"/>
    <n v="24400.9"/>
    <n v="10000.25"/>
    <n v="755"/>
    <n v="69000"/>
    <x v="1"/>
    <x v="0"/>
    <n v="0"/>
    <s v="Active"/>
    <n v="0.14493115942028986"/>
    <n v="3"/>
    <x v="2"/>
    <x v="0"/>
    <x v="1"/>
  </r>
  <r>
    <s v="Wei Zhang"/>
    <s v="wei_zhang9"/>
    <x v="2"/>
    <x v="4"/>
    <s v="Beijing"/>
    <n v="57"/>
    <s v="Male"/>
    <s v="wei.zhang9@company.cn"/>
    <s v="+86-138-5678-9012"/>
    <d v="2018-12-22T00:00:00"/>
    <d v="2024-01-09T00:00:00"/>
    <n v="190400.4"/>
    <n v="95000.75"/>
    <n v="685"/>
    <n v="203000"/>
    <x v="2"/>
    <x v="0"/>
    <n v="0"/>
    <s v="Active"/>
    <n v="0.46798399014778325"/>
    <n v="6"/>
    <x v="0"/>
    <x v="4"/>
    <x v="3"/>
  </r>
  <r>
    <s v="Anna Kowalski"/>
    <s v="anna_k10"/>
    <x v="4"/>
    <x v="37"/>
    <s v="Warsaw"/>
    <n v="48"/>
    <s v="Female"/>
    <s v="anna.kowalski10@email.pl"/>
    <s v="+48-708-012-345"/>
    <d v="2020-09-12T00:00:00"/>
    <d v="2024-01-10T00:00:00"/>
    <n v="54400.800000000003"/>
    <n v="27500.6"/>
    <n v="715"/>
    <n v="102000"/>
    <x v="0"/>
    <x v="0"/>
    <n v="0"/>
    <s v="Active"/>
    <n v="0.26961372549019608"/>
    <n v="5"/>
    <x v="0"/>
    <x v="2"/>
    <x v="0"/>
  </r>
  <r>
    <s v="Mohammed Rahman"/>
    <s v="m_rahman10"/>
    <x v="3"/>
    <x v="29"/>
    <s v="Dhaka"/>
    <n v="51"/>
    <s v="Male"/>
    <s v="mohammed.rahman10@email.bd"/>
    <s v="+880-1812-234567"/>
    <d v="2020-06-28T00:00:00"/>
    <d v="2024-01-11T00:00:00"/>
    <n v="82200.25"/>
    <n v="37500.400000000001"/>
    <n v="680"/>
    <n v="131000"/>
    <x v="0"/>
    <x v="0"/>
    <n v="0"/>
    <s v="Active"/>
    <n v="0.28626259541984733"/>
    <n v="4"/>
    <x v="0"/>
    <x v="2"/>
    <x v="2"/>
  </r>
  <r>
    <s v="Yumi Tanaka"/>
    <s v="yumi_tanaka9"/>
    <x v="6"/>
    <x v="1"/>
    <s v="Osaka"/>
    <n v="31"/>
    <s v="Female"/>
    <s v="yumi.tanaka9@edu.jp"/>
    <s v="+81-90-4567-8901"/>
    <d v="2024-01-28T00:00:00"/>
    <d v="2024-01-13T00:00:00"/>
    <n v="2750.4"/>
    <n v="10800.75"/>
    <n v="610"/>
    <n v="27000"/>
    <x v="2"/>
    <x v="1"/>
    <n v="0"/>
    <s v="Active"/>
    <n v="0.40002777777777776"/>
    <n v="2"/>
    <x v="3"/>
    <x v="1"/>
    <x v="1"/>
  </r>
  <r>
    <s v="Carlos Mendez"/>
    <s v="carlos_m9"/>
    <x v="0"/>
    <x v="13"/>
    <s v="Mexico City"/>
    <n v="63"/>
    <s v="Male"/>
    <s v="carlos.mendez9@mail.mx"/>
    <s v="+52-55-2345-6789"/>
    <d v="2018-02-12T00:00:00"/>
    <d v="2024-01-08T00:00:00"/>
    <n v="288400.8"/>
    <n v="86000.25"/>
    <n v="825"/>
    <n v="283000"/>
    <x v="1"/>
    <x v="0"/>
    <n v="0"/>
    <s v="Active"/>
    <n v="0.30388780918727915"/>
    <n v="7"/>
    <x v="1"/>
    <x v="4"/>
    <x v="3"/>
  </r>
  <r>
    <s v="Aisha Mohammed"/>
    <s v="aisha_m10"/>
    <x v="5"/>
    <x v="16"/>
    <s v="Nairobi"/>
    <n v="38"/>
    <s v="Female"/>
    <s v="aisha.mohammed10@email.ke"/>
    <s v="+254-732-345-678"/>
    <d v="2022-11-22T00:00:00"/>
    <d v="2024-01-14T00:00:00"/>
    <n v="21100.75"/>
    <n v="8400.4"/>
    <n v="725"/>
    <n v="59000"/>
    <x v="1"/>
    <x v="0"/>
    <n v="0"/>
    <s v="Active"/>
    <n v="0.14237966101694915"/>
    <n v="1"/>
    <x v="0"/>
    <x v="0"/>
    <x v="1"/>
  </r>
  <r>
    <s v="David Chen"/>
    <s v="david_chen10"/>
    <x v="2"/>
    <x v="23"/>
    <s v="Singapore"/>
    <n v="55"/>
    <s v="Male"/>
    <s v="david.chen10@company.sg"/>
    <s v="+65-9190-1234"/>
    <d v="2019-06-08T00:00:00"/>
    <d v="2024-01-09T00:00:00"/>
    <n v="168600.6"/>
    <n v="86000.9"/>
    <n v="675"/>
    <n v="183000"/>
    <x v="2"/>
    <x v="0"/>
    <n v="0"/>
    <s v="Active"/>
    <n v="0.4699502732240437"/>
    <n v="6"/>
    <x v="0"/>
    <x v="4"/>
    <x v="2"/>
  </r>
  <r>
    <s v="Maria Papadopoulos"/>
    <s v="maria_p10"/>
    <x v="4"/>
    <x v="38"/>
    <s v="Athens"/>
    <n v="46"/>
    <s v="Female"/>
    <s v="maria.papadopoulos10@email.gr"/>
    <s v="+30-700-123-4567"/>
    <d v="2021-07-22T00:00:00"/>
    <d v="2024-01-11T00:00:00"/>
    <n v="48600.4"/>
    <n v="23300.25"/>
    <n v="705"/>
    <n v="91000"/>
    <x v="0"/>
    <x v="0"/>
    <n v="0"/>
    <s v="Active"/>
    <n v="0.25604670329670332"/>
    <n v="4"/>
    <x v="0"/>
    <x v="2"/>
    <x v="0"/>
  </r>
  <r>
    <s v="James Wilson"/>
    <s v="j_wilson10"/>
    <x v="3"/>
    <x v="26"/>
    <s v="Sydney"/>
    <n v="49"/>
    <s v="Male"/>
    <s v="james.wilson10@email.au"/>
    <s v="+61-432-345-678"/>
    <d v="2020-02-12T00:00:00"/>
    <d v="2024-01-10T00:00:00"/>
    <n v="95500.75"/>
    <n v="44400.800000000003"/>
    <n v="730"/>
    <n v="157000"/>
    <x v="0"/>
    <x v="0"/>
    <n v="0"/>
    <s v="Active"/>
    <n v="0.28280764331210195"/>
    <n v="5"/>
    <x v="0"/>
    <x v="2"/>
    <x v="2"/>
  </r>
  <r>
    <s v="Fatima Zahra"/>
    <s v="f_zahra10"/>
    <x v="1"/>
    <x v="25"/>
    <s v="Islamabad"/>
    <n v="34"/>
    <s v="Female"/>
    <s v="fatima.zahra10@mail.pk"/>
    <s v="+92-330-0987654"/>
    <d v="2023-11-28T00:00:00"/>
    <d v="2024-01-15T00:00:00"/>
    <n v="11000.9"/>
    <n v="6900.75"/>
    <n v="685"/>
    <n v="44000"/>
    <x v="0"/>
    <x v="1"/>
    <n v="0"/>
    <s v="Active"/>
    <n v="0.15683522727272728"/>
    <n v="0"/>
    <x v="0"/>
    <x v="1"/>
    <x v="1"/>
  </r>
  <r>
    <s v="Kenji Yamada"/>
    <s v="kenji_y10"/>
    <x v="0"/>
    <x v="1"/>
    <s v="Tokyo"/>
    <n v="66"/>
    <s v="Male"/>
    <s v="kenji.yamada10@mail.jp"/>
    <s v="+81-80-0123-4567"/>
    <d v="2017-05-28T00:00:00"/>
    <d v="2024-01-08T00:00:00"/>
    <n v="299300.25"/>
    <n v="90000.4"/>
    <n v="840"/>
    <n v="298000"/>
    <x v="1"/>
    <x v="0"/>
    <n v="0"/>
    <s v="Active"/>
    <n v="0.3020147651006711"/>
    <n v="7"/>
    <x v="1"/>
    <x v="4"/>
    <x v="3"/>
  </r>
  <r>
    <s v="Ngozi Eze"/>
    <s v="ngozi_e10"/>
    <x v="2"/>
    <x v="6"/>
    <s v="Lagos"/>
    <n v="58"/>
    <s v="Female"/>
    <s v="ngozi.eze10@company.ng"/>
    <s v="+234-822-345-6789"/>
    <d v="2018-10-15T00:00:00"/>
    <d v="2024-01-09T00:00:00"/>
    <n v="179700.4"/>
    <n v="90000.75"/>
    <n v="650"/>
    <n v="193000"/>
    <x v="2"/>
    <x v="0"/>
    <n v="0"/>
    <s v="Active"/>
    <n v="0.46632512953367877"/>
    <n v="6"/>
    <x v="3"/>
    <x v="4"/>
    <x v="3"/>
  </r>
  <r>
    <s v="Thomas Schmidt"/>
    <s v="thomas_s10"/>
    <x v="3"/>
    <x v="7"/>
    <s v="Munich"/>
    <n v="45"/>
    <s v="Male"/>
    <s v="thomas.schmidt10@email.de"/>
    <s v="+49-184-5678901"/>
    <d v="2022-02-22T00:00:00"/>
    <d v="2024-01-12T00:00:00"/>
    <n v="83300.399999999994"/>
    <n v="38600.25"/>
    <n v="745"/>
    <n v="137000"/>
    <x v="0"/>
    <x v="0"/>
    <n v="0"/>
    <s v="Active"/>
    <n v="0.28175364963503652"/>
    <n v="3"/>
    <x v="0"/>
    <x v="2"/>
    <x v="2"/>
  </r>
  <r>
    <s v="Lina Chen"/>
    <s v="lina_c10"/>
    <x v="5"/>
    <x v="4"/>
    <s v="Beijing"/>
    <n v="40"/>
    <s v="Female"/>
    <s v="lina.chen10@mail.cn"/>
    <s v="+86-137-5678-9012"/>
    <d v="2022-08-28T00:00:00"/>
    <d v="2024-01-11T00:00:00"/>
    <n v="23300.799999999999"/>
    <n v="9600.9"/>
    <n v="765"/>
    <n v="69000"/>
    <x v="1"/>
    <x v="0"/>
    <n v="0"/>
    <s v="Active"/>
    <n v="0.13914347826086956"/>
    <n v="4"/>
    <x v="2"/>
    <x v="0"/>
    <x v="1"/>
  </r>
  <r>
    <s v="Ahmed Hassan"/>
    <s v="ahmed_h10"/>
    <x v="4"/>
    <x v="20"/>
    <s v="Alexandria"/>
    <n v="53"/>
    <s v="Male"/>
    <s v="ahmed.hassan10@email.eg"/>
    <s v="+20-122-210-9876"/>
    <d v="2020-08-28T00:00:00"/>
    <d v="2024-01-10T00:00:00"/>
    <n v="56600.75"/>
    <n v="29700.400000000001"/>
    <n v="675"/>
    <n v="109000"/>
    <x v="0"/>
    <x v="0"/>
    <n v="0"/>
    <s v="Active"/>
    <n v="0.27248073394495415"/>
    <n v="5"/>
    <x v="0"/>
    <x v="2"/>
    <x v="0"/>
  </r>
  <r>
    <s v="Sophie Martin"/>
    <s v="sophie_m10"/>
    <x v="6"/>
    <x v="10"/>
    <s v="Paris"/>
    <n v="32"/>
    <s v="Female"/>
    <s v="sophie.martin10@edu.fr"/>
    <s v="+33-6-2345-6789"/>
    <d v="2024-02-05T00:00:00"/>
    <d v="2024-01-13T00:00:00"/>
    <n v="3000.25"/>
    <n v="12000.6"/>
    <n v="615"/>
    <n v="29000"/>
    <x v="2"/>
    <x v="1"/>
    <n v="0"/>
    <s v="Active"/>
    <n v="0.41381379310344829"/>
    <n v="2"/>
    <x v="3"/>
    <x v="1"/>
    <x v="1"/>
  </r>
  <r>
    <s v="Raj Kumar"/>
    <s v="raj_kumar10"/>
    <x v="2"/>
    <x v="2"/>
    <s v="Mumbai"/>
    <n v="60"/>
    <s v="Male"/>
    <s v="raj.kumar10@company.in"/>
    <s v="+91-987-654-3210"/>
    <d v="2018-09-28T00:00:00"/>
    <d v="2024-01-08T00:00:00"/>
    <n v="214300.79999999999"/>
    <n v="103000.25"/>
    <n v="660"/>
    <n v="228000"/>
    <x v="2"/>
    <x v="0"/>
    <n v="0"/>
    <s v="Active"/>
    <n v="0.45175548245614033"/>
    <n v="7"/>
    <x v="3"/>
    <x v="4"/>
    <x v="3"/>
  </r>
  <r>
    <s v="Maria Gonzalez"/>
    <s v="maria_g11"/>
    <x v="3"/>
    <x v="13"/>
    <s v="Monterrey"/>
    <n v="47"/>
    <s v="Female"/>
    <s v="maria.gonzalez11@email.mx"/>
    <s v="+52-81-6789-0123"/>
    <d v="2021-01-15T00:00:00"/>
    <d v="2024-01-11T00:00:00"/>
    <n v="77700.899999999994"/>
    <n v="35500.75"/>
    <n v="730"/>
    <n v="132000"/>
    <x v="0"/>
    <x v="0"/>
    <n v="0"/>
    <s v="Active"/>
    <n v="0.26894507575757576"/>
    <n v="4"/>
    <x v="0"/>
    <x v="2"/>
    <x v="2"/>
  </r>
  <r>
    <s v="Yuki Kobayashi"/>
    <s v="yuki_k10"/>
    <x v="1"/>
    <x v="1"/>
    <s v="Osaka"/>
    <n v="36"/>
    <s v="Female"/>
    <s v="yuki.kobayashi10@mail.jp"/>
    <s v="+81-90-1234-5678"/>
    <d v="2023-12-22T00:00:00"/>
    <d v="2024-01-14T00:00:00"/>
    <n v="12100.4"/>
    <n v="7000.25"/>
    <n v="705"/>
    <n v="46000"/>
    <x v="0"/>
    <x v="1"/>
    <n v="0"/>
    <s v="Active"/>
    <n v="0.15217934782608697"/>
    <n v="1"/>
    <x v="0"/>
    <x v="0"/>
    <x v="1"/>
  </r>
  <r>
    <s v="Kwame Asante"/>
    <s v="kwame_a10"/>
    <x v="5"/>
    <x v="15"/>
    <s v="Accra"/>
    <n v="41"/>
    <s v="Male"/>
    <s v="kwame.asante10@email.gh"/>
    <s v="+233-63-456-7890"/>
    <d v="2022-07-22T00:00:00"/>
    <d v="2024-01-12T00:00:00"/>
    <n v="22200.6"/>
    <n v="9000.7999999999993"/>
    <n v="710"/>
    <n v="62000"/>
    <x v="1"/>
    <x v="0"/>
    <n v="0"/>
    <s v="Active"/>
    <n v="0.14517419354838709"/>
    <n v="3"/>
    <x v="0"/>
    <x v="0"/>
    <x v="1"/>
  </r>
  <r>
    <s v="Anna Petrova"/>
    <s v="anna_p10"/>
    <x v="4"/>
    <x v="12"/>
    <s v="St. Petersburg"/>
    <n v="48"/>
    <s v="Female"/>
    <s v="anna.petrova10@email.ru"/>
    <s v="+7-921-098-76-54"/>
    <d v="2020-08-28T00:00:00"/>
    <d v="2024-01-10T00:00:00"/>
    <n v="53500.25"/>
    <n v="26600.9"/>
    <n v="695"/>
    <n v="97000"/>
    <x v="0"/>
    <x v="0"/>
    <n v="0"/>
    <s v="Active"/>
    <n v="0.27423608247422682"/>
    <n v="5"/>
    <x v="0"/>
    <x v="2"/>
    <x v="0"/>
  </r>
  <r>
    <s v="Liam O'Brien"/>
    <s v="liam_obrien10"/>
    <x v="2"/>
    <x v="11"/>
    <s v="Dublin"/>
    <n v="56"/>
    <s v="Male"/>
    <s v="liam.obrien10@company.ie"/>
    <s v="+353-95-345-6789"/>
    <d v="2019-02-22T00:00:00"/>
    <d v="2024-01-09T00:00:00"/>
    <n v="146500.4"/>
    <n v="77000.600000000006"/>
    <n v="670"/>
    <n v="164000"/>
    <x v="2"/>
    <x v="0"/>
    <n v="0"/>
    <s v="Active"/>
    <n v="0.4695158536585366"/>
    <n v="6"/>
    <x v="0"/>
    <x v="4"/>
    <x v="2"/>
  </r>
  <r>
    <s v="Ying Wang"/>
    <s v="ying_w10"/>
    <x v="0"/>
    <x v="4"/>
    <s v="Shanghai"/>
    <n v="64"/>
    <s v="Female"/>
    <s v="ying.wang10@mail.cn"/>
    <s v="+86-139-2345-6789"/>
    <d v="2017-12-22T00:00:00"/>
    <d v="2024-01-08T00:00:00"/>
    <n v="313400.75"/>
    <n v="94000.8"/>
    <n v="835"/>
    <n v="309000"/>
    <x v="1"/>
    <x v="0"/>
    <n v="0"/>
    <s v="Active"/>
    <n v="0.30420970873786407"/>
    <n v="7"/>
    <x v="1"/>
    <x v="4"/>
    <x v="3"/>
  </r>
  <r>
    <s v="Adeola Yusuf"/>
    <s v="adeola_y10"/>
    <x v="4"/>
    <x v="6"/>
    <s v="Lagos"/>
    <n v="51"/>
    <s v="Female"/>
    <s v="adeola.yusuf10@email.ng"/>
    <s v="+234-823-456-7890"/>
    <d v="2020-07-15T00:00:00"/>
    <d v="2024-01-11T00:00:00"/>
    <n v="62200.6"/>
    <n v="32200.25"/>
    <n v="665"/>
    <n v="117000"/>
    <x v="0"/>
    <x v="0"/>
    <n v="0"/>
    <s v="Active"/>
    <n v="0.27521581196581196"/>
    <n v="4"/>
    <x v="3"/>
    <x v="2"/>
    <x v="0"/>
  </r>
  <r>
    <s v="Marco Bianchi"/>
    <s v="marco_b10"/>
    <x v="3"/>
    <x v="18"/>
    <s v="Milan"/>
    <n v="43"/>
    <s v="Male"/>
    <s v="marco.bianchi10@email.it"/>
    <s v="+39-357-123-4567"/>
    <d v="2022-04-28T00:00:00"/>
    <d v="2024-01-12T00:00:00"/>
    <n v="85500.800000000003"/>
    <n v="39700.400000000001"/>
    <n v="750"/>
    <n v="143000"/>
    <x v="0"/>
    <x v="0"/>
    <n v="0"/>
    <s v="Active"/>
    <n v="0.27762517482517485"/>
    <n v="3"/>
    <x v="2"/>
    <x v="0"/>
    <x v="2"/>
  </r>
  <r>
    <s v="Jennifer Kim"/>
    <s v="jennifer_k10"/>
    <x v="5"/>
    <x v="0"/>
    <s v="Los Angeles"/>
    <n v="39"/>
    <s v="Female"/>
    <s v="jennifer.kim10@email.com"/>
    <s v="+1-310-555-0194"/>
    <d v="2022-10-22T00:00:00"/>
    <d v="2024-01-14T00:00:00"/>
    <n v="24400.9"/>
    <n v="10000.75"/>
    <n v="770"/>
    <n v="74000"/>
    <x v="1"/>
    <x v="0"/>
    <n v="0"/>
    <s v="Active"/>
    <n v="0.13514527027027026"/>
    <n v="1"/>
    <x v="2"/>
    <x v="0"/>
    <x v="1"/>
  </r>
  <r>
    <s v="Rahman Hussain"/>
    <s v="rahman_h10"/>
    <x v="2"/>
    <x v="25"/>
    <s v="Karachi"/>
    <n v="62"/>
    <s v="Male"/>
    <s v="rahman.hussain10@company.pk"/>
    <s v="+92-309-0987654"/>
    <d v="2018-06-28T00:00:00"/>
    <d v="2024-01-08T00:00:00"/>
    <n v="199600.25"/>
    <n v="98000.8"/>
    <n v="645"/>
    <n v="214000"/>
    <x v="2"/>
    <x v="0"/>
    <n v="0"/>
    <s v="Active"/>
    <n v="0.45794766355140187"/>
    <n v="7"/>
    <x v="3"/>
    <x v="4"/>
    <x v="3"/>
  </r>
  <r>
    <s v="Sofia Martinez"/>
    <s v="sofia_m10"/>
    <x v="1"/>
    <x v="14"/>
    <s v="Valencia"/>
    <n v="35"/>
    <s v="Female"/>
    <s v="sofia.martinez10@mail.es"/>
    <s v="+34-632-345-678"/>
    <d v="2024-01-08T00:00:00"/>
    <d v="2024-01-15T00:00:00"/>
    <n v="19200.5"/>
    <n v="9600.4"/>
    <n v="720"/>
    <n v="51000"/>
    <x v="1"/>
    <x v="0"/>
    <n v="0"/>
    <s v="Active"/>
    <n v="0.18824313725490197"/>
    <n v="0"/>
    <x v="0"/>
    <x v="0"/>
    <x v="1"/>
  </r>
  <r>
    <s v="Kenji Sato"/>
    <s v="kenji_sato11"/>
    <x v="6"/>
    <x v="1"/>
    <s v="Tokyo"/>
    <n v="31"/>
    <s v="Male"/>
    <s v="kenji.sato11@edu.jp"/>
    <s v="+81-90-4567-8901"/>
    <d v="2024-01-28T00:00:00"/>
    <d v="2024-01-13T00:00:00"/>
    <n v="2750.8"/>
    <n v="10400.25"/>
    <n v="605"/>
    <n v="27000"/>
    <x v="2"/>
    <x v="1"/>
    <n v="0"/>
    <s v="Active"/>
    <n v="0.38519444444444445"/>
    <n v="2"/>
    <x v="3"/>
    <x v="1"/>
    <x v="1"/>
  </r>
  <r>
    <s v="Fatoumata Bello"/>
    <s v="fatou_b10"/>
    <x v="3"/>
    <x v="19"/>
    <s v="Dakar"/>
    <n v="45"/>
    <s v="Female"/>
    <s v="fatoumata.bello10@email.sn"/>
    <s v="+221-87-123-4567"/>
    <d v="2021-12-22T00:00:00"/>
    <d v="2024-01-11T00:00:00"/>
    <n v="72200.399999999994"/>
    <n v="34400.75"/>
    <n v="710"/>
    <n v="125000"/>
    <x v="0"/>
    <x v="0"/>
    <n v="0"/>
    <s v="Active"/>
    <n v="0.27520600000000001"/>
    <n v="4"/>
    <x v="0"/>
    <x v="2"/>
    <x v="0"/>
  </r>
  <r>
    <s v="David Wilson"/>
    <s v="david_w10"/>
    <x v="2"/>
    <x v="3"/>
    <s v="London"/>
    <n v="59"/>
    <s v="Male"/>
    <s v="david.wilson10@company.co.uk"/>
    <s v="+44-79-4567-8901"/>
    <d v="2018-11-28T00:00:00"/>
    <d v="2024-01-09T00:00:00"/>
    <n v="179800.6"/>
    <n v="91000.25"/>
    <n v="675"/>
    <n v="194000"/>
    <x v="2"/>
    <x v="0"/>
    <n v="0"/>
    <s v="Active"/>
    <n v="0.46907345360824743"/>
    <n v="6"/>
    <x v="0"/>
    <x v="4"/>
    <x v="3"/>
  </r>
  <r>
    <s v="Lina Park"/>
    <s v="lina_park10"/>
    <x v="4"/>
    <x v="17"/>
    <s v="Seoul"/>
    <n v="44"/>
    <s v="Female"/>
    <s v="lina.park10@email.kr"/>
    <s v="+82-10-3456-7890"/>
    <d v="2021-05-22T00:00:00"/>
    <d v="2024-01-10T00:00:00"/>
    <n v="48600.75"/>
    <n v="25500.799999999999"/>
    <n v="725"/>
    <n v="91000"/>
    <x v="0"/>
    <x v="0"/>
    <n v="0"/>
    <s v="Active"/>
    <n v="0.28022857142857144"/>
    <n v="5"/>
    <x v="0"/>
    <x v="0"/>
    <x v="0"/>
  </r>
  <r>
    <s v="Ahmed Al-Mansoori"/>
    <s v="ahmed_alm10"/>
    <x v="5"/>
    <x v="8"/>
    <s v="Abu Dhabi"/>
    <n v="42"/>
    <s v="Male"/>
    <s v="ahmed.almansoori10@email.ae"/>
    <s v="+971-50-567-8901"/>
    <d v="2022-08-28T00:00:00"/>
    <d v="2024-01-12T00:00:00"/>
    <n v="26600.400000000001"/>
    <n v="10800.9"/>
    <n v="740"/>
    <n v="77000"/>
    <x v="1"/>
    <x v="0"/>
    <n v="0"/>
    <s v="Active"/>
    <n v="0.14027142857142857"/>
    <n v="3"/>
    <x v="0"/>
    <x v="0"/>
    <x v="0"/>
  </r>
  <r>
    <s v="Maria Costa"/>
    <s v="maria_costa10"/>
    <x v="0"/>
    <x v="5"/>
    <s v="São Paulo"/>
    <n v="65"/>
    <s v="Female"/>
    <s v="maria.costa10@mail.com.br"/>
    <s v="+55-11-99567-8901"/>
    <d v="2017-08-28T00:00:00"/>
    <d v="2024-01-08T00:00:00"/>
    <n v="268700.90000000002"/>
    <n v="81000.600000000006"/>
    <n v="830"/>
    <n v="289000"/>
    <x v="1"/>
    <x v="0"/>
    <n v="0"/>
    <s v="Active"/>
    <n v="0.28027889273356404"/>
    <n v="7"/>
    <x v="1"/>
    <x v="4"/>
    <x v="3"/>
  </r>
  <r>
    <s v="Chinedu Nwankwo"/>
    <s v="chinedu_n10"/>
    <x v="2"/>
    <x v="6"/>
    <s v="Abuja"/>
    <n v="57"/>
    <s v="Male"/>
    <s v="chinedu.nwankwo10@company.ng"/>
    <s v="+234-824-567-8901"/>
    <d v="2019-04-12T00:00:00"/>
    <d v="2024-01-09T00:00:00"/>
    <n v="157600.25"/>
    <n v="83000.399999999994"/>
    <n v="655"/>
    <n v="179000"/>
    <x v="2"/>
    <x v="0"/>
    <n v="0"/>
    <s v="Active"/>
    <n v="0.46368938547486033"/>
    <n v="6"/>
    <x v="3"/>
    <x v="4"/>
    <x v="2"/>
  </r>
  <r>
    <s v="Isabelle Moreau"/>
    <s v="isabelle_m10"/>
    <x v="3"/>
    <x v="9"/>
    <s v="Montreal"/>
    <n v="46"/>
    <s v="Female"/>
    <s v="isabelle.moreau10@email.ca"/>
    <s v="+1-514-555-0194"/>
    <d v="2021-09-22T00:00:00"/>
    <d v="2024-01-11T00:00:00"/>
    <n v="91100.6"/>
    <n v="42400.75"/>
    <n v="760"/>
    <n v="148000"/>
    <x v="0"/>
    <x v="0"/>
    <n v="0"/>
    <s v="Active"/>
    <n v="0.28649155405405408"/>
    <n v="4"/>
    <x v="2"/>
    <x v="2"/>
    <x v="2"/>
  </r>
  <r>
    <s v="Rahman Ali"/>
    <s v="rahman_ali11"/>
    <x v="1"/>
    <x v="36"/>
    <s v="Jakarta"/>
    <n v="37"/>
    <s v="Male"/>
    <s v="rahman.ali11@mail.id"/>
    <s v="+62-821-2345-6789"/>
    <d v="2023-11-28T00:00:00"/>
    <d v="2024-01-15T00:00:00"/>
    <n v="12900.25"/>
    <n v="7600.8"/>
    <n v="695"/>
    <n v="48000"/>
    <x v="0"/>
    <x v="1"/>
    <n v="0"/>
    <s v="Active"/>
    <n v="0.15834999999999999"/>
    <n v="0"/>
    <x v="0"/>
    <x v="0"/>
    <x v="1"/>
  </r>
  <r>
    <s v="Sarah Johnson"/>
    <s v="sarah_j10"/>
    <x v="5"/>
    <x v="0"/>
    <s v="Chicago"/>
    <n v="40"/>
    <s v="Female"/>
    <s v="sarah.johnson10@email.com"/>
    <s v="+1-773-555-0196"/>
    <d v="2022-06-28T00:00:00"/>
    <d v="2024-01-12T00:00:00"/>
    <n v="25500.9"/>
    <n v="10400.25"/>
    <n v="755"/>
    <n v="70000"/>
    <x v="1"/>
    <x v="0"/>
    <n v="0"/>
    <s v="Active"/>
    <n v="0.14857500000000001"/>
    <n v="3"/>
    <x v="2"/>
    <x v="0"/>
    <x v="1"/>
  </r>
  <r>
    <s v="Wei Zhang"/>
    <s v="wei_zhang10"/>
    <x v="2"/>
    <x v="4"/>
    <s v="Beijing"/>
    <n v="58"/>
    <s v="Male"/>
    <s v="wei.zhang10@company.cn"/>
    <s v="+86-138-6789-0123"/>
    <d v="2019-01-15T00:00:00"/>
    <d v="2024-01-09T00:00:00"/>
    <n v="190500.4"/>
    <n v="96000.75"/>
    <n v="685"/>
    <n v="204000"/>
    <x v="2"/>
    <x v="0"/>
    <n v="0"/>
    <s v="Active"/>
    <n v="0.47059191176470588"/>
    <n v="6"/>
    <x v="0"/>
    <x v="4"/>
    <x v="3"/>
  </r>
  <r>
    <s v="Anna Kowalski"/>
    <s v="anna_k11"/>
    <x v="4"/>
    <x v="37"/>
    <s v="Warsaw"/>
    <n v="49"/>
    <s v="Female"/>
    <s v="anna.kowalski11@email.pl"/>
    <s v="+48-709-123-456"/>
    <d v="2020-10-22T00:00:00"/>
    <d v="2024-01-10T00:00:00"/>
    <n v="55500.800000000003"/>
    <n v="28600.6"/>
    <n v="715"/>
    <n v="103000"/>
    <x v="0"/>
    <x v="0"/>
    <n v="0"/>
    <s v="Active"/>
    <n v="0.27767572815533981"/>
    <n v="5"/>
    <x v="0"/>
    <x v="2"/>
    <x v="0"/>
  </r>
  <r>
    <s v="Mohammed Rahman"/>
    <s v="m_rahman11"/>
    <x v="3"/>
    <x v="29"/>
    <s v="Chittagong"/>
    <n v="52"/>
    <s v="Male"/>
    <s v="mohammed.rahman11@email.bd"/>
    <s v="+880-1812-345678"/>
    <d v="2020-07-28T00:00:00"/>
    <d v="2024-01-11T00:00:00"/>
    <n v="83300.25"/>
    <n v="38600.400000000001"/>
    <n v="680"/>
    <n v="132000"/>
    <x v="0"/>
    <x v="0"/>
    <n v="0"/>
    <s v="Active"/>
    <n v="0.29242727272727276"/>
    <n v="4"/>
    <x v="0"/>
    <x v="2"/>
    <x v="2"/>
  </r>
  <r>
    <s v="Yumi Tanaka"/>
    <s v="yumi_tanaka10"/>
    <x v="6"/>
    <x v="1"/>
    <s v="Osaka"/>
    <n v="32"/>
    <s v="Female"/>
    <s v="yumi.tanaka10@edu.jp"/>
    <s v="+81-90-5678-9012"/>
    <d v="2024-02-05T00:00:00"/>
    <d v="2024-01-13T00:00:00"/>
    <n v="2850.4"/>
    <n v="11000.75"/>
    <n v="610"/>
    <n v="28000"/>
    <x v="2"/>
    <x v="1"/>
    <n v="0"/>
    <s v="Active"/>
    <n v="0.39288392857142856"/>
    <n v="2"/>
    <x v="3"/>
    <x v="1"/>
    <x v="1"/>
  </r>
  <r>
    <s v="Carlos Mendez"/>
    <s v="carlos_m10"/>
    <x v="0"/>
    <x v="13"/>
    <s v="Mexico City"/>
    <n v="64"/>
    <s v="Male"/>
    <s v="carlos.mendez10@mail.mx"/>
    <s v="+52-55-3456-7890"/>
    <d v="2018-03-22T00:00:00"/>
    <d v="2024-01-08T00:00:00"/>
    <n v="288500.8"/>
    <n v="87000.25"/>
    <n v="825"/>
    <n v="284000"/>
    <x v="1"/>
    <x v="0"/>
    <n v="0"/>
    <s v="Active"/>
    <n v="0.30633890845070422"/>
    <n v="7"/>
    <x v="1"/>
    <x v="4"/>
    <x v="3"/>
  </r>
  <r>
    <s v="Aisha Mohammed"/>
    <s v="aisha_m11"/>
    <x v="5"/>
    <x v="16"/>
    <s v="Nairobi"/>
    <n v="39"/>
    <s v="Female"/>
    <s v="aisha.mohammed11@email.ke"/>
    <s v="+254-733-456-789"/>
    <d v="2022-12-22T00:00:00"/>
    <d v="2024-01-14T00:00:00"/>
    <n v="22200.75"/>
    <n v="8800.4"/>
    <n v="725"/>
    <n v="60000"/>
    <x v="1"/>
    <x v="0"/>
    <n v="0"/>
    <s v="Active"/>
    <n v="0.14667333333333332"/>
    <n v="1"/>
    <x v="0"/>
    <x v="0"/>
    <x v="1"/>
  </r>
  <r>
    <s v="David Chen"/>
    <s v="david_chen11"/>
    <x v="2"/>
    <x v="23"/>
    <s v="Singapore"/>
    <n v="56"/>
    <s v="Male"/>
    <s v="david.chen11@company.sg"/>
    <s v="+65-9290-1234"/>
    <d v="2019-07-05T00:00:00"/>
    <d v="2024-01-09T00:00:00"/>
    <n v="168700.6"/>
    <n v="87000.9"/>
    <n v="675"/>
    <n v="184000"/>
    <x v="2"/>
    <x v="0"/>
    <n v="0"/>
    <s v="Active"/>
    <n v="0.47283097826086956"/>
    <n v="6"/>
    <x v="0"/>
    <x v="4"/>
    <x v="2"/>
  </r>
  <r>
    <s v="Maria Papadopoulos"/>
    <s v="maria_p11"/>
    <x v="4"/>
    <x v="38"/>
    <s v="Athens"/>
    <n v="47"/>
    <s v="Female"/>
    <s v="maria.papadopoulos11@email.gr"/>
    <s v="+30-701-234-5678"/>
    <d v="2021-08-28T00:00:00"/>
    <d v="2024-01-11T00:00:00"/>
    <n v="49700.4"/>
    <n v="24400.25"/>
    <n v="705"/>
    <n v="92000"/>
    <x v="0"/>
    <x v="0"/>
    <n v="0"/>
    <s v="Active"/>
    <n v="0.26522010869565216"/>
    <n v="4"/>
    <x v="0"/>
    <x v="2"/>
    <x v="0"/>
  </r>
  <r>
    <s v="James Wilson"/>
    <s v="j_wilson11"/>
    <x v="3"/>
    <x v="26"/>
    <s v="Melbourne"/>
    <n v="50"/>
    <s v="Male"/>
    <s v="james.wilson11@email.au"/>
    <s v="+61-433-456-789"/>
    <d v="2020-03-22T00:00:00"/>
    <d v="2024-01-10T00:00:00"/>
    <n v="96600.75"/>
    <n v="45500.800000000003"/>
    <n v="730"/>
    <n v="158000"/>
    <x v="0"/>
    <x v="0"/>
    <n v="0"/>
    <s v="Active"/>
    <n v="0.28797974683544303"/>
    <n v="5"/>
    <x v="0"/>
    <x v="2"/>
    <x v="2"/>
  </r>
  <r>
    <s v="Fatima Zahra"/>
    <s v="f_zahra11"/>
    <x v="1"/>
    <x v="25"/>
    <s v="Lahore"/>
    <n v="35"/>
    <s v="Female"/>
    <s v="fatima.zahra11@mail.pk"/>
    <s v="+92-331-9876543"/>
    <d v="2023-12-28T00:00:00"/>
    <d v="2024-01-15T00:00:00"/>
    <n v="11400.9"/>
    <n v="7100.75"/>
    <n v="685"/>
    <n v="45000"/>
    <x v="0"/>
    <x v="1"/>
    <n v="0"/>
    <s v="Active"/>
    <n v="0.15779444444444443"/>
    <n v="0"/>
    <x v="0"/>
    <x v="0"/>
    <x v="1"/>
  </r>
  <r>
    <s v="Kenji Yamada"/>
    <s v="kenji_y11"/>
    <x v="0"/>
    <x v="1"/>
    <s v="Tokyo"/>
    <n v="67"/>
    <s v="Male"/>
    <s v="kenji.yamada11@mail.jp"/>
    <s v="+81-80-1234-5678"/>
    <d v="2017-06-28T00:00:00"/>
    <d v="2024-01-08T00:00:00"/>
    <n v="299400.25"/>
    <n v="91000.4"/>
    <n v="840"/>
    <n v="299000"/>
    <x v="1"/>
    <x v="0"/>
    <n v="0"/>
    <s v="Active"/>
    <n v="0.30434916387959865"/>
    <n v="7"/>
    <x v="1"/>
    <x v="4"/>
    <x v="3"/>
  </r>
  <r>
    <s v="Ngozi Eze"/>
    <s v="ngozi_e11"/>
    <x v="2"/>
    <x v="6"/>
    <s v="Lagos"/>
    <n v="59"/>
    <s v="Female"/>
    <s v="ngozi.eze11@company.ng"/>
    <s v="+234-823-456-7890"/>
    <d v="2018-11-22T00:00:00"/>
    <d v="2024-01-09T00:00:00"/>
    <n v="179800.4"/>
    <n v="91000.75"/>
    <n v="650"/>
    <n v="194000"/>
    <x v="2"/>
    <x v="0"/>
    <n v="0"/>
    <s v="Active"/>
    <n v="0.46907603092783506"/>
    <n v="6"/>
    <x v="3"/>
    <x v="4"/>
    <x v="3"/>
  </r>
  <r>
    <s v="Thomas Schmidt"/>
    <s v="thomas_s11"/>
    <x v="3"/>
    <x v="7"/>
    <s v="Berlin"/>
    <n v="46"/>
    <s v="Male"/>
    <s v="thomas.schmidt11@email.de"/>
    <s v="+49-185-6789012"/>
    <d v="2022-03-28T00:00:00"/>
    <d v="2024-01-12T00:00:00"/>
    <n v="84400.4"/>
    <n v="39700.25"/>
    <n v="745"/>
    <n v="138000"/>
    <x v="0"/>
    <x v="0"/>
    <n v="0"/>
    <s v="Active"/>
    <n v="0.28768297101449275"/>
    <n v="3"/>
    <x v="0"/>
    <x v="2"/>
    <x v="2"/>
  </r>
  <r>
    <s v="Lina Chen"/>
    <s v="lina_c11"/>
    <x v="5"/>
    <x v="4"/>
    <s v="Shanghai"/>
    <n v="41"/>
    <s v="Female"/>
    <s v="lina.chen11@mail.cn"/>
    <s v="+86-137-6789-0123"/>
    <d v="2022-09-22T00:00:00"/>
    <d v="2024-01-11T00:00:00"/>
    <n v="24400.799999999999"/>
    <n v="10000.9"/>
    <n v="765"/>
    <n v="70000"/>
    <x v="1"/>
    <x v="0"/>
    <n v="0"/>
    <s v="Active"/>
    <n v="0.14287"/>
    <n v="4"/>
    <x v="2"/>
    <x v="0"/>
    <x v="1"/>
  </r>
  <r>
    <s v="Ahmed Hassan"/>
    <s v="ahmed_h11"/>
    <x v="4"/>
    <x v="20"/>
    <s v="Alexandria"/>
    <n v="54"/>
    <s v="Male"/>
    <s v="ahmed.hassan11@email.eg"/>
    <s v="+20-122-109-8765"/>
    <d v="2020-09-22T00:00:00"/>
    <d v="2024-01-10T00:00:00"/>
    <n v="57700.75"/>
    <n v="30800.400000000001"/>
    <n v="675"/>
    <n v="110000"/>
    <x v="0"/>
    <x v="0"/>
    <n v="0"/>
    <s v="Active"/>
    <n v="0.2800036363636364"/>
    <n v="5"/>
    <x v="0"/>
    <x v="2"/>
    <x v="0"/>
  </r>
  <r>
    <s v="Sophie Martin"/>
    <s v="sophie_m11"/>
    <x v="6"/>
    <x v="10"/>
    <s v="Paris"/>
    <n v="33"/>
    <s v="Female"/>
    <s v="sophie.martin11@edu.fr"/>
    <s v="+33-6-3456-7890"/>
    <d v="2024-02-12T00:00:00"/>
    <d v="2024-01-13T00:00:00"/>
    <n v="3100.25"/>
    <n v="12200.6"/>
    <n v="615"/>
    <n v="30000"/>
    <x v="2"/>
    <x v="1"/>
    <n v="0"/>
    <s v="Active"/>
    <n v="0.4066866666666667"/>
    <n v="2"/>
    <x v="3"/>
    <x v="1"/>
    <x v="1"/>
  </r>
  <r>
    <s v="Raj Kumar"/>
    <s v="raj_kumar11"/>
    <x v="2"/>
    <x v="2"/>
    <s v="Mumbai"/>
    <n v="61"/>
    <s v="Male"/>
    <s v="raj.kumar11@company.in"/>
    <s v="+91-987-654-3210"/>
    <d v="2018-10-22T00:00:00"/>
    <d v="2024-01-08T00:00:00"/>
    <n v="214400.8"/>
    <n v="104000.25"/>
    <n v="660"/>
    <n v="229000"/>
    <x v="2"/>
    <x v="0"/>
    <n v="0"/>
    <s v="Active"/>
    <n v="0.45414956331877732"/>
    <n v="7"/>
    <x v="3"/>
    <x v="4"/>
    <x v="3"/>
  </r>
  <r>
    <s v="Maria Gonzalez"/>
    <s v="maria_g12"/>
    <x v="3"/>
    <x v="13"/>
    <s v="Guadalajara"/>
    <n v="48"/>
    <s v="Female"/>
    <s v="maria.gonzalez12@email.mx"/>
    <s v="+52-33-7890-0123"/>
    <d v="2021-02-12T00:00:00"/>
    <d v="2024-01-11T00:00:00"/>
    <n v="78800.899999999994"/>
    <n v="36600.75"/>
    <n v="730"/>
    <n v="133000"/>
    <x v="0"/>
    <x v="0"/>
    <n v="0"/>
    <s v="Active"/>
    <n v="0.27519360902255641"/>
    <n v="4"/>
    <x v="0"/>
    <x v="2"/>
    <x v="2"/>
  </r>
  <r>
    <s v="Yuki Kobayashi"/>
    <s v="yuki_k11"/>
    <x v="1"/>
    <x v="1"/>
    <s v="Osaka"/>
    <n v="37"/>
    <s v="Female"/>
    <s v="yuki.kobayashi11@mail.jp"/>
    <s v="+81-90-2345-6789"/>
    <d v="2024-01-15T00:00:00"/>
    <d v="2024-01-14T00:00:00"/>
    <n v="12500.4"/>
    <n v="7200.25"/>
    <n v="705"/>
    <n v="47000"/>
    <x v="0"/>
    <x v="1"/>
    <n v="0"/>
    <s v="Active"/>
    <n v="0.1531968085106383"/>
    <n v="1"/>
    <x v="0"/>
    <x v="0"/>
    <x v="1"/>
  </r>
  <r>
    <s v="Kwame Asante"/>
    <s v="kwame_a11"/>
    <x v="5"/>
    <x v="15"/>
    <s v="Accra"/>
    <n v="42"/>
    <s v="Male"/>
    <s v="kwame.asante11@email.gh"/>
    <s v="+233-64-567-8901"/>
    <d v="2022-08-28T00:00:00"/>
    <d v="2024-01-12T00:00:00"/>
    <n v="23300.6"/>
    <n v="9400.7999999999993"/>
    <n v="710"/>
    <n v="63000"/>
    <x v="1"/>
    <x v="0"/>
    <n v="0"/>
    <s v="Active"/>
    <n v="0.14921904761904761"/>
    <n v="3"/>
    <x v="0"/>
    <x v="0"/>
    <x v="1"/>
  </r>
  <r>
    <s v="Anna Petrova"/>
    <s v="anna_p11"/>
    <x v="4"/>
    <x v="12"/>
    <s v="Moscow"/>
    <n v="49"/>
    <s v="Female"/>
    <s v="anna.petrova11@email.ru"/>
    <s v="+7-915-987-65-43"/>
    <d v="2020-09-22T00:00:00"/>
    <d v="2024-01-10T00:00:00"/>
    <n v="54600.25"/>
    <n v="27700.9"/>
    <n v="695"/>
    <n v="98000"/>
    <x v="0"/>
    <x v="0"/>
    <n v="0"/>
    <s v="Active"/>
    <n v="0.28266224489795921"/>
    <n v="5"/>
    <x v="0"/>
    <x v="2"/>
    <x v="0"/>
  </r>
  <r>
    <s v="Liam O'Brien"/>
    <s v="liam_obrien11"/>
    <x v="2"/>
    <x v="11"/>
    <s v="Cork"/>
    <n v="57"/>
    <s v="Male"/>
    <s v="liam.obrien11@company.ie"/>
    <s v="+353-96-456-7890"/>
    <d v="2019-03-28T00:00:00"/>
    <d v="2024-01-09T00:00:00"/>
    <n v="146600.4"/>
    <n v="78000.600000000006"/>
    <n v="670"/>
    <n v="165000"/>
    <x v="2"/>
    <x v="0"/>
    <n v="0"/>
    <s v="Active"/>
    <n v="0.47273090909090915"/>
    <n v="6"/>
    <x v="0"/>
    <x v="4"/>
    <x v="2"/>
  </r>
  <r>
    <s v="Ying Wang"/>
    <s v="ying_w11"/>
    <x v="0"/>
    <x v="4"/>
    <s v="Beijing"/>
    <n v="65"/>
    <s v="Female"/>
    <s v="ying.wang11@mail.cn"/>
    <s v="+86-139-3456-7890"/>
    <d v="2018-01-15T00:00:00"/>
    <d v="2024-01-08T00:00:00"/>
    <n v="313500.75"/>
    <n v="95000.8"/>
    <n v="835"/>
    <n v="310000"/>
    <x v="1"/>
    <x v="0"/>
    <n v="0"/>
    <s v="Active"/>
    <n v="0.3064541935483871"/>
    <n v="7"/>
    <x v="1"/>
    <x v="4"/>
    <x v="3"/>
  </r>
  <r>
    <s v="Adeola Yusuf"/>
    <s v="adeola_y11"/>
    <x v="4"/>
    <x v="6"/>
    <s v="Port Harcourt"/>
    <n v="52"/>
    <s v="Female"/>
    <s v="adeola.yusuf11@email.ng"/>
    <s v="+234-824-567-8901"/>
    <d v="2020-08-22T00:00:00"/>
    <d v="2024-01-11T00:00:00"/>
    <n v="63300.6"/>
    <n v="33300.25"/>
    <n v="665"/>
    <n v="118000"/>
    <x v="0"/>
    <x v="0"/>
    <n v="0"/>
    <s v="Active"/>
    <n v="0.28220550847457626"/>
    <n v="4"/>
    <x v="3"/>
    <x v="2"/>
    <x v="0"/>
  </r>
  <r>
    <s v="Marco Bianchi"/>
    <s v="marco_b11"/>
    <x v="3"/>
    <x v="18"/>
    <s v="Rome"/>
    <n v="44"/>
    <s v="Male"/>
    <s v="marco.bianchi11@email.it"/>
    <s v="+39-358-234-5678"/>
    <d v="2022-05-22T00:00:00"/>
    <d v="2024-01-12T00:00:00"/>
    <n v="86600.8"/>
    <n v="40800.400000000001"/>
    <n v="750"/>
    <n v="144000"/>
    <x v="0"/>
    <x v="0"/>
    <n v="0"/>
    <s v="Active"/>
    <n v="0.28333611111111112"/>
    <n v="3"/>
    <x v="2"/>
    <x v="0"/>
    <x v="2"/>
  </r>
  <r>
    <s v="Jennifer Kim"/>
    <s v="jennifer_k11"/>
    <x v="5"/>
    <x v="0"/>
    <s v="San Francisco"/>
    <n v="40"/>
    <s v="Female"/>
    <s v="jennifer.kim11@email.com"/>
    <s v="+1-415-555-0198"/>
    <d v="2022-11-22T00:00:00"/>
    <d v="2024-01-14T00:00:00"/>
    <n v="25500.9"/>
    <n v="10400.75"/>
    <n v="770"/>
    <n v="75000"/>
    <x v="1"/>
    <x v="0"/>
    <n v="0"/>
    <s v="Active"/>
    <n v="0.13867666666666667"/>
    <n v="1"/>
    <x v="2"/>
    <x v="0"/>
    <x v="0"/>
  </r>
  <r>
    <s v="Rahman Hussain"/>
    <s v="rahman_h11"/>
    <x v="2"/>
    <x v="25"/>
    <s v="Islamabad"/>
    <n v="63"/>
    <s v="Male"/>
    <s v="rahman.hussain11@company.pk"/>
    <s v="+92-310-9876543"/>
    <d v="2018-07-22T00:00:00"/>
    <d v="2024-01-08T00:00:00"/>
    <n v="199700.25"/>
    <n v="99000.8"/>
    <n v="645"/>
    <n v="215000"/>
    <x v="2"/>
    <x v="0"/>
    <n v="0"/>
    <s v="Active"/>
    <n v="0.46046883720930232"/>
    <n v="7"/>
    <x v="3"/>
    <x v="4"/>
    <x v="3"/>
  </r>
  <r>
    <s v="Sofia Martinez"/>
    <s v="sofia_m11"/>
    <x v="1"/>
    <x v="14"/>
    <s v="Barcelona"/>
    <n v="36"/>
    <s v="Female"/>
    <s v="sofia.martinez11@mail.es"/>
    <s v="+34-633-456-789"/>
    <d v="2024-01-22T00:00:00"/>
    <d v="2024-01-15T00:00:00"/>
    <n v="20200.5"/>
    <n v="10000.4"/>
    <n v="720"/>
    <n v="52000"/>
    <x v="1"/>
    <x v="0"/>
    <n v="0"/>
    <s v="Active"/>
    <n v="0.19231538461538461"/>
    <n v="0"/>
    <x v="0"/>
    <x v="0"/>
    <x v="1"/>
  </r>
  <r>
    <s v="Kenji Sato"/>
    <s v="kenji_sato12"/>
    <x v="6"/>
    <x v="1"/>
    <s v="Tokyo"/>
    <n v="32"/>
    <s v="Male"/>
    <s v="kenji.sato12@edu.jp"/>
    <s v="+81-90-5678-9012"/>
    <d v="2024-02-08T00:00:00"/>
    <d v="2024-01-13T00:00:00"/>
    <n v="2850.8"/>
    <n v="10600.25"/>
    <n v="605"/>
    <n v="28000"/>
    <x v="2"/>
    <x v="1"/>
    <n v="0"/>
    <s v="Active"/>
    <n v="0.37858035714285715"/>
    <n v="2"/>
    <x v="3"/>
    <x v="1"/>
    <x v="1"/>
  </r>
  <r>
    <s v="Fatoumata Bello"/>
    <s v="fatou_b11"/>
    <x v="3"/>
    <x v="19"/>
    <s v="Dakar"/>
    <n v="46"/>
    <s v="Female"/>
    <s v="fatoumata.bello11@email.sn"/>
    <s v="+221-88-234-5678"/>
    <d v="2022-01-22T00:00:00"/>
    <d v="2024-01-11T00:00:00"/>
    <n v="73300.399999999994"/>
    <n v="35500.75"/>
    <n v="710"/>
    <n v="126000"/>
    <x v="0"/>
    <x v="0"/>
    <n v="0"/>
    <s v="Active"/>
    <n v="0.2817519841269841"/>
    <n v="4"/>
    <x v="0"/>
    <x v="2"/>
    <x v="0"/>
  </r>
  <r>
    <s v="David Wilson"/>
    <s v="david_w11"/>
    <x v="2"/>
    <x v="3"/>
    <s v="Manchester"/>
    <n v="60"/>
    <s v="Male"/>
    <s v="david.wilson11@company.co.uk"/>
    <s v="+44-79-5678-9012"/>
    <d v="2018-12-22T00:00:00"/>
    <d v="2024-01-09T00:00:00"/>
    <n v="179900.6"/>
    <n v="92000.25"/>
    <n v="675"/>
    <n v="195000"/>
    <x v="2"/>
    <x v="0"/>
    <n v="0"/>
    <s v="Active"/>
    <n v="0.47179615384615387"/>
    <n v="6"/>
    <x v="0"/>
    <x v="4"/>
    <x v="3"/>
  </r>
  <r>
    <s v="Lina Park"/>
    <s v="lina_park11"/>
    <x v="4"/>
    <x v="17"/>
    <s v="Busan"/>
    <n v="45"/>
    <s v="Female"/>
    <s v="lina.park11@email.kr"/>
    <s v="+82-10-4567-8901"/>
    <d v="2021-06-28T00:00:00"/>
    <d v="2024-01-10T00:00:00"/>
    <n v="49700.75"/>
    <n v="26600.799999999999"/>
    <n v="725"/>
    <n v="92000"/>
    <x v="0"/>
    <x v="0"/>
    <n v="0"/>
    <s v="Active"/>
    <n v="0.28913913043478262"/>
    <n v="5"/>
    <x v="0"/>
    <x v="2"/>
    <x v="0"/>
  </r>
  <r>
    <s v="Ahmed Al-Mansoori"/>
    <s v="ahmed_alm11"/>
    <x v="5"/>
    <x v="8"/>
    <s v="Dubai"/>
    <n v="43"/>
    <s v="Male"/>
    <s v="ahmed.almansoori11@email.ae"/>
    <s v="+971-50-678-9012"/>
    <d v="2022-09-22T00:00:00"/>
    <d v="2024-01-12T00:00:00"/>
    <n v="27700.400000000001"/>
    <n v="11200.9"/>
    <n v="740"/>
    <n v="78000"/>
    <x v="1"/>
    <x v="0"/>
    <n v="0"/>
    <s v="Active"/>
    <n v="0.14360128205128206"/>
    <n v="3"/>
    <x v="0"/>
    <x v="0"/>
    <x v="0"/>
  </r>
  <r>
    <s v="Maria Costa"/>
    <s v="maria_costa11"/>
    <x v="0"/>
    <x v="5"/>
    <s v="Rio de Janeiro"/>
    <n v="66"/>
    <s v="Female"/>
    <s v="maria.costa11@mail.com.br"/>
    <s v="+55-21-99678-9012"/>
    <d v="2017-09-22T00:00:00"/>
    <d v="2024-01-08T00:00:00"/>
    <n v="268800.90000000002"/>
    <n v="82000.600000000006"/>
    <n v="830"/>
    <n v="290000"/>
    <x v="1"/>
    <x v="0"/>
    <n v="0"/>
    <s v="Active"/>
    <n v="0.28276068965517243"/>
    <n v="7"/>
    <x v="1"/>
    <x v="4"/>
    <x v="3"/>
  </r>
  <r>
    <s v="Chinedu Nwankwo"/>
    <s v="chinedu_n11"/>
    <x v="2"/>
    <x v="6"/>
    <s v="Abuja"/>
    <n v="58"/>
    <s v="Male"/>
    <s v="chinedu.nwankwo11@company.ng"/>
    <s v="+234-825-678-9012"/>
    <d v="2019-05-08T00:00:00"/>
    <d v="2024-01-09T00:00:00"/>
    <n v="157700.25"/>
    <n v="84000.4"/>
    <n v="655"/>
    <n v="180000"/>
    <x v="2"/>
    <x v="0"/>
    <n v="0"/>
    <s v="Active"/>
    <n v="0.46666888888888886"/>
    <n v="6"/>
    <x v="3"/>
    <x v="4"/>
    <x v="2"/>
  </r>
  <r>
    <s v="Isabelle Moreau"/>
    <s v="isabelle_m11"/>
    <x v="3"/>
    <x v="9"/>
    <s v="Vancouver"/>
    <n v="47"/>
    <s v="Female"/>
    <s v="isabelle.moreau11@email.ca"/>
    <s v="+1-604-555-0196"/>
    <d v="2021-10-22T00:00:00"/>
    <d v="2024-01-11T00:00:00"/>
    <n v="92200.6"/>
    <n v="43500.75"/>
    <n v="760"/>
    <n v="149000"/>
    <x v="0"/>
    <x v="0"/>
    <n v="0"/>
    <s v="Active"/>
    <n v="0.29195134228187919"/>
    <n v="4"/>
    <x v="2"/>
    <x v="2"/>
    <x v="2"/>
  </r>
  <r>
    <s v="Rahman Ali"/>
    <s v="rahman_ali12"/>
    <x v="1"/>
    <x v="36"/>
    <s v="Surabaya"/>
    <n v="38"/>
    <s v="Male"/>
    <s v="rahman.ali12@mail.id"/>
    <s v="+62-822-3456-7890"/>
    <d v="2023-12-28T00:00:00"/>
    <d v="2024-01-15T00:00:00"/>
    <n v="13400.25"/>
    <n v="7900.8"/>
    <n v="695"/>
    <n v="49000"/>
    <x v="0"/>
    <x v="1"/>
    <n v="0"/>
    <s v="Active"/>
    <n v="0.16124081632653062"/>
    <n v="0"/>
    <x v="0"/>
    <x v="0"/>
    <x v="1"/>
  </r>
  <r>
    <s v="Sarah Johnson"/>
    <s v="sarah_j11"/>
    <x v="5"/>
    <x v="0"/>
    <s v="New York"/>
    <n v="41"/>
    <s v="Female"/>
    <s v="sarah.johnson11@email.com"/>
    <s v="+1-646-555-0198"/>
    <d v="2022-07-22T00:00:00"/>
    <d v="2024-01-12T00:00:00"/>
    <n v="26600.9"/>
    <n v="10800.25"/>
    <n v="755"/>
    <n v="71000"/>
    <x v="1"/>
    <x v="0"/>
    <n v="0"/>
    <s v="Active"/>
    <n v="0.1521161971830986"/>
    <n v="3"/>
    <x v="2"/>
    <x v="0"/>
    <x v="1"/>
  </r>
  <r>
    <s v="Wei Zhang"/>
    <s v="wei_zhang11"/>
    <x v="2"/>
    <x v="4"/>
    <s v="Beijing"/>
    <n v="59"/>
    <s v="Male"/>
    <s v="wei.zhang11@company.cn"/>
    <s v="+86-138-7890-1234"/>
    <d v="2019-02-12T00:00:00"/>
    <d v="2024-01-09T00:00:00"/>
    <n v="190600.4"/>
    <n v="97000.75"/>
    <n v="685"/>
    <n v="205000"/>
    <x v="2"/>
    <x v="0"/>
    <n v="0"/>
    <s v="Active"/>
    <n v="0.47317439024390245"/>
    <n v="6"/>
    <x v="0"/>
    <x v="4"/>
    <x v="3"/>
  </r>
  <r>
    <s v="Anna Kowalski"/>
    <s v="anna_k12"/>
    <x v="4"/>
    <x v="37"/>
    <s v="Warsaw"/>
    <n v="50"/>
    <s v="Female"/>
    <s v="anna.kowalski12@email.pl"/>
    <s v="+48-710-234-567"/>
    <d v="2020-11-28T00:00:00"/>
    <d v="2024-01-10T00:00:00"/>
    <n v="56600.800000000003"/>
    <n v="29700.6"/>
    <n v="715"/>
    <n v="104000"/>
    <x v="0"/>
    <x v="0"/>
    <n v="0"/>
    <s v="Active"/>
    <n v="0.28558269230769229"/>
    <n v="5"/>
    <x v="0"/>
    <x v="2"/>
    <x v="0"/>
  </r>
  <r>
    <s v="Mohammed Rahman"/>
    <s v="m_rahman12"/>
    <x v="3"/>
    <x v="29"/>
    <s v="Dhaka"/>
    <n v="53"/>
    <s v="Male"/>
    <s v="mohammed.rahman12@email.bd"/>
    <s v="+880-1812-456789"/>
    <d v="2020-08-22T00:00:00"/>
    <d v="2024-01-11T00:00:00"/>
    <n v="84400.25"/>
    <n v="39700.400000000001"/>
    <n v="680"/>
    <n v="133000"/>
    <x v="0"/>
    <x v="0"/>
    <n v="0"/>
    <s v="Active"/>
    <n v="0.29849924812030076"/>
    <n v="4"/>
    <x v="0"/>
    <x v="2"/>
    <x v="2"/>
  </r>
  <r>
    <s v="Yumi Tanaka"/>
    <s v="yumi_tanaka11"/>
    <x v="6"/>
    <x v="1"/>
    <s v="Osaka"/>
    <n v="33"/>
    <s v="Female"/>
    <s v="yumi.tanaka11@edu.jp"/>
    <s v="+81-90-6789-0123"/>
    <d v="2024-02-15T00:00:00"/>
    <d v="2024-01-13T00:00:00"/>
    <n v="2950.4"/>
    <n v="11200.75"/>
    <n v="610"/>
    <n v="29000"/>
    <x v="2"/>
    <x v="1"/>
    <n v="0"/>
    <s v="Active"/>
    <n v="0.38623275862068968"/>
    <n v="2"/>
    <x v="3"/>
    <x v="1"/>
    <x v="1"/>
  </r>
  <r>
    <s v="Carlos Mendez"/>
    <s v="carlos_m11"/>
    <x v="0"/>
    <x v="13"/>
    <s v="Mexico City"/>
    <n v="65"/>
    <s v="Male"/>
    <s v="carlos.mendez11@mail.mx"/>
    <s v="+52-55-4567-8901"/>
    <d v="2018-04-28T00:00:00"/>
    <d v="2024-01-08T00:00:00"/>
    <n v="288600.8"/>
    <n v="88000.25"/>
    <n v="825"/>
    <n v="285000"/>
    <x v="1"/>
    <x v="0"/>
    <n v="0"/>
    <s v="Active"/>
    <n v="0.30877280701754384"/>
    <n v="7"/>
    <x v="1"/>
    <x v="4"/>
    <x v="3"/>
  </r>
  <r>
    <s v="Aisha Mohammed"/>
    <s v="aisha_m12"/>
    <x v="5"/>
    <x v="16"/>
    <s v="Mombasa"/>
    <n v="40"/>
    <s v="Female"/>
    <s v="aisha.mohammed12@email.ke"/>
    <s v="+254-734-567-890"/>
    <d v="2023-01-22T00:00:00"/>
    <d v="2024-01-14T00:00:00"/>
    <n v="23300.75"/>
    <n v="9200.4"/>
    <n v="725"/>
    <n v="61000"/>
    <x v="1"/>
    <x v="0"/>
    <n v="0"/>
    <s v="Active"/>
    <n v="0.15082622950819671"/>
    <n v="1"/>
    <x v="0"/>
    <x v="0"/>
    <x v="1"/>
  </r>
  <r>
    <s v="David Chen"/>
    <s v="david_chen12"/>
    <x v="2"/>
    <x v="23"/>
    <s v="Singapore"/>
    <n v="57"/>
    <s v="Male"/>
    <s v="david.chen12@company.sg"/>
    <s v="+65-9390-1234"/>
    <d v="2019-08-12T00:00:00"/>
    <d v="2024-01-09T00:00:00"/>
    <n v="168800.6"/>
    <n v="88000.9"/>
    <n v="675"/>
    <n v="185000"/>
    <x v="2"/>
    <x v="0"/>
    <n v="0"/>
    <s v="Active"/>
    <n v="0.47568054054054049"/>
    <n v="6"/>
    <x v="0"/>
    <x v="4"/>
    <x v="2"/>
  </r>
  <r>
    <s v="Maria Papadopoulos"/>
    <s v="maria_p12"/>
    <x v="4"/>
    <x v="38"/>
    <s v="Athens"/>
    <n v="48"/>
    <s v="Female"/>
    <s v="maria.papadopoulos12@email.gr"/>
    <s v="+30-702-345-6789"/>
    <d v="2021-09-22T00:00:00"/>
    <d v="2024-01-11T00:00:00"/>
    <n v="50800.4"/>
    <n v="25500.25"/>
    <n v="705"/>
    <n v="93000"/>
    <x v="0"/>
    <x v="0"/>
    <n v="0"/>
    <s v="Active"/>
    <n v="0.27419623655913977"/>
    <n v="4"/>
    <x v="0"/>
    <x v="2"/>
    <x v="0"/>
  </r>
  <r>
    <s v="James Wilson"/>
    <s v="j_wilson12"/>
    <x v="3"/>
    <x v="26"/>
    <s v="Melbourne"/>
    <n v="51"/>
    <s v="Male"/>
    <s v="james.wilson12@email.au"/>
    <s v="+61-434-567-890"/>
    <d v="2020-04-28T00:00:00"/>
    <d v="2024-01-10T00:00:00"/>
    <n v="97700.75"/>
    <n v="46600.800000000003"/>
    <n v="730"/>
    <n v="159000"/>
    <x v="0"/>
    <x v="0"/>
    <n v="0"/>
    <s v="Active"/>
    <n v="0.2930867924528302"/>
    <n v="5"/>
    <x v="0"/>
    <x v="2"/>
    <x v="2"/>
  </r>
  <r>
    <s v="Fatima Zahra"/>
    <s v="f_zahra12"/>
    <x v="1"/>
    <x v="25"/>
    <s v="Karachi"/>
    <n v="36"/>
    <s v="Female"/>
    <s v="fatima.zahra12@mail.pk"/>
    <s v="+92-332-8765432"/>
    <d v="2024-01-28T00:00:00"/>
    <d v="2024-01-15T00:00:00"/>
    <n v="11800.9"/>
    <n v="7300.75"/>
    <n v="685"/>
    <n v="46000"/>
    <x v="0"/>
    <x v="1"/>
    <n v="0"/>
    <s v="Active"/>
    <n v="0.15871195652173914"/>
    <n v="0"/>
    <x v="0"/>
    <x v="0"/>
    <x v="1"/>
  </r>
  <r>
    <s v="Kenji Yamada"/>
    <s v="kenji_y12"/>
    <x v="0"/>
    <x v="1"/>
    <s v="Tokyo"/>
    <n v="68"/>
    <s v="Male"/>
    <s v="kenji.yamada12@mail.jp"/>
    <s v="+81-80-2345-6789"/>
    <d v="2017-07-28T00:00:00"/>
    <d v="2024-01-08T00:00:00"/>
    <n v="299500.25"/>
    <n v="92000.4"/>
    <n v="840"/>
    <n v="300000"/>
    <x v="1"/>
    <x v="0"/>
    <n v="0"/>
    <s v="Active"/>
    <n v="0.306668"/>
    <n v="7"/>
    <x v="1"/>
    <x v="4"/>
    <x v="3"/>
  </r>
  <r>
    <s v="Ngozi Eze"/>
    <s v="ngozi_e12"/>
    <x v="2"/>
    <x v="6"/>
    <s v="Lagos"/>
    <n v="60"/>
    <s v="Female"/>
    <s v="ngozi.eze12@company.ng"/>
    <s v="+234-824-567-8901"/>
    <d v="2018-12-22T00:00:00"/>
    <d v="2024-01-09T00:00:00"/>
    <n v="179900.4"/>
    <n v="92000.75"/>
    <n v="650"/>
    <n v="195000"/>
    <x v="2"/>
    <x v="0"/>
    <n v="0"/>
    <s v="Active"/>
    <n v="0.47179871794871797"/>
    <n v="6"/>
    <x v="3"/>
    <x v="4"/>
    <x v="3"/>
  </r>
  <r>
    <s v="Thomas Schmidt"/>
    <s v="thomas_s12"/>
    <x v="3"/>
    <x v="7"/>
    <s v="Hamburg"/>
    <n v="47"/>
    <s v="Male"/>
    <s v="thomas.schmidt12@email.de"/>
    <s v="+49-186-7890123"/>
    <d v="2022-04-28T00:00:00"/>
    <d v="2024-01-12T00:00:00"/>
    <n v="85500.4"/>
    <n v="40800.25"/>
    <n v="745"/>
    <n v="139000"/>
    <x v="0"/>
    <x v="0"/>
    <n v="0"/>
    <s v="Active"/>
    <n v="0.29352697841726616"/>
    <n v="3"/>
    <x v="0"/>
    <x v="2"/>
    <x v="2"/>
  </r>
  <r>
    <s v="Lina Chen"/>
    <s v="lina_c12"/>
    <x v="5"/>
    <x v="4"/>
    <s v="Shanghai"/>
    <n v="42"/>
    <s v="Female"/>
    <s v="lina.chen12@mail.cn"/>
    <s v="+86-137-7890-1234"/>
    <d v="2022-10-22T00:00:00"/>
    <d v="2024-01-11T00:00:00"/>
    <n v="25500.799999999999"/>
    <n v="10400.9"/>
    <n v="765"/>
    <n v="71000"/>
    <x v="1"/>
    <x v="0"/>
    <n v="0"/>
    <s v="Active"/>
    <n v="0.14649154929577465"/>
    <n v="4"/>
    <x v="2"/>
    <x v="0"/>
    <x v="1"/>
  </r>
  <r>
    <s v="Ahmed Hassan"/>
    <s v="ahmed_h12"/>
    <x v="4"/>
    <x v="20"/>
    <s v="Cairo"/>
    <n v="55"/>
    <s v="Male"/>
    <s v="ahmed.hassan12@email.eg"/>
    <s v="+20-122-098-7654"/>
    <d v="2020-10-22T00:00:00"/>
    <d v="2024-01-10T00:00:00"/>
    <n v="58800.75"/>
    <n v="31900.400000000001"/>
    <n v="675"/>
    <n v="111000"/>
    <x v="0"/>
    <x v="0"/>
    <n v="0"/>
    <s v="Active"/>
    <n v="0.28739099099099102"/>
    <n v="5"/>
    <x v="0"/>
    <x v="4"/>
    <x v="0"/>
  </r>
  <r>
    <s v="Sophie Martin"/>
    <s v="sophie_m12"/>
    <x v="6"/>
    <x v="10"/>
    <s v="Lyon"/>
    <n v="34"/>
    <s v="Female"/>
    <s v="sophie.martin12@edu.fr"/>
    <s v="+33-6-4567-8901"/>
    <d v="2024-02-22T00:00:00"/>
    <d v="2024-01-13T00:00:00"/>
    <n v="3200.25"/>
    <n v="12400.6"/>
    <n v="615"/>
    <n v="31000"/>
    <x v="2"/>
    <x v="1"/>
    <n v="0"/>
    <s v="Active"/>
    <n v="0.40001935483870971"/>
    <n v="2"/>
    <x v="3"/>
    <x v="1"/>
    <x v="1"/>
  </r>
  <r>
    <s v="Raj Kumar"/>
    <s v="raj_kumar12"/>
    <x v="2"/>
    <x v="2"/>
    <s v="Delhi"/>
    <n v="62"/>
    <s v="Male"/>
    <s v="raj.kumar12@company.in"/>
    <s v="+91-987-654-3210"/>
    <d v="2018-11-22T00:00:00"/>
    <d v="2024-01-08T00:00:00"/>
    <n v="214500.8"/>
    <n v="105000.25"/>
    <n v="660"/>
    <n v="230000"/>
    <x v="2"/>
    <x v="0"/>
    <n v="0"/>
    <s v="Active"/>
    <n v="0.45652282608695655"/>
    <n v="7"/>
    <x v="3"/>
    <x v="4"/>
    <x v="3"/>
  </r>
  <r>
    <s v="Maria Gonzalez"/>
    <s v="maria_g13"/>
    <x v="3"/>
    <x v="13"/>
    <s v="Mexico City"/>
    <n v="49"/>
    <s v="Female"/>
    <s v="maria.gonzalez13@email.mx"/>
    <s v="+52-55-5678-9012"/>
    <d v="2021-03-22T00:00:00"/>
    <d v="2024-01-11T00:00:00"/>
    <n v="79900.899999999994"/>
    <n v="37700.75"/>
    <n v="730"/>
    <n v="134000"/>
    <x v="0"/>
    <x v="0"/>
    <n v="0"/>
    <s v="Active"/>
    <n v="0.28134888059701491"/>
    <n v="4"/>
    <x v="0"/>
    <x v="2"/>
    <x v="2"/>
  </r>
  <r>
    <s v="Yuki Kobayashi"/>
    <s v="yuki_k12"/>
    <x v="1"/>
    <x v="1"/>
    <s v="Osaka"/>
    <n v="38"/>
    <s v="Female"/>
    <s v="yuki.kobayashi12@mail.jp"/>
    <s v="+81-90-3456-7890"/>
    <d v="2024-01-28T00:00:00"/>
    <d v="2024-01-14T00:00:00"/>
    <n v="12900.4"/>
    <n v="7400.25"/>
    <n v="705"/>
    <n v="48000"/>
    <x v="0"/>
    <x v="1"/>
    <n v="0"/>
    <s v="Active"/>
    <n v="0.15417187500000001"/>
    <n v="1"/>
    <x v="0"/>
    <x v="0"/>
    <x v="1"/>
  </r>
  <r>
    <s v="Kwame Asante"/>
    <s v="kwame_a12"/>
    <x v="5"/>
    <x v="15"/>
    <s v="Accra"/>
    <n v="43"/>
    <s v="Male"/>
    <s v="kwame.asante12@email.gh"/>
    <s v="+233-65-678-9012"/>
    <d v="2022-09-22T00:00:00"/>
    <d v="2024-01-12T00:00:00"/>
    <n v="24400.6"/>
    <n v="9800.7999999999993"/>
    <n v="710"/>
    <n v="64000"/>
    <x v="1"/>
    <x v="0"/>
    <n v="0"/>
    <s v="Active"/>
    <n v="0.15313749999999998"/>
    <n v="3"/>
    <x v="0"/>
    <x v="0"/>
    <x v="1"/>
  </r>
  <r>
    <s v="Anna Petrova"/>
    <s v="anna_p12"/>
    <x v="4"/>
    <x v="12"/>
    <s v="St. Petersburg"/>
    <n v="50"/>
    <s v="Female"/>
    <s v="anna.petrova12@email.ru"/>
    <s v="+7-921-876-54-32"/>
    <d v="2020-10-28T00:00:00"/>
    <d v="2024-01-10T00:00:00"/>
    <n v="55700.25"/>
    <n v="28800.9"/>
    <n v="695"/>
    <n v="99000"/>
    <x v="0"/>
    <x v="0"/>
    <n v="0"/>
    <s v="Active"/>
    <n v="0.29091818181818185"/>
    <n v="5"/>
    <x v="0"/>
    <x v="2"/>
    <x v="0"/>
  </r>
  <r>
    <s v="Liam O'Brien"/>
    <s v="liam_obrien12"/>
    <x v="2"/>
    <x v="11"/>
    <s v="Dublin"/>
    <n v="58"/>
    <s v="Male"/>
    <s v="liam.obrien12@company.ie"/>
    <s v="+353-97-567-8901"/>
    <d v="2019-04-22T00:00:00"/>
    <d v="2024-01-09T00:00:00"/>
    <n v="146700.4"/>
    <n v="79000.600000000006"/>
    <n v="670"/>
    <n v="166000"/>
    <x v="2"/>
    <x v="0"/>
    <n v="0"/>
    <s v="Active"/>
    <n v="0.47590722891566267"/>
    <n v="6"/>
    <x v="0"/>
    <x v="4"/>
    <x v="2"/>
  </r>
  <r>
    <s v="Ying Wang"/>
    <s v="ying_w12"/>
    <x v="0"/>
    <x v="4"/>
    <s v="Beijing"/>
    <n v="66"/>
    <s v="Female"/>
    <s v="ying.wang12@mail.cn"/>
    <s v="+86-139-4567-8901"/>
    <d v="2018-02-12T00:00:00"/>
    <d v="2024-01-08T00:00:00"/>
    <n v="313600.75"/>
    <n v="96000.8"/>
    <n v="835"/>
    <n v="311000"/>
    <x v="1"/>
    <x v="0"/>
    <n v="0"/>
    <s v="Active"/>
    <n v="0.30868424437299036"/>
    <n v="7"/>
    <x v="1"/>
    <x v="4"/>
    <x v="3"/>
  </r>
  <r>
    <s v="Adeola Yusuf"/>
    <s v="adeola_y12"/>
    <x v="4"/>
    <x v="6"/>
    <s v="Abuja"/>
    <n v="53"/>
    <s v="Female"/>
    <s v="adeola.yusuf12@email.ng"/>
    <s v="+234-825-678-9012"/>
    <d v="2020-09-22T00:00:00"/>
    <d v="2024-01-11T00:00:00"/>
    <n v="64400.6"/>
    <n v="34400.25"/>
    <n v="665"/>
    <n v="119000"/>
    <x v="0"/>
    <x v="0"/>
    <n v="0"/>
    <s v="Active"/>
    <n v="0.28907773109243695"/>
    <n v="4"/>
    <x v="3"/>
    <x v="2"/>
    <x v="0"/>
  </r>
  <r>
    <s v="Marco Bianchi"/>
    <s v="marco_b12"/>
    <x v="3"/>
    <x v="18"/>
    <s v="Milan"/>
    <n v="45"/>
    <s v="Male"/>
    <s v="marco.bianchi12@email.it"/>
    <s v="+39-359-345-6789"/>
    <d v="2022-06-28T00:00:00"/>
    <d v="2024-01-12T00:00:00"/>
    <n v="87700.800000000003"/>
    <n v="41900.400000000001"/>
    <n v="750"/>
    <n v="145000"/>
    <x v="0"/>
    <x v="0"/>
    <n v="0"/>
    <s v="Active"/>
    <n v="0.28896827586206897"/>
    <n v="3"/>
    <x v="2"/>
    <x v="2"/>
    <x v="2"/>
  </r>
  <r>
    <s v="Jennifer Kim"/>
    <s v="jennifer_k12"/>
    <x v="5"/>
    <x v="0"/>
    <s v="Seattle"/>
    <n v="41"/>
    <s v="Female"/>
    <s v="jennifer.kim12@email.com"/>
    <s v="+1-206-555-0198"/>
    <d v="2022-12-22T00:00:00"/>
    <d v="2024-01-14T00:00:00"/>
    <n v="26600.9"/>
    <n v="10800.75"/>
    <n v="770"/>
    <n v="76000"/>
    <x v="1"/>
    <x v="0"/>
    <n v="0"/>
    <s v="Active"/>
    <n v="0.14211513157894737"/>
    <n v="1"/>
    <x v="2"/>
    <x v="0"/>
    <x v="0"/>
  </r>
  <r>
    <s v="Rahman Hussain"/>
    <s v="rahman_h12"/>
    <x v="2"/>
    <x v="25"/>
    <s v="Lahore"/>
    <n v="64"/>
    <s v="Male"/>
    <s v="rahman.hussain12@company.pk"/>
    <s v="+92-311-8765432"/>
    <d v="2018-08-22T00:00:00"/>
    <d v="2024-01-08T00:00:00"/>
    <n v="199800.25"/>
    <n v="100000.8"/>
    <n v="645"/>
    <n v="216000"/>
    <x v="2"/>
    <x v="0"/>
    <n v="0"/>
    <s v="Active"/>
    <n v="0.46296666666666669"/>
    <n v="7"/>
    <x v="3"/>
    <x v="4"/>
    <x v="3"/>
  </r>
  <r>
    <s v="Sofia Martinez"/>
    <s v="sofia_m12"/>
    <x v="1"/>
    <x v="14"/>
    <s v="Madrid"/>
    <n v="37"/>
    <s v="Female"/>
    <s v="sofia.martinez12@mail.es"/>
    <s v="+34-634-567-890"/>
    <d v="2024-02-05T00:00:00"/>
    <d v="2024-01-15T00:00:00"/>
    <n v="21200.5"/>
    <n v="10400.4"/>
    <n v="720"/>
    <n v="53000"/>
    <x v="1"/>
    <x v="0"/>
    <n v="0"/>
    <s v="Active"/>
    <n v="0.19623396226415094"/>
    <n v="0"/>
    <x v="0"/>
    <x v="0"/>
    <x v="1"/>
  </r>
  <r>
    <s v="Kenji Sato"/>
    <s v="kenji_sato13"/>
    <x v="6"/>
    <x v="1"/>
    <s v="Tokyo"/>
    <n v="33"/>
    <s v="Male"/>
    <s v="kenji.sato13@edu.jp"/>
    <s v="+81-90-6789-0123"/>
    <d v="2024-02-12T00:00:00"/>
    <d v="2024-01-13T00:00:00"/>
    <n v="2950.8"/>
    <n v="10800.25"/>
    <n v="605"/>
    <n v="29000"/>
    <x v="2"/>
    <x v="1"/>
    <n v="0"/>
    <s v="Active"/>
    <n v="0.37242241379310342"/>
    <n v="2"/>
    <x v="3"/>
    <x v="1"/>
    <x v="1"/>
  </r>
  <r>
    <s v="Fatoumata Bello"/>
    <s v="fatou_b12"/>
    <x v="3"/>
    <x v="19"/>
    <s v="Dakar"/>
    <n v="47"/>
    <s v="Female"/>
    <s v="fatoumata.bello12@email.sn"/>
    <s v="+221-89-345-6789"/>
    <d v="2022-02-22T00:00:00"/>
    <d v="2024-01-11T00:00:00"/>
    <n v="74400.399999999994"/>
    <n v="36600.75"/>
    <n v="710"/>
    <n v="127000"/>
    <x v="0"/>
    <x v="0"/>
    <n v="0"/>
    <s v="Active"/>
    <n v="0.28819488188976378"/>
    <n v="4"/>
    <x v="0"/>
    <x v="2"/>
    <x v="2"/>
  </r>
  <r>
    <s v="David Wilson"/>
    <s v="david_w12"/>
    <x v="2"/>
    <x v="3"/>
    <s v="London"/>
    <n v="61"/>
    <s v="Male"/>
    <s v="david.wilson12@company.co.uk"/>
    <s v="+44-79-6789-0123"/>
    <d v="2019-01-22T00:00:00"/>
    <d v="2024-01-09T00:00:00"/>
    <n v="180000.6"/>
    <n v="93000.25"/>
    <n v="675"/>
    <n v="196000"/>
    <x v="2"/>
    <x v="0"/>
    <n v="0"/>
    <s v="Active"/>
    <n v="0.47449107142857144"/>
    <n v="6"/>
    <x v="0"/>
    <x v="4"/>
    <x v="3"/>
  </r>
  <r>
    <s v="Lina Park"/>
    <s v="lina_park12"/>
    <x v="4"/>
    <x v="17"/>
    <s v="Seoul"/>
    <n v="46"/>
    <s v="Female"/>
    <s v="lina.park12@email.kr"/>
    <s v="+82-10-5678-9012"/>
    <d v="2021-07-22T00:00:00"/>
    <d v="2024-01-10T00:00:00"/>
    <n v="50800.75"/>
    <n v="27700.799999999999"/>
    <n v="725"/>
    <n v="93000"/>
    <x v="0"/>
    <x v="0"/>
    <n v="0"/>
    <s v="Active"/>
    <n v="0.29785806451612901"/>
    <n v="5"/>
    <x v="0"/>
    <x v="2"/>
    <x v="0"/>
  </r>
  <r>
    <s v="Ahmed Al-Mansoori"/>
    <s v="ahmed_alm12"/>
    <x v="5"/>
    <x v="8"/>
    <s v="Abu Dhabi"/>
    <n v="44"/>
    <s v="Male"/>
    <s v="ahmed.almansoori12@email.ae"/>
    <s v="+971-50-789-0123"/>
    <d v="2022-10-22T00:00:00"/>
    <d v="2024-01-12T00:00:00"/>
    <n v="28800.400000000001"/>
    <n v="11600.9"/>
    <n v="740"/>
    <n v="79000"/>
    <x v="1"/>
    <x v="0"/>
    <n v="0"/>
    <s v="Active"/>
    <n v="0.14684683544303798"/>
    <n v="3"/>
    <x v="0"/>
    <x v="0"/>
    <x v="0"/>
  </r>
  <r>
    <s v="Maria Costa"/>
    <s v="maria_costa12"/>
    <x v="0"/>
    <x v="5"/>
    <s v="São Paulo"/>
    <n v="67"/>
    <s v="Female"/>
    <s v="maria.costa12@mail.com.br"/>
    <s v="+55-11-99789-0123"/>
    <d v="2017-10-22T00:00:00"/>
    <d v="2024-01-08T00:00:00"/>
    <n v="268900.90000000002"/>
    <n v="83000.600000000006"/>
    <n v="830"/>
    <n v="291000"/>
    <x v="1"/>
    <x v="0"/>
    <n v="0"/>
    <s v="Active"/>
    <n v="0.28522542955326463"/>
    <n v="7"/>
    <x v="1"/>
    <x v="4"/>
    <x v="3"/>
  </r>
  <r>
    <s v="Chinedu Nwankwo"/>
    <s v="chinedu_n12"/>
    <x v="2"/>
    <x v="6"/>
    <s v="Port Harcourt"/>
    <n v="59"/>
    <s v="Male"/>
    <s v="chinedu.nwankwo12@company.ng"/>
    <s v="+234-826-789-0123"/>
    <d v="2019-06-05T00:00:00"/>
    <d v="2024-01-09T00:00:00"/>
    <n v="157800.25"/>
    <n v="85000.4"/>
    <n v="655"/>
    <n v="181000"/>
    <x v="2"/>
    <x v="0"/>
    <n v="0"/>
    <s v="Active"/>
    <n v="0.46961546961325962"/>
    <n v="6"/>
    <x v="3"/>
    <x v="4"/>
    <x v="2"/>
  </r>
  <r>
    <s v="Isabelle Moreau"/>
    <s v="isabelle_m12"/>
    <x v="3"/>
    <x v="9"/>
    <s v="Toronto"/>
    <n v="48"/>
    <s v="Female"/>
    <s v="isabelle.moreau12@email.ca"/>
    <s v="+1-647-555-0198"/>
    <d v="2021-11-22T00:00:00"/>
    <d v="2024-01-11T00:00:00"/>
    <n v="93300.6"/>
    <n v="44600.75"/>
    <n v="760"/>
    <n v="150000"/>
    <x v="0"/>
    <x v="0"/>
    <n v="0"/>
    <s v="Active"/>
    <n v="0.29733833333333332"/>
    <n v="4"/>
    <x v="2"/>
    <x v="2"/>
    <x v="2"/>
  </r>
  <r>
    <s v="Rahman Ali"/>
    <s v="rahman_ali13"/>
    <x v="1"/>
    <x v="36"/>
    <s v="Jakarta"/>
    <n v="39"/>
    <s v="Male"/>
    <s v="rahman.ali13@mail.id"/>
    <s v="+62-823-4567-8901"/>
    <d v="2024-01-22T00:00:00"/>
    <d v="2024-01-15T00:00:00"/>
    <n v="13900.25"/>
    <n v="8200.7999999999993"/>
    <n v="695"/>
    <n v="50000"/>
    <x v="0"/>
    <x v="1"/>
    <n v="0"/>
    <s v="Active"/>
    <n v="0.164016"/>
    <n v="0"/>
    <x v="0"/>
    <x v="0"/>
    <x v="1"/>
  </r>
  <r>
    <s v="Sarah Johnson"/>
    <s v="sarah_j12"/>
    <x v="5"/>
    <x v="0"/>
    <s v="Chicago"/>
    <n v="42"/>
    <s v="Female"/>
    <s v="sarah.johnson12@email.com"/>
    <s v="+1-773-555-0198"/>
    <d v="2022-08-28T00:00:00"/>
    <d v="2024-01-12T00:00:00"/>
    <n v="27700.9"/>
    <n v="11200.25"/>
    <n v="755"/>
    <n v="72000"/>
    <x v="1"/>
    <x v="0"/>
    <n v="0"/>
    <s v="Active"/>
    <n v="0.15555902777777778"/>
    <n v="3"/>
    <x v="2"/>
    <x v="0"/>
    <x v="1"/>
  </r>
  <r>
    <s v="Wei Zhang"/>
    <s v="wei_zhang12"/>
    <x v="2"/>
    <x v="4"/>
    <s v="Beijing"/>
    <n v="60"/>
    <s v="Male"/>
    <s v="wei.zhang12@company.cn"/>
    <s v="+86-138-8901-2345"/>
    <d v="2019-03-22T00:00:00"/>
    <d v="2024-01-09T00:00:00"/>
    <n v="190700.4"/>
    <n v="98000.75"/>
    <n v="685"/>
    <n v="206000"/>
    <x v="2"/>
    <x v="0"/>
    <n v="0"/>
    <s v="Active"/>
    <n v="0.47573179611650485"/>
    <n v="6"/>
    <x v="0"/>
    <x v="4"/>
    <x v="3"/>
  </r>
  <r>
    <s v="Anna Kowalski"/>
    <s v="anna_k13"/>
    <x v="4"/>
    <x v="37"/>
    <s v="Warsaw"/>
    <n v="51"/>
    <s v="Female"/>
    <s v="anna.kowalski13@email.pl"/>
    <s v="+48-711-345-678"/>
    <d v="2020-12-22T00:00:00"/>
    <d v="2024-01-10T00:00:00"/>
    <n v="57700.800000000003"/>
    <n v="30800.6"/>
    <n v="715"/>
    <n v="105000"/>
    <x v="0"/>
    <x v="0"/>
    <n v="0"/>
    <s v="Active"/>
    <n v="0.29333904761904761"/>
    <n v="5"/>
    <x v="0"/>
    <x v="2"/>
    <x v="0"/>
  </r>
  <r>
    <s v="Mohammed Rahman"/>
    <s v="m_rahman13"/>
    <x v="3"/>
    <x v="29"/>
    <s v="Chittagong"/>
    <n v="54"/>
    <s v="Male"/>
    <s v="mohammed.rahman13@email.bd"/>
    <s v="+880-1812-567890"/>
    <d v="2020-09-28T00:00:00"/>
    <d v="2024-01-11T00:00:00"/>
    <n v="85500.25"/>
    <n v="40800.400000000001"/>
    <n v="680"/>
    <n v="134000"/>
    <x v="0"/>
    <x v="0"/>
    <n v="0"/>
    <s v="Active"/>
    <n v="0.30448059701492536"/>
    <n v="4"/>
    <x v="0"/>
    <x v="2"/>
    <x v="2"/>
  </r>
  <r>
    <s v="Yumi Tanaka"/>
    <s v="yumi_tanaka12"/>
    <x v="6"/>
    <x v="1"/>
    <s v="Osaka"/>
    <n v="34"/>
    <s v="Female"/>
    <s v="yumi.tanaka12@edu.jp"/>
    <s v="+81-90-7890-1234"/>
    <d v="2024-02-22T00:00:00"/>
    <d v="2024-01-13T00:00:00"/>
    <n v="3050.4"/>
    <n v="11400.75"/>
    <n v="610"/>
    <n v="30000"/>
    <x v="2"/>
    <x v="1"/>
    <n v="0"/>
    <s v="Active"/>
    <n v="0.380025"/>
    <n v="2"/>
    <x v="3"/>
    <x v="1"/>
    <x v="1"/>
  </r>
  <r>
    <s v="Carlos Mendez"/>
    <s v="carlos_m12"/>
    <x v="0"/>
    <x v="13"/>
    <s v="Mexico City"/>
    <n v="66"/>
    <s v="Male"/>
    <s v="carlos.mendez12@mail.mx"/>
    <s v="+52-55-5678-9012"/>
    <d v="2018-05-22T00:00:00"/>
    <d v="2024-01-08T00:00:00"/>
    <n v="288700.79999999999"/>
    <n v="89000.25"/>
    <n v="825"/>
    <n v="286000"/>
    <x v="1"/>
    <x v="0"/>
    <n v="0"/>
    <s v="Active"/>
    <n v="0.31118968531468533"/>
    <n v="7"/>
    <x v="1"/>
    <x v="4"/>
    <x v="3"/>
  </r>
  <r>
    <s v="Aisha Mohammed"/>
    <s v="aisha_m13"/>
    <x v="5"/>
    <x v="16"/>
    <s v="Nairobi"/>
    <n v="41"/>
    <s v="Female"/>
    <s v="aisha.mohammed13@email.ke"/>
    <s v="+254-735-678-901"/>
    <d v="2023-02-22T00:00:00"/>
    <d v="2024-01-14T00:00:00"/>
    <n v="24400.75"/>
    <n v="9600.4"/>
    <n v="725"/>
    <n v="62000"/>
    <x v="1"/>
    <x v="0"/>
    <n v="0"/>
    <s v="Active"/>
    <n v="0.15484516129032258"/>
    <n v="1"/>
    <x v="0"/>
    <x v="0"/>
    <x v="1"/>
  </r>
  <r>
    <s v="David Chen"/>
    <s v="david_chen13"/>
    <x v="2"/>
    <x v="23"/>
    <s v="Singapore"/>
    <n v="58"/>
    <s v="Male"/>
    <s v="david.chen13@company.sg"/>
    <s v="+65-9490-1234"/>
    <d v="2019-09-08T00:00:00"/>
    <d v="2024-01-09T00:00:00"/>
    <n v="168900.6"/>
    <n v="89000.9"/>
    <n v="675"/>
    <n v="186000"/>
    <x v="2"/>
    <x v="0"/>
    <n v="0"/>
    <s v="Active"/>
    <n v="0.47849946236559138"/>
    <n v="6"/>
    <x v="0"/>
    <x v="4"/>
    <x v="2"/>
  </r>
  <r>
    <s v="Maria Papadopoulos"/>
    <s v="maria_p13"/>
    <x v="4"/>
    <x v="38"/>
    <s v="Athens"/>
    <n v="49"/>
    <s v="Female"/>
    <s v="maria.papadopoulos13@email.gr"/>
    <s v="+30-703-456-7890"/>
    <d v="2021-10-22T00:00:00"/>
    <d v="2024-01-11T00:00:00"/>
    <n v="51900.4"/>
    <n v="26600.25"/>
    <n v="705"/>
    <n v="94000"/>
    <x v="0"/>
    <x v="0"/>
    <n v="0"/>
    <s v="Active"/>
    <n v="0.28298138297872338"/>
    <n v="4"/>
    <x v="0"/>
    <x v="2"/>
    <x v="0"/>
  </r>
  <r>
    <s v="James Wilson"/>
    <s v="j_wilson13"/>
    <x v="3"/>
    <x v="26"/>
    <s v="Sydney"/>
    <n v="52"/>
    <s v="Male"/>
    <s v="james.wilson13@email.au"/>
    <s v="+61-435-678-901"/>
    <d v="2020-05-22T00:00:00"/>
    <d v="2024-01-10T00:00:00"/>
    <n v="98800.75"/>
    <n v="47700.800000000003"/>
    <n v="730"/>
    <n v="160000"/>
    <x v="0"/>
    <x v="0"/>
    <n v="0"/>
    <s v="Active"/>
    <n v="0.29813000000000001"/>
    <n v="5"/>
    <x v="0"/>
    <x v="2"/>
    <x v="2"/>
  </r>
  <r>
    <s v="Fatima Zahra"/>
    <s v="f_zahra13"/>
    <x v="1"/>
    <x v="25"/>
    <s v="Islamabad"/>
    <n v="37"/>
    <s v="Female"/>
    <s v="fatima.zahra13@mail.pk"/>
    <s v="+92-333-7654321"/>
    <d v="2024-02-12T00:00:00"/>
    <d v="2024-01-15T00:00:00"/>
    <n v="12200.9"/>
    <n v="7500.75"/>
    <n v="685"/>
    <n v="47000"/>
    <x v="0"/>
    <x v="1"/>
    <n v="0"/>
    <s v="Active"/>
    <n v="0.15959042553191488"/>
    <n v="0"/>
    <x v="0"/>
    <x v="0"/>
    <x v="1"/>
  </r>
  <r>
    <s v="Kenji Yamada"/>
    <s v="kenji_y13"/>
    <x v="0"/>
    <x v="1"/>
    <s v="Tokyo"/>
    <n v="69"/>
    <s v="Male"/>
    <s v="kenji.yamada13@mail.jp"/>
    <s v="+81-80-3456-7890"/>
    <d v="2017-08-28T00:00:00"/>
    <d v="2024-01-08T00:00:00"/>
    <n v="299600.25"/>
    <n v="93000.4"/>
    <n v="840"/>
    <n v="301000"/>
    <x v="1"/>
    <x v="0"/>
    <n v="0"/>
    <s v="Active"/>
    <n v="0.30897142857142856"/>
    <n v="7"/>
    <x v="1"/>
    <x v="4"/>
    <x v="3"/>
  </r>
  <r>
    <s v="Ngozi Eze"/>
    <s v="ngozi_e13"/>
    <x v="2"/>
    <x v="6"/>
    <s v="Lagos"/>
    <n v="61"/>
    <s v="Female"/>
    <s v="ngozi.eze13@company.ng"/>
    <s v="+234-825-678-9012"/>
    <d v="2019-01-22T00:00:00"/>
    <d v="2024-01-09T00:00:00"/>
    <n v="180000.4"/>
    <n v="93000.75"/>
    <n v="650"/>
    <n v="196000"/>
    <x v="2"/>
    <x v="0"/>
    <n v="0"/>
    <s v="Active"/>
    <n v="0.47449362244897958"/>
    <n v="6"/>
    <x v="3"/>
    <x v="4"/>
    <x v="3"/>
  </r>
  <r>
    <s v="Thomas Schmidt"/>
    <s v="thomas_s13"/>
    <x v="3"/>
    <x v="7"/>
    <s v="Munich"/>
    <n v="48"/>
    <s v="Male"/>
    <s v="thomas.schmidt13@email.de"/>
    <s v="+49-187-8901234"/>
    <d v="2022-05-22T00:00:00"/>
    <d v="2024-01-12T00:00:00"/>
    <n v="86600.4"/>
    <n v="41900.25"/>
    <n v="745"/>
    <n v="140000"/>
    <x v="0"/>
    <x v="0"/>
    <n v="0"/>
    <s v="Active"/>
    <n v="0.29928749999999998"/>
    <n v="3"/>
    <x v="0"/>
    <x v="2"/>
    <x v="2"/>
  </r>
  <r>
    <s v="Lina Chen"/>
    <s v="lina_c13"/>
    <x v="5"/>
    <x v="4"/>
    <s v="Beijing"/>
    <n v="43"/>
    <s v="Female"/>
    <s v="lina.chen13@mail.cn"/>
    <s v="+86-137-8901-2345"/>
    <d v="2022-11-22T00:00:00"/>
    <d v="2024-01-11T00:00:00"/>
    <n v="26600.799999999999"/>
    <n v="10800.9"/>
    <n v="765"/>
    <n v="72000"/>
    <x v="1"/>
    <x v="0"/>
    <n v="0"/>
    <s v="Active"/>
    <n v="0.15001249999999999"/>
    <n v="4"/>
    <x v="2"/>
    <x v="0"/>
    <x v="1"/>
  </r>
  <r>
    <s v="Ahmed Hassan"/>
    <s v="ahmed_h13"/>
    <x v="4"/>
    <x v="20"/>
    <s v="Alexandria"/>
    <n v="56"/>
    <s v="Male"/>
    <s v="ahmed.hassan13@email.eg"/>
    <s v="+20-122-987-6543"/>
    <d v="2020-11-22T00:00:00"/>
    <d v="2024-01-10T00:00:00"/>
    <n v="59900.75"/>
    <n v="33000.400000000001"/>
    <n v="675"/>
    <n v="112000"/>
    <x v="0"/>
    <x v="0"/>
    <n v="0"/>
    <s v="Active"/>
    <n v="0.29464642857142859"/>
    <n v="5"/>
    <x v="0"/>
    <x v="4"/>
    <x v="0"/>
  </r>
  <r>
    <s v="Sophie Martin"/>
    <s v="sophie_m13"/>
    <x v="6"/>
    <x v="10"/>
    <s v="Paris"/>
    <n v="35"/>
    <s v="Female"/>
    <s v="sophie.martin13@edu.fr"/>
    <s v="+33-6-5678-9012"/>
    <d v="2024-02-28T00:00:00"/>
    <d v="2024-01-13T00:00:00"/>
    <n v="3300.25"/>
    <n v="12600.6"/>
    <n v="615"/>
    <n v="32000"/>
    <x v="2"/>
    <x v="1"/>
    <n v="0"/>
    <s v="Active"/>
    <n v="0.39376875"/>
    <n v="2"/>
    <x v="3"/>
    <x v="0"/>
    <x v="1"/>
  </r>
  <r>
    <s v="Raj Kumar"/>
    <s v="raj_kumar13"/>
    <x v="2"/>
    <x v="2"/>
    <s v="Mumbai"/>
    <n v="63"/>
    <s v="Male"/>
    <s v="raj.kumar13@company.in"/>
    <s v="+91-987-654-3210"/>
    <d v="2018-12-22T00:00:00"/>
    <d v="2024-01-08T00:00:00"/>
    <n v="214600.8"/>
    <n v="106000.25"/>
    <n v="660"/>
    <n v="231000"/>
    <x v="2"/>
    <x v="0"/>
    <n v="0"/>
    <s v="Active"/>
    <n v="0.45887554112554113"/>
    <n v="7"/>
    <x v="3"/>
    <x v="4"/>
    <x v="3"/>
  </r>
  <r>
    <s v="Maria Gonzalez"/>
    <s v="maria_g14"/>
    <x v="3"/>
    <x v="13"/>
    <s v="Monterrey"/>
    <n v="50"/>
    <s v="Female"/>
    <s v="maria.gonzalez14@email.mx"/>
    <s v="+52-81-7890-0123"/>
    <d v="2021-04-28T00:00:00"/>
    <d v="2024-01-11T00:00:00"/>
    <n v="81000.899999999994"/>
    <n v="38800.75"/>
    <n v="730"/>
    <n v="135000"/>
    <x v="0"/>
    <x v="0"/>
    <n v="0"/>
    <s v="Active"/>
    <n v="0.28741296296296298"/>
    <n v="4"/>
    <x v="0"/>
    <x v="2"/>
    <x v="2"/>
  </r>
  <r>
    <s v="Yuki Kobayashi"/>
    <s v="yuki_k13"/>
    <x v="1"/>
    <x v="1"/>
    <s v="Osaka"/>
    <n v="39"/>
    <s v="Female"/>
    <s v="yuki.kobayashi13@mail.jp"/>
    <s v="+81-90-4567-8901"/>
    <d v="2024-02-08T00:00:00"/>
    <d v="2024-01-14T00:00:00"/>
    <n v="13300.4"/>
    <n v="7600.25"/>
    <n v="705"/>
    <n v="49000"/>
    <x v="0"/>
    <x v="1"/>
    <n v="0"/>
    <s v="Active"/>
    <n v="0.15510714285714286"/>
    <n v="1"/>
    <x v="0"/>
    <x v="0"/>
    <x v="1"/>
  </r>
  <r>
    <s v="Kwame Asante"/>
    <s v="kwame_a13"/>
    <x v="5"/>
    <x v="15"/>
    <s v="Accra"/>
    <n v="44"/>
    <s v="Male"/>
    <s v="kwame.asante13@email.gh"/>
    <s v="+233-66-789-0123"/>
    <d v="2022-10-22T00:00:00"/>
    <d v="2024-01-12T00:00:00"/>
    <n v="25500.6"/>
    <n v="10200.799999999999"/>
    <n v="710"/>
    <n v="65000"/>
    <x v="1"/>
    <x v="0"/>
    <n v="0"/>
    <s v="Active"/>
    <n v="0.15693538461538462"/>
    <n v="3"/>
    <x v="0"/>
    <x v="0"/>
    <x v="1"/>
  </r>
  <r>
    <s v="Anna Petrova"/>
    <s v="anna_p13"/>
    <x v="4"/>
    <x v="12"/>
    <s v="Moscow"/>
    <n v="51"/>
    <s v="Female"/>
    <s v="anna.petrova13@email.ru"/>
    <s v="+7-921-765-43-21"/>
    <d v="2020-11-28T00:00:00"/>
    <d v="2024-01-10T00:00:00"/>
    <n v="56800.25"/>
    <n v="29900.9"/>
    <n v="695"/>
    <n v="100000"/>
    <x v="0"/>
    <x v="0"/>
    <n v="0"/>
    <s v="Active"/>
    <n v="0.29900900000000002"/>
    <n v="5"/>
    <x v="0"/>
    <x v="2"/>
    <x v="0"/>
  </r>
  <r>
    <s v="Liam O'Brien"/>
    <s v="liam_obrien13"/>
    <x v="2"/>
    <x v="11"/>
    <s v="Dublin"/>
    <n v="59"/>
    <s v="Male"/>
    <s v="liam.obrien13@company.ie"/>
    <s v="+353-98-678-9012"/>
    <d v="2019-05-22T00:00:00"/>
    <d v="2024-01-09T00:00:00"/>
    <n v="146800.4"/>
    <n v="80000.600000000006"/>
    <n v="670"/>
    <n v="167000"/>
    <x v="2"/>
    <x v="0"/>
    <n v="0"/>
    <s v="Active"/>
    <n v="0.47904550898203596"/>
    <n v="6"/>
    <x v="0"/>
    <x v="4"/>
    <x v="2"/>
  </r>
  <r>
    <s v="Ying Wang"/>
    <s v="ying_w13"/>
    <x v="0"/>
    <x v="4"/>
    <s v="Shanghai"/>
    <n v="67"/>
    <s v="Female"/>
    <s v="ying.wang13@mail.cn"/>
    <s v="+86-139-5678-9012"/>
    <d v="2018-03-22T00:00:00"/>
    <d v="2024-01-08T00:00:00"/>
    <n v="313700.75"/>
    <n v="97000.8"/>
    <n v="835"/>
    <n v="312000"/>
    <x v="1"/>
    <x v="0"/>
    <n v="0"/>
    <s v="Active"/>
    <n v="0.31090000000000001"/>
    <n v="7"/>
    <x v="1"/>
    <x v="4"/>
    <x v="3"/>
  </r>
  <r>
    <s v="Adeola Yusuf"/>
    <s v="adeola_y13"/>
    <x v="4"/>
    <x v="6"/>
    <s v="Lagos"/>
    <n v="54"/>
    <s v="Female"/>
    <s v="adeola.yusuf13@email.ng"/>
    <s v="+234-826-789-0123"/>
    <d v="2020-10-22T00:00:00"/>
    <d v="2024-01-11T00:00:00"/>
    <n v="65500.6"/>
    <n v="35500.25"/>
    <n v="665"/>
    <n v="120000"/>
    <x v="0"/>
    <x v="0"/>
    <n v="0"/>
    <s v="Active"/>
    <n v="0.29583541666666668"/>
    <n v="4"/>
    <x v="3"/>
    <x v="2"/>
    <x v="0"/>
  </r>
  <r>
    <s v="Marco Bianchi"/>
    <s v="marco_b13"/>
    <x v="3"/>
    <x v="18"/>
    <s v="Rome"/>
    <n v="46"/>
    <s v="Male"/>
    <s v="marco.bianchi13@email.it"/>
    <s v="+39-360-456-7890"/>
    <d v="2022-07-22T00:00:00"/>
    <d v="2024-01-12T00:00:00"/>
    <n v="88800.8"/>
    <n v="43000.4"/>
    <n v="750"/>
    <n v="146000"/>
    <x v="0"/>
    <x v="0"/>
    <n v="0"/>
    <s v="Active"/>
    <n v="0.29452328767123287"/>
    <n v="3"/>
    <x v="2"/>
    <x v="2"/>
    <x v="2"/>
  </r>
  <r>
    <s v="Jennifer Kim"/>
    <s v="jennifer_k13"/>
    <x v="5"/>
    <x v="0"/>
    <s v="Los Angeles"/>
    <n v="42"/>
    <s v="Female"/>
    <s v="jennifer.kim13@email.com"/>
    <s v="+1-310-555-0196"/>
    <d v="2023-01-22T00:00:00"/>
    <d v="2024-01-14T00:00:00"/>
    <n v="27700.9"/>
    <n v="11200.75"/>
    <n v="770"/>
    <n v="77000"/>
    <x v="1"/>
    <x v="0"/>
    <n v="0"/>
    <s v="Active"/>
    <n v="0.14546428571428571"/>
    <n v="1"/>
    <x v="2"/>
    <x v="0"/>
    <x v="0"/>
  </r>
  <r>
    <s v="Rahman Hussain"/>
    <s v="rahman_h13"/>
    <x v="2"/>
    <x v="25"/>
    <s v="Karachi"/>
    <n v="65"/>
    <s v="Male"/>
    <s v="rahman.hussain13@company.pk"/>
    <s v="+92-312-7654321"/>
    <d v="2018-09-22T00:00:00"/>
    <d v="2024-01-08T00:00:00"/>
    <n v="199900.25"/>
    <n v="101000.8"/>
    <n v="645"/>
    <n v="217000"/>
    <x v="2"/>
    <x v="0"/>
    <n v="0"/>
    <s v="Active"/>
    <n v="0.46544147465437791"/>
    <n v="7"/>
    <x v="3"/>
    <x v="4"/>
    <x v="3"/>
  </r>
  <r>
    <s v="Sofia Martinez"/>
    <s v="sofia_m13"/>
    <x v="1"/>
    <x v="14"/>
    <s v="Valencia"/>
    <n v="38"/>
    <s v="Female"/>
    <s v="sofia.martinez13@mail.es"/>
    <s v="+34-635-678-901"/>
    <d v="2024-02-15T00:00:00"/>
    <d v="2024-01-15T00:00:00"/>
    <n v="22200.5"/>
    <n v="10800.4"/>
    <n v="720"/>
    <n v="54000"/>
    <x v="1"/>
    <x v="0"/>
    <n v="0"/>
    <s v="Active"/>
    <n v="0.20000740740740741"/>
    <n v="0"/>
    <x v="0"/>
    <x v="0"/>
    <x v="1"/>
  </r>
  <r>
    <s v="Kenji Sato"/>
    <s v="kenji_sato14"/>
    <x v="6"/>
    <x v="1"/>
    <s v="Tokyo"/>
    <n v="34"/>
    <s v="Male"/>
    <s v="kenji.sato14@edu.jp"/>
    <s v="+81-90-7890-1234"/>
    <d v="2024-02-18T00:00:00"/>
    <d v="2024-01-13T00:00:00"/>
    <n v="3050.8"/>
    <n v="11000.25"/>
    <n v="605"/>
    <n v="30000"/>
    <x v="2"/>
    <x v="1"/>
    <n v="0"/>
    <s v="Active"/>
    <n v="0.36667499999999997"/>
    <n v="2"/>
    <x v="3"/>
    <x v="1"/>
    <x v="1"/>
  </r>
  <r>
    <s v="Fatoumata Bello"/>
    <s v="fatou_b13"/>
    <x v="3"/>
    <x v="19"/>
    <s v="Dakar"/>
    <n v="48"/>
    <s v="Female"/>
    <s v="fatoumata.bello13@email.sn"/>
    <s v="+221-90-456-7890"/>
    <d v="2022-03-22T00:00:00"/>
    <d v="2024-01-11T00:00:00"/>
    <n v="75500.399999999994"/>
    <n v="37700.75"/>
    <n v="710"/>
    <n v="128000"/>
    <x v="0"/>
    <x v="0"/>
    <n v="0"/>
    <s v="Active"/>
    <n v="0.29453710937499999"/>
    <n v="4"/>
    <x v="0"/>
    <x v="2"/>
    <x v="2"/>
  </r>
  <r>
    <s v="David Wilson"/>
    <s v="david_w13"/>
    <x v="2"/>
    <x v="3"/>
    <s v="Manchester"/>
    <n v="62"/>
    <s v="Male"/>
    <s v="david.wilson13@company.co.uk"/>
    <s v="+44-79-7890-1234"/>
    <d v="2019-02-22T00:00:00"/>
    <d v="2024-01-09T00:00:00"/>
    <n v="180100.6"/>
    <n v="94000.25"/>
    <n v="675"/>
    <n v="197000"/>
    <x v="2"/>
    <x v="0"/>
    <n v="0"/>
    <s v="Active"/>
    <n v="0.47715862944162435"/>
    <n v="6"/>
    <x v="0"/>
    <x v="4"/>
    <x v="3"/>
  </r>
  <r>
    <s v="Lina Park"/>
    <s v="lina_park13"/>
    <x v="4"/>
    <x v="17"/>
    <s v="Seoul"/>
    <n v="47"/>
    <s v="Female"/>
    <s v="lina.park13@email.kr"/>
    <s v="+82-10-6789-0123"/>
    <d v="2021-08-28T00:00:00"/>
    <d v="2024-01-10T00:00:00"/>
    <n v="51900.75"/>
    <n v="28800.799999999999"/>
    <n v="725"/>
    <n v="94000"/>
    <x v="0"/>
    <x v="0"/>
    <n v="0"/>
    <s v="Active"/>
    <n v="0.30639148936170213"/>
    <n v="5"/>
    <x v="0"/>
    <x v="2"/>
    <x v="0"/>
  </r>
  <r>
    <s v="Ahmed Al-Mansoori"/>
    <s v="ahmed_alm13"/>
    <x v="5"/>
    <x v="8"/>
    <s v="Dubai"/>
    <n v="45"/>
    <s v="Male"/>
    <s v="ahmed.almansoori13@email.ae"/>
    <s v="+971-50-890-1234"/>
    <d v="2022-11-22T00:00:00"/>
    <d v="2024-01-12T00:00:00"/>
    <n v="29900.400000000001"/>
    <n v="12000.9"/>
    <n v="740"/>
    <n v="80000"/>
    <x v="1"/>
    <x v="0"/>
    <n v="0"/>
    <s v="Active"/>
    <n v="0.15001124999999998"/>
    <n v="3"/>
    <x v="0"/>
    <x v="2"/>
    <x v="0"/>
  </r>
  <r>
    <s v="Maria Costa"/>
    <s v="maria_costa13"/>
    <x v="0"/>
    <x v="5"/>
    <s v="São Paulo"/>
    <n v="68"/>
    <s v="Female"/>
    <s v="maria.costa13@mail.com.br"/>
    <s v="+55-11-99890-1234"/>
    <d v="2017-11-22T00:00:00"/>
    <d v="2024-01-08T00:00:00"/>
    <n v="269000.90000000002"/>
    <n v="84000.6"/>
    <n v="830"/>
    <n v="292000"/>
    <x v="1"/>
    <x v="0"/>
    <n v="0"/>
    <s v="Active"/>
    <n v="0.2876732876712329"/>
    <n v="7"/>
    <x v="1"/>
    <x v="4"/>
    <x v="3"/>
  </r>
  <r>
    <s v="Chinedu Nwankwo"/>
    <s v="chinedu_n13"/>
    <x v="2"/>
    <x v="6"/>
    <s v="Abuja"/>
    <n v="60"/>
    <s v="Male"/>
    <s v="chinedu.nwankwo13@company.ng"/>
    <s v="+234-827-890-1234"/>
    <d v="2019-07-12T00:00:00"/>
    <d v="2024-01-09T00:00:00"/>
    <n v="157900.25"/>
    <n v="86000.4"/>
    <n v="655"/>
    <n v="182000"/>
    <x v="2"/>
    <x v="0"/>
    <n v="0"/>
    <s v="Active"/>
    <n v="0.4725296703296703"/>
    <n v="6"/>
    <x v="3"/>
    <x v="4"/>
    <x v="2"/>
  </r>
  <r>
    <s v="Isabelle Moreau"/>
    <s v="isabelle_m13"/>
    <x v="3"/>
    <x v="9"/>
    <s v="Montreal"/>
    <n v="49"/>
    <s v="Female"/>
    <s v="isabelle.moreau13@email.ca"/>
    <s v="+1-514-555-0198"/>
    <d v="2021-12-22T00:00:00"/>
    <d v="2024-01-11T00:00:00"/>
    <n v="94400.6"/>
    <n v="45700.75"/>
    <n v="760"/>
    <n v="151000"/>
    <x v="0"/>
    <x v="0"/>
    <n v="0"/>
    <s v="Active"/>
    <n v="0.30265397350993378"/>
    <n v="4"/>
    <x v="2"/>
    <x v="2"/>
    <x v="2"/>
  </r>
  <r>
    <s v="Rahman Ali"/>
    <s v="rahman_ali14"/>
    <x v="1"/>
    <x v="36"/>
    <s v="Surabaya"/>
    <n v="40"/>
    <s v="Male"/>
    <s v="rahman.ali14@mail.id"/>
    <s v="+62-824-5678-9012"/>
    <d v="2024-02-12T00:00:00"/>
    <d v="2024-01-15T00:00:00"/>
    <n v="14400.25"/>
    <n v="8500.7999999999993"/>
    <n v="695"/>
    <n v="51000"/>
    <x v="0"/>
    <x v="1"/>
    <n v="0"/>
    <s v="Active"/>
    <n v="0.16668235294117645"/>
    <n v="0"/>
    <x v="0"/>
    <x v="0"/>
    <x v="1"/>
  </r>
  <r>
    <s v="Sarah Johnson"/>
    <s v="sarah_j13"/>
    <x v="5"/>
    <x v="0"/>
    <s v="New York"/>
    <n v="43"/>
    <s v="Female"/>
    <s v="sarah.johnson13@email.com"/>
    <s v="+1-646-555-0194"/>
    <d v="2022-09-22T00:00:00"/>
    <d v="2024-01-12T00:00:00"/>
    <n v="28800.9"/>
    <n v="11600.25"/>
    <n v="755"/>
    <n v="73000"/>
    <x v="1"/>
    <x v="0"/>
    <n v="0"/>
    <s v="Active"/>
    <n v="0.15890753424657533"/>
    <n v="3"/>
    <x v="2"/>
    <x v="0"/>
    <x v="1"/>
  </r>
  <r>
    <s v="Wei Zhang"/>
    <s v="wei_zhang13"/>
    <x v="2"/>
    <x v="4"/>
    <s v="Beijing"/>
    <n v="61"/>
    <s v="Male"/>
    <s v="wei.zhang13@company.cn"/>
    <s v="+86-138-9012-3456"/>
    <d v="2019-04-28T00:00:00"/>
    <d v="2024-01-09T00:00:00"/>
    <n v="190800.4"/>
    <n v="99000.75"/>
    <n v="685"/>
    <n v="207000"/>
    <x v="2"/>
    <x v="0"/>
    <n v="0"/>
    <s v="Active"/>
    <n v="0.4782644927536232"/>
    <n v="6"/>
    <x v="0"/>
    <x v="4"/>
    <x v="3"/>
  </r>
  <r>
    <s v="Anna Kowalski"/>
    <s v="anna_k14"/>
    <x v="4"/>
    <x v="37"/>
    <s v="Warsaw"/>
    <n v="52"/>
    <s v="Female"/>
    <s v="anna.kowalski14@email.pl"/>
    <s v="+48-712-456-789"/>
    <d v="2021-01-15T00:00:00"/>
    <d v="2024-01-10T00:00:00"/>
    <n v="58800.800000000003"/>
    <n v="31900.6"/>
    <n v="715"/>
    <n v="106000"/>
    <x v="0"/>
    <x v="0"/>
    <n v="0"/>
    <s v="Active"/>
    <n v="0.30094905660377358"/>
    <n v="5"/>
    <x v="0"/>
    <x v="2"/>
    <x v="0"/>
  </r>
  <r>
    <s v="Mohammed Rahman"/>
    <s v="m_rahman14"/>
    <x v="3"/>
    <x v="29"/>
    <s v="Dhaka"/>
    <n v="55"/>
    <s v="Male"/>
    <s v="mohammed.rahman14@email.bd"/>
    <s v="+880-1812-678901"/>
    <d v="2020-10-22T00:00:00"/>
    <d v="2024-01-11T00:00:00"/>
    <n v="86600.25"/>
    <n v="41900.400000000001"/>
    <n v="680"/>
    <n v="135000"/>
    <x v="0"/>
    <x v="0"/>
    <n v="0"/>
    <s v="Active"/>
    <n v="0.31037333333333333"/>
    <n v="4"/>
    <x v="0"/>
    <x v="4"/>
    <x v="2"/>
  </r>
  <r>
    <s v="Yumi Tanaka"/>
    <s v="yumi_tanaka13"/>
    <x v="6"/>
    <x v="1"/>
    <s v="Osaka"/>
    <n v="35"/>
    <s v="Female"/>
    <s v="yumi.tanaka13@edu.jp"/>
    <s v="+81-90-8901-2345"/>
    <d v="2024-02-28T00:00:00"/>
    <d v="2024-01-13T00:00:00"/>
    <n v="3150.4"/>
    <n v="11600.75"/>
    <n v="610"/>
    <n v="31000"/>
    <x v="2"/>
    <x v="1"/>
    <n v="0"/>
    <s v="Active"/>
    <n v="0.37421774193548385"/>
    <n v="2"/>
    <x v="3"/>
    <x v="0"/>
    <x v="1"/>
  </r>
  <r>
    <s v="Carlos Mendez"/>
    <s v="carlos_m13"/>
    <x v="0"/>
    <x v="13"/>
    <s v="Mexico City"/>
    <n v="67"/>
    <s v="Male"/>
    <s v="carlos.mendez13@mail.mx"/>
    <s v="+52-55-6789-0123"/>
    <d v="2018-06-22T00:00:00"/>
    <d v="2024-01-08T00:00:00"/>
    <n v="288800.8"/>
    <n v="90000.25"/>
    <n v="825"/>
    <n v="287000"/>
    <x v="1"/>
    <x v="0"/>
    <n v="0"/>
    <s v="Active"/>
    <n v="0.31358972125435541"/>
    <n v="7"/>
    <x v="1"/>
    <x v="4"/>
    <x v="3"/>
  </r>
  <r>
    <s v="Aisha Mohammed"/>
    <s v="aisha_m14"/>
    <x v="5"/>
    <x v="16"/>
    <s v="Nairobi"/>
    <n v="42"/>
    <s v="Female"/>
    <s v="aisha.mohammed14@email.ke"/>
    <s v="+254-736-789-012"/>
    <d v="2023-03-22T00:00:00"/>
    <d v="2024-01-14T00:00:00"/>
    <n v="25500.75"/>
    <n v="10000.4"/>
    <n v="725"/>
    <n v="63000"/>
    <x v="1"/>
    <x v="0"/>
    <n v="0"/>
    <s v="Active"/>
    <n v="0.15873650793650793"/>
    <n v="1"/>
    <x v="0"/>
    <x v="0"/>
    <x v="1"/>
  </r>
  <r>
    <s v="David Chen"/>
    <s v="david_chen14"/>
    <x v="2"/>
    <x v="23"/>
    <s v="Singapore"/>
    <n v="59"/>
    <s v="Male"/>
    <s v="david.chen14@company.sg"/>
    <s v="+65-9590-1234"/>
    <d v="2019-10-08T00:00:00"/>
    <d v="2024-01-09T00:00:00"/>
    <n v="169000.6"/>
    <n v="90000.9"/>
    <n v="675"/>
    <n v="187000"/>
    <x v="2"/>
    <x v="0"/>
    <n v="0"/>
    <s v="Active"/>
    <n v="0.48128823529411763"/>
    <n v="6"/>
    <x v="0"/>
    <x v="4"/>
    <x v="2"/>
  </r>
  <r>
    <s v="Maria Papadopoulos"/>
    <s v="maria_p14"/>
    <x v="4"/>
    <x v="38"/>
    <s v="Athens"/>
    <n v="50"/>
    <s v="Female"/>
    <s v="maria.papadopoulos14@email.gr"/>
    <s v="+30-704-567-8901"/>
    <d v="2021-11-22T00:00:00"/>
    <d v="2024-01-11T00:00:00"/>
    <n v="53000.4"/>
    <n v="27700.25"/>
    <n v="705"/>
    <n v="95000"/>
    <x v="0"/>
    <x v="0"/>
    <n v="0"/>
    <s v="Active"/>
    <n v="0.29158157894736841"/>
    <n v="4"/>
    <x v="0"/>
    <x v="2"/>
    <x v="0"/>
  </r>
  <r>
    <s v="James Wilson"/>
    <s v="j_wilson14"/>
    <x v="3"/>
    <x v="26"/>
    <s v="Melbourne"/>
    <n v="53"/>
    <s v="Male"/>
    <s v="james.wilson14@email.au"/>
    <s v="+61-436-789-012"/>
    <d v="2020-06-22T00:00:00"/>
    <d v="2024-01-10T00:00:00"/>
    <n v="99900.75"/>
    <n v="48800.800000000003"/>
    <n v="730"/>
    <n v="161000"/>
    <x v="0"/>
    <x v="0"/>
    <n v="0"/>
    <s v="Active"/>
    <n v="0.3031105590062112"/>
    <n v="5"/>
    <x v="0"/>
    <x v="2"/>
    <x v="2"/>
  </r>
  <r>
    <s v="Fatima Zahra"/>
    <s v="f_zahra14"/>
    <x v="1"/>
    <x v="25"/>
    <s v="Lahore"/>
    <n v="38"/>
    <s v="Female"/>
    <s v="fatima.zahra14@mail.pk"/>
    <s v="+92-334-6543210"/>
    <d v="2024-02-22T00:00:00"/>
    <d v="2024-01-15T00:00:00"/>
    <n v="12600.9"/>
    <n v="7700.75"/>
    <n v="685"/>
    <n v="48000"/>
    <x v="0"/>
    <x v="1"/>
    <n v="0"/>
    <s v="Active"/>
    <n v="0.16043229166666667"/>
    <n v="0"/>
    <x v="0"/>
    <x v="0"/>
    <x v="1"/>
  </r>
  <r>
    <s v="Kenji Yamada"/>
    <s v="kenji_y14"/>
    <x v="0"/>
    <x v="1"/>
    <s v="Tokyo"/>
    <n v="70"/>
    <s v="Male"/>
    <s v="kenji.yamada14@mail.jp"/>
    <s v="+81-80-4567-8901"/>
    <d v="2017-09-22T00:00:00"/>
    <d v="2024-01-08T00:00:00"/>
    <n v="299700.25"/>
    <n v="94000.4"/>
    <n v="840"/>
    <n v="302000"/>
    <x v="1"/>
    <x v="0"/>
    <n v="0"/>
    <s v="Active"/>
    <n v="0.31125960264900659"/>
    <n v="7"/>
    <x v="1"/>
    <x v="4"/>
    <x v="3"/>
  </r>
  <r>
    <s v="Ngozi Eze"/>
    <s v="ngozi_e14"/>
    <x v="2"/>
    <x v="6"/>
    <s v="Lagos"/>
    <n v="62"/>
    <s v="Female"/>
    <s v="ngozi.eze14@company.ng"/>
    <s v="+234-826-789-0123"/>
    <d v="2019-02-22T00:00:00"/>
    <d v="2024-01-09T00:00:00"/>
    <n v="180100.4"/>
    <n v="94000.75"/>
    <n v="650"/>
    <n v="197000"/>
    <x v="2"/>
    <x v="0"/>
    <n v="0"/>
    <s v="Active"/>
    <n v="0.47716116751269033"/>
    <n v="6"/>
    <x v="3"/>
    <x v="4"/>
    <x v="3"/>
  </r>
  <r>
    <s v="Thomas Schmidt"/>
    <s v="thomas_s14"/>
    <x v="3"/>
    <x v="7"/>
    <s v="Berlin"/>
    <n v="49"/>
    <s v="Male"/>
    <s v="thomas.schmidt14@email.de"/>
    <s v="+49-188-9012345"/>
    <d v="2022-06-28T00:00:00"/>
    <d v="2024-01-12T00:00:00"/>
    <n v="87700.4"/>
    <n v="43000.25"/>
    <n v="745"/>
    <n v="141000"/>
    <x v="0"/>
    <x v="0"/>
    <n v="0"/>
    <s v="Active"/>
    <n v="0.30496631205673758"/>
    <n v="3"/>
    <x v="0"/>
    <x v="2"/>
    <x v="2"/>
  </r>
  <r>
    <s v="Lina Chen"/>
    <s v="lina_c14"/>
    <x v="5"/>
    <x v="4"/>
    <s v="Shanghai"/>
    <n v="44"/>
    <s v="Female"/>
    <s v="lina.chen14@mail.cn"/>
    <s v="+86-137-9012-3456"/>
    <d v="2022-12-22T00:00:00"/>
    <d v="2024-01-11T00:00:00"/>
    <n v="27700.799999999999"/>
    <n v="11200.9"/>
    <n v="765"/>
    <n v="73000"/>
    <x v="1"/>
    <x v="0"/>
    <n v="0"/>
    <s v="Active"/>
    <n v="0.15343698630136987"/>
    <n v="4"/>
    <x v="2"/>
    <x v="0"/>
    <x v="1"/>
  </r>
  <r>
    <s v="Ahmed Hassan"/>
    <s v="ahmed_h14"/>
    <x v="4"/>
    <x v="20"/>
    <s v="Alexandria"/>
    <n v="57"/>
    <s v="Male"/>
    <s v="ahmed.hassan14@email.eg"/>
    <s v="+20-122-876-5432"/>
    <d v="2020-12-22T00:00:00"/>
    <d v="2024-01-10T00:00:00"/>
    <n v="61000.75"/>
    <n v="34100.400000000001"/>
    <n v="675"/>
    <n v="113000"/>
    <x v="0"/>
    <x v="0"/>
    <n v="0"/>
    <s v="Active"/>
    <n v="0.30177345132743366"/>
    <n v="5"/>
    <x v="0"/>
    <x v="4"/>
    <x v="0"/>
  </r>
  <r>
    <s v="Sophie Martin"/>
    <s v="sophie_m14"/>
    <x v="6"/>
    <x v="10"/>
    <s v="Paris"/>
    <n v="36"/>
    <s v="Female"/>
    <s v="sophie.martin14@edu.fr"/>
    <s v="+33-6-6789-0123"/>
    <d v="2024-03-05T00:00:00"/>
    <d v="2024-01-13T00:00:00"/>
    <n v="3400.25"/>
    <n v="12800.6"/>
    <n v="615"/>
    <n v="33000"/>
    <x v="2"/>
    <x v="1"/>
    <n v="0"/>
    <s v="Active"/>
    <n v="0.38789696969696968"/>
    <n v="2"/>
    <x v="3"/>
    <x v="0"/>
    <x v="1"/>
  </r>
  <r>
    <s v="Raj Kumar"/>
    <s v="raj_kumar14"/>
    <x v="2"/>
    <x v="2"/>
    <s v="Mumbai"/>
    <n v="64"/>
    <s v="Male"/>
    <s v="raj.kumar14@company.in"/>
    <s v="+91-987-654-3210"/>
    <d v="2019-01-22T00:00:00"/>
    <d v="2024-01-08T00:00:00"/>
    <n v="214700.79999999999"/>
    <n v="107000.25"/>
    <n v="660"/>
    <n v="232000"/>
    <x v="2"/>
    <x v="0"/>
    <n v="0"/>
    <s v="Active"/>
    <n v="0.46120797413793102"/>
    <n v="7"/>
    <x v="3"/>
    <x v="4"/>
    <x v="3"/>
  </r>
  <r>
    <s v="Maria Gonzalez"/>
    <s v="maria_g15"/>
    <x v="3"/>
    <x v="13"/>
    <s v="Guadalajara"/>
    <n v="51"/>
    <s v="Female"/>
    <s v="maria.gonzalez15@email.mx"/>
    <s v="+52-33-8901-0123"/>
    <d v="2021-05-22T00:00:00"/>
    <d v="2024-01-11T00:00:00"/>
    <n v="82100.899999999994"/>
    <n v="39900.75"/>
    <n v="730"/>
    <n v="136000"/>
    <x v="0"/>
    <x v="0"/>
    <n v="0"/>
    <s v="Active"/>
    <n v="0.29338786764705882"/>
    <n v="4"/>
    <x v="0"/>
    <x v="2"/>
    <x v="2"/>
  </r>
  <r>
    <s v="Yuki Kobayashi"/>
    <s v="yuki_k14"/>
    <x v="1"/>
    <x v="1"/>
    <s v="Osaka"/>
    <n v="40"/>
    <s v="Female"/>
    <s v="yuki.kobayashi14@mail.jp"/>
    <s v="+81-90-5678-9012"/>
    <d v="2024-02-22T00:00:00"/>
    <d v="2024-01-14T00:00:00"/>
    <n v="13700.4"/>
    <n v="7800.25"/>
    <n v="705"/>
    <n v="50000"/>
    <x v="0"/>
    <x v="1"/>
    <n v="0"/>
    <s v="Active"/>
    <n v="0.156005"/>
    <n v="1"/>
    <x v="0"/>
    <x v="0"/>
    <x v="1"/>
  </r>
  <r>
    <s v="Kwame Asante"/>
    <s v="kwame_a14"/>
    <x v="5"/>
    <x v="15"/>
    <s v="Accra"/>
    <n v="45"/>
    <s v="Male"/>
    <s v="kwame.asante14@email.gh"/>
    <s v="+233-67-890-1234"/>
    <d v="2022-11-22T00:00:00"/>
    <d v="2024-01-12T00:00:00"/>
    <n v="26600.6"/>
    <n v="10600.8"/>
    <n v="710"/>
    <n v="66000"/>
    <x v="1"/>
    <x v="0"/>
    <n v="0"/>
    <s v="Active"/>
    <n v="0.1606181818181818"/>
    <n v="3"/>
    <x v="0"/>
    <x v="2"/>
    <x v="1"/>
  </r>
  <r>
    <s v="Anna Petrova"/>
    <s v="anna_p14"/>
    <x v="4"/>
    <x v="12"/>
    <s v="St. Petersburg"/>
    <n v="52"/>
    <s v="Female"/>
    <s v="anna.petrova14@email.ru"/>
    <s v="+7-921-654-32-10"/>
    <d v="2020-12-22T00:00:00"/>
    <d v="2024-01-10T00:00:00"/>
    <n v="57900.25"/>
    <n v="31000.9"/>
    <n v="695"/>
    <n v="101000"/>
    <x v="0"/>
    <x v="0"/>
    <n v="0"/>
    <s v="Active"/>
    <n v="0.30693960396039605"/>
    <n v="5"/>
    <x v="0"/>
    <x v="2"/>
    <x v="0"/>
  </r>
  <r>
    <s v="Liam O'Brien"/>
    <s v="liam_obrien14"/>
    <x v="2"/>
    <x v="11"/>
    <s v="Cork"/>
    <n v="60"/>
    <s v="Male"/>
    <s v="liam.obrien14@company.ie"/>
    <s v="+353-99-789-0123"/>
    <d v="2019-06-22T00:00:00"/>
    <d v="2024-01-09T00:00:00"/>
    <n v="146900.4"/>
    <n v="81000.600000000006"/>
    <n v="670"/>
    <n v="168000"/>
    <x v="2"/>
    <x v="0"/>
    <n v="0"/>
    <s v="Active"/>
    <n v="0.48214642857142859"/>
    <n v="6"/>
    <x v="0"/>
    <x v="4"/>
    <x v="2"/>
  </r>
  <r>
    <s v="Ying Wang"/>
    <s v="ying_w14"/>
    <x v="0"/>
    <x v="4"/>
    <s v="Shanghai"/>
    <n v="68"/>
    <s v="Female"/>
    <s v="ying.wang14@mail.cn"/>
    <s v="+86-139-6789-0123"/>
    <d v="2018-04-28T00:00:00"/>
    <d v="2024-01-08T00:00:00"/>
    <n v="313800.75"/>
    <n v="98000.8"/>
    <n v="835"/>
    <n v="313000"/>
    <x v="1"/>
    <x v="0"/>
    <n v="0"/>
    <s v="Active"/>
    <n v="0.31310159744408944"/>
    <n v="7"/>
    <x v="1"/>
    <x v="4"/>
    <x v="3"/>
  </r>
  <r>
    <s v="Adeola Yusuf"/>
    <s v="adeola_y14"/>
    <x v="4"/>
    <x v="6"/>
    <s v="Port Harcourt"/>
    <n v="55"/>
    <s v="Female"/>
    <s v="adeola.yusuf14@email.ng"/>
    <s v="+234-827-890-1234"/>
    <d v="2020-11-22T00:00:00"/>
    <d v="2024-01-11T00:00:00"/>
    <n v="66600.600000000006"/>
    <n v="36600.25"/>
    <n v="665"/>
    <n v="121000"/>
    <x v="0"/>
    <x v="0"/>
    <n v="0"/>
    <s v="Active"/>
    <n v="0.3024814049586777"/>
    <n v="4"/>
    <x v="3"/>
    <x v="4"/>
    <x v="0"/>
  </r>
  <r>
    <s v="Marco Bianchi"/>
    <s v="marco_b14"/>
    <x v="3"/>
    <x v="18"/>
    <s v="Milan"/>
    <n v="47"/>
    <s v="Male"/>
    <s v="marco.bianchi14@email.it"/>
    <s v="+39-361-567-8901"/>
    <d v="2022-08-22T00:00:00"/>
    <d v="2024-01-12T00:00:00"/>
    <n v="89900.800000000003"/>
    <n v="44100.4"/>
    <n v="750"/>
    <n v="147000"/>
    <x v="0"/>
    <x v="0"/>
    <n v="0"/>
    <s v="Active"/>
    <n v="0.3000027210884354"/>
    <n v="3"/>
    <x v="2"/>
    <x v="2"/>
    <x v="2"/>
  </r>
  <r>
    <s v="Jennifer Kim"/>
    <s v="jennifer_k14"/>
    <x v="5"/>
    <x v="0"/>
    <s v="San Francisco"/>
    <n v="43"/>
    <s v="Female"/>
    <s v="jennifer.kim14@email.com"/>
    <s v="+1-415-555-0194"/>
    <d v="2023-02-22T00:00:00"/>
    <d v="2024-01-14T00:00:00"/>
    <n v="28800.9"/>
    <n v="11600.75"/>
    <n v="770"/>
    <n v="78000"/>
    <x v="1"/>
    <x v="0"/>
    <n v="0"/>
    <s v="Active"/>
    <n v="0.1487275641025641"/>
    <n v="1"/>
    <x v="2"/>
    <x v="0"/>
    <x v="0"/>
  </r>
  <r>
    <s v="Rahman Hussain"/>
    <s v="rahman_h14"/>
    <x v="2"/>
    <x v="25"/>
    <s v="Islamabad"/>
    <n v="66"/>
    <s v="Male"/>
    <s v="rahman.hussain14@company.pk"/>
    <s v="+92-313-6543210"/>
    <d v="2018-10-22T00:00:00"/>
    <d v="2024-01-08T00:00:00"/>
    <n v="200000.25"/>
    <n v="102000.8"/>
    <n v="645"/>
    <n v="218000"/>
    <x v="2"/>
    <x v="0"/>
    <n v="0"/>
    <s v="Active"/>
    <n v="0.46789357798165138"/>
    <n v="7"/>
    <x v="3"/>
    <x v="4"/>
    <x v="3"/>
  </r>
  <r>
    <s v="Sofia Martinez"/>
    <s v="sofia_m14"/>
    <x v="1"/>
    <x v="14"/>
    <s v="Barcelona"/>
    <n v="39"/>
    <s v="Female"/>
    <s v="sofia.martinez14@mail.es"/>
    <s v="+34-636-789-012"/>
    <d v="2024-02-28T00:00:00"/>
    <d v="2024-01-15T00:00:00"/>
    <n v="23200.5"/>
    <n v="11200.4"/>
    <n v="720"/>
    <n v="55000"/>
    <x v="1"/>
    <x v="0"/>
    <n v="0"/>
    <s v="Active"/>
    <n v="0.20364363636363636"/>
    <n v="0"/>
    <x v="0"/>
    <x v="0"/>
    <x v="1"/>
  </r>
  <r>
    <s v="Kenji Sato"/>
    <s v="kenji_sato15"/>
    <x v="6"/>
    <x v="1"/>
    <s v="Tokyo"/>
    <n v="35"/>
    <s v="Male"/>
    <s v="kenji.sato15@edu.jp"/>
    <s v="+81-90-8901-2345"/>
    <d v="2024-02-28T00:00:00"/>
    <d v="2024-01-13T00:00:00"/>
    <n v="3150.8"/>
    <n v="11200.25"/>
    <n v="605"/>
    <n v="31000"/>
    <x v="2"/>
    <x v="1"/>
    <n v="0"/>
    <s v="Active"/>
    <n v="0.3612983870967742"/>
    <n v="2"/>
    <x v="3"/>
    <x v="0"/>
    <x v="1"/>
  </r>
  <r>
    <s v="Fatoumata Bello"/>
    <s v="fatou_b14"/>
    <x v="3"/>
    <x v="19"/>
    <s v="Dakar"/>
    <n v="49"/>
    <s v="Female"/>
    <s v="fatoumata.bello14@email.sn"/>
    <s v="+221-91-567-8901"/>
    <d v="2022-04-22T00:00:00"/>
    <d v="2024-01-11T00:00:00"/>
    <n v="76600.399999999994"/>
    <n v="38800.75"/>
    <n v="710"/>
    <n v="129000"/>
    <x v="0"/>
    <x v="0"/>
    <n v="0"/>
    <s v="Active"/>
    <n v="0.300781007751938"/>
    <n v="4"/>
    <x v="0"/>
    <x v="2"/>
    <x v="2"/>
  </r>
  <r>
    <s v="David Wilson"/>
    <s v="david_w14"/>
    <x v="2"/>
    <x v="3"/>
    <s v="London"/>
    <n v="63"/>
    <s v="Male"/>
    <s v="david.wilson14@company.co.uk"/>
    <s v="+44-79-8901-2345"/>
    <d v="2019-03-22T00:00:00"/>
    <d v="2024-01-09T00:00:00"/>
    <n v="180200.6"/>
    <n v="95000.25"/>
    <n v="675"/>
    <n v="198000"/>
    <x v="2"/>
    <x v="0"/>
    <n v="0"/>
    <s v="Active"/>
    <n v="0.47979924242424243"/>
    <n v="6"/>
    <x v="0"/>
    <x v="4"/>
    <x v="3"/>
  </r>
  <r>
    <s v="Lina Park"/>
    <s v="lina_park14"/>
    <x v="4"/>
    <x v="17"/>
    <s v="Busan"/>
    <n v="48"/>
    <s v="Female"/>
    <s v="lina.park14@email.kr"/>
    <s v="+82-10-7890-1234"/>
    <d v="2021-09-22T00:00:00"/>
    <d v="2024-01-10T00:00:00"/>
    <n v="53000.75"/>
    <n v="29900.799999999999"/>
    <n v="725"/>
    <n v="95000"/>
    <x v="0"/>
    <x v="0"/>
    <n v="0"/>
    <s v="Active"/>
    <n v="0.31474526315789475"/>
    <n v="5"/>
    <x v="0"/>
    <x v="2"/>
    <x v="0"/>
  </r>
  <r>
    <s v="Ahmed Al-Mansoori"/>
    <s v="ahmed_alm14"/>
    <x v="5"/>
    <x v="8"/>
    <s v="Abu Dhabi"/>
    <n v="46"/>
    <s v="Male"/>
    <s v="ahmed.almansoori14@email.ae"/>
    <s v="+971-50-901-2345"/>
    <d v="2022-12-22T00:00:00"/>
    <d v="2024-01-12T00:00:00"/>
    <n v="31000.400000000001"/>
    <n v="12400.9"/>
    <n v="740"/>
    <n v="81000"/>
    <x v="1"/>
    <x v="0"/>
    <n v="0"/>
    <s v="Active"/>
    <n v="0.15309753086419753"/>
    <n v="3"/>
    <x v="0"/>
    <x v="2"/>
    <x v="0"/>
  </r>
  <r>
    <s v="Maria Costa"/>
    <s v="maria_costa14"/>
    <x v="0"/>
    <x v="5"/>
    <s v="Rio de Janeiro"/>
    <n v="69"/>
    <s v="Female"/>
    <s v="maria.costa14@mail.com.br"/>
    <s v="+55-21-99901-2345"/>
    <d v="2017-12-22T00:00:00"/>
    <d v="2024-01-08T00:00:00"/>
    <n v="269100.90000000002"/>
    <n v="85000.6"/>
    <n v="830"/>
    <n v="293000"/>
    <x v="1"/>
    <x v="0"/>
    <n v="0"/>
    <s v="Active"/>
    <n v="0.29010443686006826"/>
    <n v="7"/>
    <x v="1"/>
    <x v="4"/>
    <x v="3"/>
  </r>
  <r>
    <s v="Chinedu Nwankwo"/>
    <s v="chinedu_n14"/>
    <x v="2"/>
    <x v="6"/>
    <s v="Abuja"/>
    <n v="61"/>
    <s v="Male"/>
    <s v="chinedu.nwankwo14@company.ng"/>
    <s v="+234-828-901-2345"/>
    <d v="2019-08-12T00:00:00"/>
    <d v="2024-01-09T00:00:00"/>
    <n v="158000.25"/>
    <n v="87000.4"/>
    <n v="655"/>
    <n v="183000"/>
    <x v="2"/>
    <x v="0"/>
    <n v="0"/>
    <s v="Active"/>
    <n v="0.47541202185792347"/>
    <n v="6"/>
    <x v="3"/>
    <x v="4"/>
    <x v="2"/>
  </r>
  <r>
    <s v="Isabelle Moreau"/>
    <s v="isabelle_m14"/>
    <x v="3"/>
    <x v="9"/>
    <s v="Vancouver"/>
    <n v="50"/>
    <s v="Female"/>
    <s v="isabelle.moreau14@email.ca"/>
    <s v="+1-604-555-0198"/>
    <d v="2022-01-22T00:00:00"/>
    <d v="2024-01-11T00:00:00"/>
    <n v="95500.6"/>
    <n v="46800.75"/>
    <n v="760"/>
    <n v="152000"/>
    <x v="0"/>
    <x v="0"/>
    <n v="0"/>
    <s v="Active"/>
    <n v="0.30789967105263155"/>
    <n v="4"/>
    <x v="2"/>
    <x v="2"/>
    <x v="2"/>
  </r>
  <r>
    <s v="Rahman Ali"/>
    <s v="rahman_ali15"/>
    <x v="1"/>
    <x v="36"/>
    <s v="Jakarta"/>
    <n v="41"/>
    <s v="Male"/>
    <s v="rahman.ali15@mail.id"/>
    <s v="+62-825-6789-0123"/>
    <d v="2024-02-28T00:00:00"/>
    <d v="2024-01-15T00:00:00"/>
    <n v="14900.25"/>
    <n v="8800.7999999999993"/>
    <n v="695"/>
    <n v="52000"/>
    <x v="0"/>
    <x v="1"/>
    <n v="0"/>
    <s v="Active"/>
    <n v="0.16924615384615382"/>
    <n v="0"/>
    <x v="0"/>
    <x v="0"/>
    <x v="1"/>
  </r>
  <r>
    <s v="Sarah Johnson"/>
    <s v="sarah_j14"/>
    <x v="5"/>
    <x v="0"/>
    <s v="Chicago"/>
    <n v="44"/>
    <s v="Female"/>
    <s v="sarah.johnson14@email.com"/>
    <s v="+1-773-555-0194"/>
    <d v="2022-10-22T00:00:00"/>
    <d v="2024-01-12T00:00:00"/>
    <n v="29900.9"/>
    <n v="12000.25"/>
    <n v="755"/>
    <n v="74000"/>
    <x v="1"/>
    <x v="0"/>
    <n v="0"/>
    <s v="Active"/>
    <n v="0.16216554054054055"/>
    <n v="3"/>
    <x v="2"/>
    <x v="0"/>
    <x v="1"/>
  </r>
  <r>
    <s v="Wei Zhang"/>
    <s v="wei_zhang14"/>
    <x v="2"/>
    <x v="4"/>
    <s v="Beijing"/>
    <n v="62"/>
    <s v="Male"/>
    <s v="wei.zhang14@company.cn"/>
    <s v="+86-138-0123-4567"/>
    <d v="2019-05-22T00:00:00"/>
    <d v="2024-01-09T00:00:00"/>
    <n v="190900.4"/>
    <n v="100000.75"/>
    <n v="685"/>
    <n v="208000"/>
    <x v="2"/>
    <x v="0"/>
    <n v="0"/>
    <s v="Active"/>
    <n v="0.48077283653846153"/>
    <n v="6"/>
    <x v="0"/>
    <x v="4"/>
    <x v="3"/>
  </r>
  <r>
    <s v="Anna Kowalski"/>
    <s v="anna_k15"/>
    <x v="4"/>
    <x v="37"/>
    <s v="Warsaw"/>
    <n v="53"/>
    <s v="Female"/>
    <s v="anna.kowalski15@email.pl"/>
    <s v="+48-713-567-890"/>
    <d v="2021-02-12T00:00:00"/>
    <d v="2024-01-10T00:00:00"/>
    <n v="59900.800000000003"/>
    <n v="33000.6"/>
    <n v="715"/>
    <n v="107000"/>
    <x v="0"/>
    <x v="0"/>
    <n v="0"/>
    <s v="Active"/>
    <n v="0.30841682242990653"/>
    <n v="5"/>
    <x v="0"/>
    <x v="2"/>
    <x v="0"/>
  </r>
  <r>
    <s v="Mohammed Rahman"/>
    <s v="m_rahman15"/>
    <x v="3"/>
    <x v="29"/>
    <s v="Chittagong"/>
    <n v="56"/>
    <s v="Male"/>
    <s v="mohammed.rahman15@email.bd"/>
    <s v="+880-1812-789012"/>
    <d v="2020-11-22T00:00:00"/>
    <d v="2024-01-11T00:00:00"/>
    <n v="87700.25"/>
    <n v="43000.4"/>
    <n v="680"/>
    <n v="136000"/>
    <x v="0"/>
    <x v="0"/>
    <n v="0"/>
    <s v="Active"/>
    <n v="0.31617941176470588"/>
    <n v="4"/>
    <x v="0"/>
    <x v="4"/>
    <x v="2"/>
  </r>
  <r>
    <s v="Yumi Tanaka"/>
    <s v="yumi_tanaka14"/>
    <x v="6"/>
    <x v="1"/>
    <s v="Osaka"/>
    <n v="36"/>
    <s v="Female"/>
    <s v="yumi.tanaka14@edu.jp"/>
    <s v="+81-90-9012-3456"/>
    <d v="2024-03-08T00:00:00"/>
    <d v="2024-01-13T00:00:00"/>
    <n v="3250.4"/>
    <n v="11800.75"/>
    <n v="610"/>
    <n v="32000"/>
    <x v="2"/>
    <x v="1"/>
    <n v="0"/>
    <s v="Active"/>
    <n v="0.36877343750000002"/>
    <n v="2"/>
    <x v="3"/>
    <x v="0"/>
    <x v="1"/>
  </r>
  <r>
    <s v="Carlos Mendez"/>
    <s v="carlos_m14"/>
    <x v="0"/>
    <x v="13"/>
    <s v="Mexico City"/>
    <n v="68"/>
    <s v="Male"/>
    <s v="carlos.mendez14@mail.mx"/>
    <s v="+52-55-7890-0123"/>
    <d v="2018-07-22T00:00:00"/>
    <d v="2024-01-08T00:00:00"/>
    <n v="288900.8"/>
    <n v="91000.25"/>
    <n v="825"/>
    <n v="288000"/>
    <x v="1"/>
    <x v="0"/>
    <n v="0"/>
    <s v="Active"/>
    <n v="0.31597309027777776"/>
    <n v="7"/>
    <x v="1"/>
    <x v="4"/>
    <x v="3"/>
  </r>
  <r>
    <s v="Aisha Mohammed"/>
    <s v="aisha_m15"/>
    <x v="5"/>
    <x v="16"/>
    <s v="Mombasa"/>
    <n v="43"/>
    <s v="Female"/>
    <s v="aisha.mohammed15@email.ke"/>
    <s v="+254-737-890-123"/>
    <d v="2023-04-22T00:00:00"/>
    <d v="2024-01-14T00:00:00"/>
    <n v="26600.75"/>
    <n v="10400.4"/>
    <n v="725"/>
    <n v="64000"/>
    <x v="1"/>
    <x v="0"/>
    <n v="0"/>
    <s v="Active"/>
    <n v="0.16250624999999999"/>
    <n v="1"/>
    <x v="0"/>
    <x v="0"/>
    <x v="1"/>
  </r>
  <r>
    <s v="David Chen"/>
    <s v="david_chen15"/>
    <x v="2"/>
    <x v="23"/>
    <s v="Singapore"/>
    <n v="60"/>
    <s v="Male"/>
    <s v="david.chen15@company.sg"/>
    <s v="+65-9690-1234"/>
    <d v="2019-11-12T00:00:00"/>
    <d v="2024-01-09T00:00:00"/>
    <n v="169100.6"/>
    <n v="91000.9"/>
    <n v="675"/>
    <n v="188000"/>
    <x v="2"/>
    <x v="0"/>
    <n v="0"/>
    <s v="Active"/>
    <n v="0.48404734042553188"/>
    <n v="6"/>
    <x v="0"/>
    <x v="4"/>
    <x v="2"/>
  </r>
  <r>
    <s v="Maria Papadopoulos"/>
    <s v="maria_p15"/>
    <x v="4"/>
    <x v="38"/>
    <s v="Athens"/>
    <n v="51"/>
    <s v="Female"/>
    <s v="maria.papadopoulos15@email.gr"/>
    <s v="+30-705-678-9012"/>
    <d v="2021-12-22T00:00:00"/>
    <d v="2024-01-11T00:00:00"/>
    <n v="54100.4"/>
    <n v="28800.25"/>
    <n v="705"/>
    <n v="96000"/>
    <x v="0"/>
    <x v="0"/>
    <n v="0"/>
    <s v="Active"/>
    <n v="0.30000260416666669"/>
    <n v="4"/>
    <x v="0"/>
    <x v="2"/>
    <x v="0"/>
  </r>
  <r>
    <s v="James Wilson"/>
    <s v="j_wilson15"/>
    <x v="3"/>
    <x v="26"/>
    <s v="Melbourne"/>
    <n v="54"/>
    <s v="Male"/>
    <s v="james.wilson15@email.au"/>
    <s v="+61-437-890-123"/>
    <d v="2020-07-22T00:00:00"/>
    <d v="2024-01-10T00:00:00"/>
    <n v="101000.75"/>
    <n v="49900.800000000003"/>
    <n v="730"/>
    <n v="162000"/>
    <x v="0"/>
    <x v="0"/>
    <n v="0"/>
    <s v="Active"/>
    <n v="0.30802962962962965"/>
    <n v="5"/>
    <x v="0"/>
    <x v="2"/>
    <x v="2"/>
  </r>
  <r>
    <s v="Fatima Zahra"/>
    <s v="f_zahra15"/>
    <x v="1"/>
    <x v="25"/>
    <s v="Karachi"/>
    <n v="39"/>
    <s v="Female"/>
    <s v="fatima.zahra15@mail.pk"/>
    <s v="+92-335-5432109"/>
    <d v="2024-03-05T00:00:00"/>
    <d v="2024-01-15T00:00:00"/>
    <n v="13000.9"/>
    <n v="7900.75"/>
    <n v="685"/>
    <n v="49000"/>
    <x v="0"/>
    <x v="1"/>
    <n v="0"/>
    <s v="Active"/>
    <n v="0.16123979591836735"/>
    <n v="0"/>
    <x v="0"/>
    <x v="0"/>
    <x v="1"/>
  </r>
  <r>
    <s v="Kenji Yamada"/>
    <s v="kenji_y15"/>
    <x v="0"/>
    <x v="1"/>
    <s v="Tokyo"/>
    <n v="71"/>
    <s v="Male"/>
    <s v="kenji.yamada15@mail.jp"/>
    <s v="+81-80-5678-9012"/>
    <d v="2017-10-22T00:00:00"/>
    <d v="2024-01-08T00:00:00"/>
    <n v="299800.25"/>
    <n v="95000.4"/>
    <n v="840"/>
    <n v="303000"/>
    <x v="1"/>
    <x v="0"/>
    <n v="0"/>
    <s v="Active"/>
    <n v="0.3135326732673267"/>
    <n v="7"/>
    <x v="1"/>
    <x v="4"/>
    <x v="3"/>
  </r>
  <r>
    <s v="Ngozi Eze"/>
    <s v="ngozi_e15"/>
    <x v="2"/>
    <x v="6"/>
    <s v="Lagos"/>
    <n v="63"/>
    <s v="Female"/>
    <s v="ngozi.eze15@company.ng"/>
    <s v="+234-827-890-1234"/>
    <d v="2019-03-22T00:00:00"/>
    <d v="2024-01-09T00:00:00"/>
    <n v="180200.4"/>
    <n v="95000.75"/>
    <n v="650"/>
    <n v="198000"/>
    <x v="2"/>
    <x v="0"/>
    <n v="0"/>
    <s v="Active"/>
    <n v="0.47980176767676769"/>
    <n v="6"/>
    <x v="3"/>
    <x v="4"/>
    <x v="3"/>
  </r>
  <r>
    <s v="Thomas Schmidt"/>
    <s v="thomas_s15"/>
    <x v="3"/>
    <x v="7"/>
    <s v="Hamburg"/>
    <n v="50"/>
    <s v="Male"/>
    <s v="thomas.schmidt15@email.de"/>
    <s v="+49-189-0123456"/>
    <d v="2022-07-22T00:00:00"/>
    <d v="2024-01-12T00:00:00"/>
    <n v="88800.4"/>
    <n v="44100.25"/>
    <n v="745"/>
    <n v="142000"/>
    <x v="0"/>
    <x v="0"/>
    <n v="0"/>
    <s v="Active"/>
    <n v="0.31056514084507042"/>
    <n v="3"/>
    <x v="0"/>
    <x v="2"/>
    <x v="2"/>
  </r>
  <r>
    <s v="Lina Chen"/>
    <s v="lina_c15"/>
    <x v="5"/>
    <x v="4"/>
    <s v="Shanghai"/>
    <n v="45"/>
    <s v="Female"/>
    <s v="lina.chen15@mail.cn"/>
    <s v="+86-137-0123-4567"/>
    <d v="2023-01-22T00:00:00"/>
    <d v="2024-01-11T00:00:00"/>
    <n v="28800.799999999999"/>
    <n v="11600.9"/>
    <n v="765"/>
    <n v="74000"/>
    <x v="1"/>
    <x v="0"/>
    <n v="0"/>
    <s v="Active"/>
    <n v="0.15676891891891892"/>
    <n v="4"/>
    <x v="2"/>
    <x v="2"/>
    <x v="1"/>
  </r>
  <r>
    <s v="Ahmed Hassan"/>
    <s v="ahmed_h15"/>
    <x v="4"/>
    <x v="20"/>
    <s v="Cairo"/>
    <n v="58"/>
    <s v="Male"/>
    <s v="ahmed.hassan15@email.eg"/>
    <s v="+20-122-765-4321"/>
    <d v="2021-01-22T00:00:00"/>
    <d v="2024-01-10T00:00:00"/>
    <n v="62100.75"/>
    <n v="35200.400000000001"/>
    <n v="675"/>
    <n v="114000"/>
    <x v="0"/>
    <x v="0"/>
    <n v="0"/>
    <s v="Active"/>
    <n v="0.30877543859649126"/>
    <n v="5"/>
    <x v="0"/>
    <x v="4"/>
    <x v="0"/>
  </r>
  <r>
    <s v="Sophie Martin"/>
    <s v="sophie_m15"/>
    <x v="6"/>
    <x v="10"/>
    <s v="Lyon"/>
    <n v="37"/>
    <s v="Female"/>
    <s v="sophie.martin15@edu.fr"/>
    <s v="+33-6-7890-1234"/>
    <d v="2024-03-12T00:00:00"/>
    <d v="2024-01-13T00:00:00"/>
    <n v="3500.25"/>
    <n v="13000.6"/>
    <n v="615"/>
    <n v="34000"/>
    <x v="2"/>
    <x v="1"/>
    <n v="0"/>
    <s v="Active"/>
    <n v="0.38237058823529413"/>
    <n v="2"/>
    <x v="3"/>
    <x v="0"/>
    <x v="1"/>
  </r>
  <r>
    <s v="Raj Kumar"/>
    <s v="raj_kumar15"/>
    <x v="2"/>
    <x v="2"/>
    <s v="Delhi"/>
    <n v="65"/>
    <s v="Male"/>
    <s v="raj.kumar15@company.in"/>
    <s v="+91-987-654-3210"/>
    <d v="2019-02-22T00:00:00"/>
    <d v="2024-01-08T00:00:00"/>
    <n v="214800.8"/>
    <n v="108000.25"/>
    <n v="660"/>
    <n v="233000"/>
    <x v="2"/>
    <x v="0"/>
    <n v="0"/>
    <s v="Active"/>
    <n v="0.46352038626609443"/>
    <n v="7"/>
    <x v="3"/>
    <x v="4"/>
    <x v="3"/>
  </r>
  <r>
    <s v="Maria Gonzalez"/>
    <s v="maria_g16"/>
    <x v="3"/>
    <x v="13"/>
    <s v="Mexico City"/>
    <n v="52"/>
    <s v="Female"/>
    <s v="maria.gonzalez16@email.mx"/>
    <s v="+52-55-8901-0123"/>
    <d v="2021-06-22T00:00:00"/>
    <d v="2024-01-11T00:00:00"/>
    <n v="83200.899999999994"/>
    <n v="41000.75"/>
    <n v="730"/>
    <n v="137000"/>
    <x v="0"/>
    <x v="0"/>
    <n v="0"/>
    <s v="Active"/>
    <n v="0.29927554744525547"/>
    <n v="4"/>
    <x v="0"/>
    <x v="2"/>
    <x v="2"/>
  </r>
  <r>
    <s v="Yuki Kobayashi"/>
    <s v="yuki_k15"/>
    <x v="1"/>
    <x v="1"/>
    <s v="Osaka"/>
    <n v="41"/>
    <s v="Female"/>
    <s v="yuki.kobayashi15@mail.jp"/>
    <s v="+81-90-6789-0123"/>
    <d v="2024-03-08T00:00:00"/>
    <d v="2024-01-14T00:00:00"/>
    <n v="14100.4"/>
    <n v="8000.25"/>
    <n v="705"/>
    <n v="51000"/>
    <x v="0"/>
    <x v="1"/>
    <n v="0"/>
    <s v="Active"/>
    <n v="0.15686764705882353"/>
    <n v="1"/>
    <x v="0"/>
    <x v="0"/>
    <x v="1"/>
  </r>
  <r>
    <s v="Kwame Asante"/>
    <s v="kwame_a15"/>
    <x v="5"/>
    <x v="15"/>
    <s v="Accra"/>
    <n v="46"/>
    <s v="Male"/>
    <s v="kwame.asante15@email.gh"/>
    <s v="+233-68-901-2345"/>
    <d v="2022-12-22T00:00:00"/>
    <d v="2024-01-12T00:00:00"/>
    <n v="27700.6"/>
    <n v="11000.8"/>
    <n v="710"/>
    <n v="67000"/>
    <x v="1"/>
    <x v="0"/>
    <n v="0"/>
    <s v="Active"/>
    <n v="0.1641910447761194"/>
    <n v="3"/>
    <x v="0"/>
    <x v="2"/>
    <x v="1"/>
  </r>
  <r>
    <s v="Anna Petrova"/>
    <s v="anna_p15"/>
    <x v="4"/>
    <x v="12"/>
    <s v="Moscow"/>
    <n v="53"/>
    <s v="Female"/>
    <s v="anna.petrova15@email.ru"/>
    <s v="+7-921-543-21-09"/>
    <d v="2021-01-22T00:00:00"/>
    <d v="2024-01-10T00:00:00"/>
    <n v="59000.25"/>
    <n v="32100.9"/>
    <n v="695"/>
    <n v="102000"/>
    <x v="0"/>
    <x v="0"/>
    <n v="0"/>
    <s v="Active"/>
    <n v="0.31471470588235295"/>
    <n v="5"/>
    <x v="0"/>
    <x v="2"/>
    <x v="0"/>
  </r>
  <r>
    <s v="Liam O'Brien"/>
    <s v="liam_obrien15"/>
    <x v="2"/>
    <x v="11"/>
    <s v="Dublin"/>
    <n v="61"/>
    <s v="Male"/>
    <s v="liam.obrien15@company.ie"/>
    <s v="+353-00-890-1234"/>
    <d v="2019-07-22T00:00:00"/>
    <d v="2024-01-09T00:00:00"/>
    <n v="147000.4"/>
    <n v="82000.600000000006"/>
    <n v="670"/>
    <n v="169000"/>
    <x v="2"/>
    <x v="0"/>
    <n v="0"/>
    <s v="Active"/>
    <n v="0.48521065088757398"/>
    <n v="6"/>
    <x v="0"/>
    <x v="4"/>
    <x v="2"/>
  </r>
  <r>
    <s v="Ying Wang"/>
    <s v="ying_w15"/>
    <x v="0"/>
    <x v="4"/>
    <s v="Beijing"/>
    <n v="69"/>
    <s v="Female"/>
    <s v="ying.wang15@mail.cn"/>
    <s v="+86-139-7890-1234"/>
    <d v="2018-05-22T00:00:00"/>
    <d v="2024-01-08T00:00:00"/>
    <n v="313900.75"/>
    <n v="99000.8"/>
    <n v="835"/>
    <n v="314000"/>
    <x v="1"/>
    <x v="0"/>
    <n v="0"/>
    <s v="Active"/>
    <n v="0.31528917197452228"/>
    <n v="7"/>
    <x v="1"/>
    <x v="4"/>
    <x v="3"/>
  </r>
  <r>
    <s v="Adeola Yusuf"/>
    <s v="adeola_y15"/>
    <x v="4"/>
    <x v="6"/>
    <s v="Abuja"/>
    <n v="56"/>
    <s v="Female"/>
    <s v="adeola.yusuf15@email.ng"/>
    <s v="+234-828-901-2345"/>
    <d v="2020-12-22T00:00:00"/>
    <d v="2024-01-11T00:00:00"/>
    <n v="67700.600000000006"/>
    <n v="37700.25"/>
    <n v="665"/>
    <n v="122000"/>
    <x v="0"/>
    <x v="0"/>
    <n v="0"/>
    <s v="Active"/>
    <n v="0.30901844262295081"/>
    <n v="4"/>
    <x v="3"/>
    <x v="4"/>
    <x v="0"/>
  </r>
  <r>
    <s v="Marco Bianchi"/>
    <s v="marco_b15"/>
    <x v="3"/>
    <x v="18"/>
    <s v="Rome"/>
    <n v="48"/>
    <s v="Male"/>
    <s v="marco.bianchi15@email.it"/>
    <s v="+39-362-678-9012"/>
    <d v="2022-09-22T00:00:00"/>
    <d v="2024-01-12T00:00:00"/>
    <n v="91000.8"/>
    <n v="45200.4"/>
    <n v="750"/>
    <n v="148000"/>
    <x v="0"/>
    <x v="0"/>
    <n v="0"/>
    <s v="Active"/>
    <n v="0.30540810810810815"/>
    <n v="3"/>
    <x v="2"/>
    <x v="2"/>
    <x v="2"/>
  </r>
  <r>
    <s v="Jennifer Kim"/>
    <s v="jennifer_k15"/>
    <x v="5"/>
    <x v="0"/>
    <s v="Seattle"/>
    <n v="44"/>
    <s v="Female"/>
    <s v="jennifer.kim15@email.com"/>
    <s v="+1-206-555-0194"/>
    <d v="2023-03-22T00:00:00"/>
    <d v="2024-01-14T00:00:00"/>
    <n v="29900.9"/>
    <n v="12000.75"/>
    <n v="770"/>
    <n v="79000"/>
    <x v="1"/>
    <x v="0"/>
    <n v="0"/>
    <s v="Active"/>
    <n v="0.15190822784810126"/>
    <n v="1"/>
    <x v="2"/>
    <x v="0"/>
    <x v="0"/>
  </r>
  <r>
    <s v="Rahman Hussain"/>
    <s v="rahman_h15"/>
    <x v="2"/>
    <x v="25"/>
    <s v="Lahore"/>
    <n v="67"/>
    <s v="Male"/>
    <s v="rahman.hussain15@company.pk"/>
    <s v="+92-314-5432109"/>
    <d v="2018-11-22T00:00:00"/>
    <d v="2024-01-08T00:00:00"/>
    <n v="200100.25"/>
    <n v="103000.8"/>
    <n v="645"/>
    <n v="219000"/>
    <x v="2"/>
    <x v="0"/>
    <n v="0"/>
    <s v="Active"/>
    <n v="0.47032328767123288"/>
    <n v="7"/>
    <x v="3"/>
    <x v="4"/>
    <x v="3"/>
  </r>
  <r>
    <s v="Sofia Martinez"/>
    <s v="sofia_m15"/>
    <x v="1"/>
    <x v="14"/>
    <s v="Madrid"/>
    <n v="40"/>
    <s v="Female"/>
    <s v="sofia.martinez15@mail.es"/>
    <s v="+34-637-890-123"/>
    <d v="2024-03-12T00:00:00"/>
    <d v="2024-01-15T00:00:00"/>
    <n v="24200.5"/>
    <n v="11600.4"/>
    <n v="720"/>
    <n v="56000"/>
    <x v="1"/>
    <x v="0"/>
    <n v="0"/>
    <s v="Active"/>
    <n v="0.20715"/>
    <n v="0"/>
    <x v="0"/>
    <x v="0"/>
    <x v="1"/>
  </r>
  <r>
    <s v="Kenji Sato"/>
    <s v="kenji_sato16"/>
    <x v="6"/>
    <x v="1"/>
    <s v="Tokyo"/>
    <n v="36"/>
    <s v="Male"/>
    <s v="kenji.sato16@edu.jp"/>
    <s v="+81-90-9012-3456"/>
    <d v="2024-03-15T00:00:00"/>
    <d v="2024-01-13T00:00:00"/>
    <n v="3250.8"/>
    <n v="11400.25"/>
    <n v="605"/>
    <n v="32000"/>
    <x v="2"/>
    <x v="1"/>
    <n v="0"/>
    <s v="Active"/>
    <n v="0.35625781249999999"/>
    <n v="2"/>
    <x v="3"/>
    <x v="0"/>
    <x v="1"/>
  </r>
  <r>
    <s v="Fatoumata Bello"/>
    <s v="fatou_b15"/>
    <x v="3"/>
    <x v="19"/>
    <s v="Dakar"/>
    <n v="50"/>
    <s v="Female"/>
    <s v="fatoumata.bello15@email.sn"/>
    <s v="+221-92-678-9012"/>
    <d v="2022-05-22T00:00:00"/>
    <d v="2024-01-11T00:00:00"/>
    <n v="77700.399999999994"/>
    <n v="39900.75"/>
    <n v="710"/>
    <n v="130000"/>
    <x v="0"/>
    <x v="0"/>
    <n v="0"/>
    <s v="Active"/>
    <n v="0.30692884615384614"/>
    <n v="4"/>
    <x v="0"/>
    <x v="2"/>
    <x v="2"/>
  </r>
  <r>
    <s v="David Wilson"/>
    <s v="david_w15"/>
    <x v="2"/>
    <x v="3"/>
    <s v="Manchester"/>
    <n v="64"/>
    <s v="Male"/>
    <s v="david.wilson15@company.co.uk"/>
    <s v="+44-79-9012-3456"/>
    <d v="2019-04-22T00:00:00"/>
    <d v="2024-01-09T00:00:00"/>
    <n v="180300.6"/>
    <n v="96000.25"/>
    <n v="675"/>
    <n v="199000"/>
    <x v="2"/>
    <x v="0"/>
    <n v="0"/>
    <s v="Active"/>
    <n v="0.48241331658291459"/>
    <n v="6"/>
    <x v="0"/>
    <x v="4"/>
    <x v="3"/>
  </r>
  <r>
    <s v="Lina Park"/>
    <s v="lina_park15"/>
    <x v="4"/>
    <x v="17"/>
    <s v="Seoul"/>
    <n v="49"/>
    <s v="Female"/>
    <s v="lina.park15@email.kr"/>
    <s v="+82-10-8901-2345"/>
    <d v="2021-10-22T00:00:00"/>
    <d v="2024-01-10T00:00:00"/>
    <n v="54100.75"/>
    <n v="31000.799999999999"/>
    <n v="725"/>
    <n v="96000"/>
    <x v="0"/>
    <x v="0"/>
    <n v="0"/>
    <s v="Active"/>
    <n v="0.32292500000000002"/>
    <n v="5"/>
    <x v="0"/>
    <x v="2"/>
    <x v="0"/>
  </r>
  <r>
    <s v="Ahmed Al-Mansoori"/>
    <s v="ahmed_alm15"/>
    <x v="5"/>
    <x v="8"/>
    <s v="Dubai"/>
    <n v="47"/>
    <s v="Male"/>
    <s v="ahmed.almansoori15@email.ae"/>
    <s v="+971-50-012-3456"/>
    <d v="2023-01-22T00:00:00"/>
    <d v="2024-01-12T00:00:00"/>
    <n v="32100.400000000001"/>
    <n v="12800.9"/>
    <n v="740"/>
    <n v="82000"/>
    <x v="1"/>
    <x v="0"/>
    <n v="0"/>
    <s v="Active"/>
    <n v="0.15610853658536586"/>
    <n v="3"/>
    <x v="0"/>
    <x v="2"/>
    <x v="0"/>
  </r>
  <r>
    <s v="Maria Costa"/>
    <s v="maria_costa15"/>
    <x v="0"/>
    <x v="5"/>
    <s v="São Paulo"/>
    <n v="70"/>
    <s v="Female"/>
    <s v="maria.costa15@mail.com.br"/>
    <s v="+55-11-99912-3456"/>
    <d v="2018-01-22T00:00:00"/>
    <d v="2024-01-08T00:00:00"/>
    <n v="269200.90000000002"/>
    <n v="86000.6"/>
    <n v="830"/>
    <n v="294000"/>
    <x v="1"/>
    <x v="0"/>
    <n v="0"/>
    <s v="Active"/>
    <n v="0.29251904761904762"/>
    <n v="7"/>
    <x v="1"/>
    <x v="4"/>
    <x v="3"/>
  </r>
  <r>
    <s v="Chinedu Nwankwo"/>
    <s v="chinedu_n15"/>
    <x v="2"/>
    <x v="6"/>
    <s v="Port Harcourt"/>
    <n v="62"/>
    <s v="Male"/>
    <s v="chinedu.nwankwo15@company.ng"/>
    <s v="+234-829-012-3456"/>
    <d v="2019-09-08T00:00:00"/>
    <d v="2024-01-09T00:00:00"/>
    <n v="158100.25"/>
    <n v="88000.4"/>
    <n v="655"/>
    <n v="184000"/>
    <x v="2"/>
    <x v="0"/>
    <n v="0"/>
    <s v="Active"/>
    <n v="0.47826304347826082"/>
    <n v="6"/>
    <x v="3"/>
    <x v="4"/>
    <x v="2"/>
  </r>
  <r>
    <s v="Isabelle Moreau"/>
    <s v="isabelle_m15"/>
    <x v="3"/>
    <x v="9"/>
    <s v="Toronto"/>
    <n v="51"/>
    <s v="Female"/>
    <s v="isabelle.moreau15@email.ca"/>
    <s v="+1-647-555-0194"/>
    <d v="2022-02-22T00:00:00"/>
    <d v="2024-01-11T00:00:00"/>
    <n v="96600.6"/>
    <n v="47900.75"/>
    <n v="760"/>
    <n v="153000"/>
    <x v="0"/>
    <x v="0"/>
    <n v="0"/>
    <s v="Active"/>
    <n v="0.31307679738562094"/>
    <n v="4"/>
    <x v="2"/>
    <x v="2"/>
    <x v="2"/>
  </r>
  <r>
    <s v="Rahman Ali"/>
    <s v="rahman_ali16"/>
    <x v="1"/>
    <x v="36"/>
    <s v="Surabaya"/>
    <n v="42"/>
    <s v="Male"/>
    <s v="rahman.ali16@mail.id"/>
    <s v="+62-826-7890-1234"/>
    <d v="2024-03-08T00:00:00"/>
    <d v="2024-01-15T00:00:00"/>
    <n v="15400.25"/>
    <n v="9100.7999999999993"/>
    <n v="695"/>
    <n v="53000"/>
    <x v="0"/>
    <x v="1"/>
    <n v="0"/>
    <s v="Active"/>
    <n v="0.17171320754716979"/>
    <n v="0"/>
    <x v="0"/>
    <x v="0"/>
    <x v="1"/>
  </r>
  <r>
    <s v="Sarah Johnson"/>
    <s v="sarah_j15"/>
    <x v="5"/>
    <x v="0"/>
    <s v="New York"/>
    <n v="45"/>
    <s v="Female"/>
    <s v="sarah.johnson15@email.com"/>
    <s v="+1-646-555-0198"/>
    <d v="2022-11-22T00:00:00"/>
    <d v="2024-01-12T00:00:00"/>
    <n v="31000.9"/>
    <n v="12400.25"/>
    <n v="755"/>
    <n v="75000"/>
    <x v="1"/>
    <x v="0"/>
    <n v="0"/>
    <s v="Active"/>
    <n v="0.16533666666666666"/>
    <n v="3"/>
    <x v="2"/>
    <x v="2"/>
    <x v="0"/>
  </r>
  <r>
    <s v="Wei Zhang"/>
    <s v="wei_zhang15"/>
    <x v="2"/>
    <x v="4"/>
    <s v="Beijing"/>
    <n v="63"/>
    <s v="Male"/>
    <s v="wei.zhang15@company.cn"/>
    <s v="+86-138-1234-5678"/>
    <d v="2019-06-22T00:00:00"/>
    <d v="2024-01-09T00:00:00"/>
    <n v="191000.4"/>
    <n v="101000.75"/>
    <n v="685"/>
    <n v="209000"/>
    <x v="2"/>
    <x v="0"/>
    <n v="0"/>
    <s v="Active"/>
    <n v="0.4832571770334928"/>
    <n v="6"/>
    <x v="0"/>
    <x v="4"/>
    <x v="3"/>
  </r>
  <r>
    <s v="Anna Kowalski"/>
    <s v="anna_k16"/>
    <x v="4"/>
    <x v="37"/>
    <s v="Warsaw"/>
    <n v="54"/>
    <s v="Female"/>
    <s v="anna.kowalski16@email.pl"/>
    <s v="+48-714-678-901"/>
    <d v="2021-03-22T00:00:00"/>
    <d v="2024-01-10T00:00:00"/>
    <n v="61000.800000000003"/>
    <n v="34100.6"/>
    <n v="715"/>
    <n v="108000"/>
    <x v="0"/>
    <x v="0"/>
    <n v="0"/>
    <s v="Active"/>
    <n v="0.3157462962962963"/>
    <n v="5"/>
    <x v="0"/>
    <x v="2"/>
    <x v="0"/>
  </r>
  <r>
    <s v="Mohammed Rahman"/>
    <s v="m_rahman16"/>
    <x v="3"/>
    <x v="29"/>
    <s v="Chittagong"/>
    <n v="57"/>
    <s v="Male"/>
    <s v="mohammed.rahman16@email.bd"/>
    <s v="+880-1812-890123"/>
    <d v="2020-12-22T00:00:00"/>
    <d v="2024-01-11T00:00:00"/>
    <n v="88800.25"/>
    <n v="44100.4"/>
    <n v="680"/>
    <n v="137000"/>
    <x v="0"/>
    <x v="0"/>
    <n v="0"/>
    <s v="Active"/>
    <n v="0.3219007299270073"/>
    <n v="4"/>
    <x v="0"/>
    <x v="4"/>
    <x v="2"/>
  </r>
  <r>
    <s v="Yumi Tanaka"/>
    <s v="yumi_tanaka15"/>
    <x v="6"/>
    <x v="1"/>
    <s v="Osaka"/>
    <n v="37"/>
    <s v="Female"/>
    <s v="yumi.tanaka15@edu.jp"/>
    <s v="+81-90-0123-4567"/>
    <d v="2024-03-22T00:00:00"/>
    <d v="2024-01-13T00:00:00"/>
    <n v="3350.4"/>
    <n v="12000.75"/>
    <n v="610"/>
    <n v="33000"/>
    <x v="2"/>
    <x v="1"/>
    <n v="0"/>
    <s v="Active"/>
    <n v="0.36365909090909093"/>
    <n v="2"/>
    <x v="3"/>
    <x v="0"/>
    <x v="1"/>
  </r>
  <r>
    <s v="Carlos Mendez"/>
    <s v="carlos_m15"/>
    <x v="0"/>
    <x v="13"/>
    <s v="Mexico City"/>
    <n v="69"/>
    <s v="Male"/>
    <s v="carlos.mendez15@mail.mx"/>
    <s v="+52-55-8901-0123"/>
    <d v="2018-08-22T00:00:00"/>
    <d v="2024-01-08T00:00:00"/>
    <n v="289000.8"/>
    <n v="92000.25"/>
    <n v="825"/>
    <n v="289000"/>
    <x v="1"/>
    <x v="0"/>
    <n v="0"/>
    <s v="Active"/>
    <n v="0.31833996539792386"/>
    <n v="7"/>
    <x v="1"/>
    <x v="4"/>
    <x v="3"/>
  </r>
  <r>
    <s v="Aisha Mohammed"/>
    <s v="aisha_m16"/>
    <x v="5"/>
    <x v="16"/>
    <s v="Nairobi"/>
    <n v="44"/>
    <s v="Female"/>
    <s v="aisha.mohammed16@email.ke"/>
    <s v="+254-738-901-234"/>
    <d v="2023-05-22T00:00:00"/>
    <d v="2024-01-14T00:00:00"/>
    <n v="27700.75"/>
    <n v="10800.4"/>
    <n v="725"/>
    <n v="65000"/>
    <x v="1"/>
    <x v="0"/>
    <n v="0"/>
    <s v="Active"/>
    <n v="0.16616"/>
    <n v="1"/>
    <x v="0"/>
    <x v="0"/>
    <x v="1"/>
  </r>
  <r>
    <s v="David Chen"/>
    <s v="david_chen16"/>
    <x v="2"/>
    <x v="23"/>
    <s v="Singapore"/>
    <n v="61"/>
    <s v="Male"/>
    <s v="david.chen16@company.sg"/>
    <s v="+65-9790-1234"/>
    <d v="2019-12-12T00:00:00"/>
    <d v="2024-01-09T00:00:00"/>
    <n v="169200.6"/>
    <n v="92000.9"/>
    <n v="675"/>
    <n v="189000"/>
    <x v="2"/>
    <x v="0"/>
    <n v="0"/>
    <s v="Active"/>
    <n v="0.48677724867724864"/>
    <n v="6"/>
    <x v="0"/>
    <x v="4"/>
    <x v="2"/>
  </r>
  <r>
    <s v="Maria Papadopoulos"/>
    <s v="maria_p16"/>
    <x v="4"/>
    <x v="38"/>
    <s v="Athens"/>
    <n v="52"/>
    <s v="Female"/>
    <s v="maria.papadopoulos16@email.gr"/>
    <s v="+30-706-789-0123"/>
    <d v="2022-01-22T00:00:00"/>
    <d v="2024-01-11T00:00:00"/>
    <n v="55200.4"/>
    <n v="29900.25"/>
    <n v="705"/>
    <n v="97000"/>
    <x v="0"/>
    <x v="0"/>
    <n v="0"/>
    <s v="Active"/>
    <n v="0.30825000000000002"/>
    <n v="4"/>
    <x v="0"/>
    <x v="2"/>
    <x v="0"/>
  </r>
  <r>
    <s v="James Wilson"/>
    <s v="j_wilson16"/>
    <x v="3"/>
    <x v="26"/>
    <s v="Sydney"/>
    <n v="55"/>
    <s v="Male"/>
    <s v="james.wilson16@email.au"/>
    <s v="+61-438-901-234"/>
    <d v="2020-08-22T00:00:00"/>
    <d v="2024-01-10T00:00:00"/>
    <n v="102100.75"/>
    <n v="51000.800000000003"/>
    <n v="730"/>
    <n v="163000"/>
    <x v="0"/>
    <x v="0"/>
    <n v="0"/>
    <s v="Active"/>
    <n v="0.31288834355828221"/>
    <n v="5"/>
    <x v="0"/>
    <x v="4"/>
    <x v="2"/>
  </r>
  <r>
    <s v="Fatima Zahra"/>
    <s v="f_zahra16"/>
    <x v="1"/>
    <x v="25"/>
    <s v="Islamabad"/>
    <n v="40"/>
    <s v="Female"/>
    <s v="fatima.zahra16@mail.pk"/>
    <s v="+92-336-4321098"/>
    <d v="2024-03-15T00:00:00"/>
    <d v="2024-01-15T00:00:00"/>
    <n v="13400.9"/>
    <n v="8100.75"/>
    <n v="685"/>
    <n v="50000"/>
    <x v="0"/>
    <x v="1"/>
    <n v="0"/>
    <s v="Active"/>
    <n v="0.16201499999999999"/>
    <n v="0"/>
    <x v="0"/>
    <x v="0"/>
    <x v="1"/>
  </r>
  <r>
    <s v="Kenji Yamada"/>
    <s v="kenji_y16"/>
    <x v="0"/>
    <x v="1"/>
    <s v="Tokyo"/>
    <n v="72"/>
    <s v="Male"/>
    <s v="kenji.yamada16@mail.jp"/>
    <s v="+81-80-6789-0123"/>
    <d v="2017-11-22T00:00:00"/>
    <d v="2024-01-08T00:00:00"/>
    <n v="299900.25"/>
    <n v="96000.4"/>
    <n v="840"/>
    <n v="304000"/>
    <x v="1"/>
    <x v="0"/>
    <n v="0"/>
    <s v="Active"/>
    <n v="0.31579078947368422"/>
    <n v="7"/>
    <x v="1"/>
    <x v="4"/>
    <x v="3"/>
  </r>
  <r>
    <s v="Ngozi Eze"/>
    <s v="ngozi_e16"/>
    <x v="2"/>
    <x v="6"/>
    <s v="Lagos"/>
    <n v="64"/>
    <s v="Female"/>
    <s v="ngozi.eze16@company.ng"/>
    <s v="+234-828-901-2345"/>
    <d v="2019-04-22T00:00:00"/>
    <d v="2024-01-09T00:00:00"/>
    <n v="180300.4"/>
    <n v="96000.75"/>
    <n v="650"/>
    <n v="199000"/>
    <x v="2"/>
    <x v="0"/>
    <n v="0"/>
    <s v="Active"/>
    <n v="0.48241582914572867"/>
    <n v="6"/>
    <x v="3"/>
    <x v="4"/>
    <x v="3"/>
  </r>
  <r>
    <s v="Thomas Schmidt"/>
    <s v="thomas_s16"/>
    <x v="3"/>
    <x v="7"/>
    <s v="Munich"/>
    <n v="51"/>
    <s v="Male"/>
    <s v="thomas.schmidt16@email.de"/>
    <s v="+49-190-1234567"/>
    <d v="2022-08-22T00:00:00"/>
    <d v="2024-01-12T00:00:00"/>
    <n v="89900.4"/>
    <n v="45200.25"/>
    <n v="745"/>
    <n v="143000"/>
    <x v="0"/>
    <x v="0"/>
    <n v="0"/>
    <s v="Active"/>
    <n v="0.31608566433566432"/>
    <n v="3"/>
    <x v="0"/>
    <x v="2"/>
    <x v="2"/>
  </r>
  <r>
    <s v="Lina Chen"/>
    <s v="lina_c16"/>
    <x v="5"/>
    <x v="4"/>
    <s v="Beijing"/>
    <n v="46"/>
    <s v="Female"/>
    <s v="lina.chen16@mail.cn"/>
    <s v="+86-137-1234-5678"/>
    <d v="2023-02-22T00:00:00"/>
    <d v="2024-01-11T00:00:00"/>
    <n v="29900.799999999999"/>
    <n v="12000.9"/>
    <n v="765"/>
    <n v="75000"/>
    <x v="1"/>
    <x v="0"/>
    <n v="0"/>
    <s v="Active"/>
    <n v="0.16001199999999999"/>
    <n v="4"/>
    <x v="2"/>
    <x v="2"/>
    <x v="0"/>
  </r>
  <r>
    <s v="Ahmed Hassan"/>
    <s v="ahmed_h16"/>
    <x v="4"/>
    <x v="20"/>
    <s v="Alexandria"/>
    <n v="59"/>
    <s v="Male"/>
    <s v="ahmed.hassan16@email.eg"/>
    <s v="+20-122-654-3210"/>
    <d v="2021-02-22T00:00:00"/>
    <d v="2024-01-10T00:00:00"/>
    <n v="63200.75"/>
    <n v="36300.400000000001"/>
    <n v="675"/>
    <n v="115000"/>
    <x v="0"/>
    <x v="0"/>
    <n v="0"/>
    <s v="Active"/>
    <n v="0.31565565217391306"/>
    <n v="5"/>
    <x v="0"/>
    <x v="4"/>
    <x v="0"/>
  </r>
  <r>
    <s v="Sophie Martin"/>
    <s v="sophie_m16"/>
    <x v="6"/>
    <x v="10"/>
    <s v="Paris"/>
    <n v="38"/>
    <s v="Female"/>
    <s v="sophie.martin16@edu.fr"/>
    <s v="+33-6-8901-2345"/>
    <d v="2024-03-28T00:00:00"/>
    <d v="2024-01-13T00:00:00"/>
    <n v="3600.25"/>
    <n v="13200.6"/>
    <n v="615"/>
    <n v="35000"/>
    <x v="2"/>
    <x v="1"/>
    <n v="0"/>
    <s v="Active"/>
    <n v="0.37716"/>
    <n v="2"/>
    <x v="3"/>
    <x v="0"/>
    <x v="1"/>
  </r>
  <r>
    <s v="Raj Kumar"/>
    <s v="raj_kumar16"/>
    <x v="2"/>
    <x v="2"/>
    <s v="Delhi"/>
    <n v="66"/>
    <s v="Male"/>
    <s v="raj.kumar16@company.in"/>
    <s v="+91-987-654-3210"/>
    <d v="2019-03-22T00:00:00"/>
    <d v="2024-01-08T00:00:00"/>
    <n v="214900.8"/>
    <n v="109000.25"/>
    <n v="660"/>
    <n v="234000"/>
    <x v="2"/>
    <x v="0"/>
    <n v="0"/>
    <s v="Active"/>
    <n v="0.46581303418803421"/>
    <n v="7"/>
    <x v="3"/>
    <x v="4"/>
    <x v="3"/>
  </r>
  <r>
    <s v="Maria Gonzalez"/>
    <s v="maria_g17"/>
    <x v="3"/>
    <x v="13"/>
    <s v="Monterrey"/>
    <n v="53"/>
    <s v="Female"/>
    <s v="maria.gonzalez17@email.mx"/>
    <s v="+52-81-9012-0123"/>
    <d v="2021-07-22T00:00:00"/>
    <d v="2024-01-11T00:00:00"/>
    <n v="84300.9"/>
    <n v="42100.75"/>
    <n v="730"/>
    <n v="138000"/>
    <x v="0"/>
    <x v="0"/>
    <n v="0"/>
    <s v="Active"/>
    <n v="0.30507789855072465"/>
    <n v="4"/>
    <x v="0"/>
    <x v="2"/>
    <x v="2"/>
  </r>
  <r>
    <s v="Yuki Kobayashi"/>
    <s v="yuki_k16"/>
    <x v="1"/>
    <x v="1"/>
    <s v="Osaka"/>
    <n v="42"/>
    <s v="Female"/>
    <s v="yuki.kobayashi16@mail.jp"/>
    <s v="+81-90-7890-1234"/>
    <d v="2024-03-22T00:00:00"/>
    <d v="2024-01-14T00:00:00"/>
    <n v="14500.4"/>
    <n v="8200.25"/>
    <n v="705"/>
    <n v="52000"/>
    <x v="0"/>
    <x v="1"/>
    <n v="0"/>
    <s v="Active"/>
    <n v="0.15769711538461539"/>
    <n v="1"/>
    <x v="0"/>
    <x v="0"/>
    <x v="1"/>
  </r>
  <r>
    <s v="Kwame Asante"/>
    <s v="kwame_a16"/>
    <x v="5"/>
    <x v="15"/>
    <s v="Accra"/>
    <n v="47"/>
    <s v="Male"/>
    <s v="kwame.asante16@email.gh"/>
    <s v="+233-69-012-3456"/>
    <d v="2023-01-22T00:00:00"/>
    <d v="2024-01-12T00:00:00"/>
    <n v="28800.6"/>
    <n v="11400.8"/>
    <n v="710"/>
    <n v="68000"/>
    <x v="1"/>
    <x v="0"/>
    <n v="0"/>
    <s v="Active"/>
    <n v="0.16765882352941175"/>
    <n v="3"/>
    <x v="0"/>
    <x v="2"/>
    <x v="1"/>
  </r>
  <r>
    <s v="Anna Petrova"/>
    <s v="anna_p16"/>
    <x v="4"/>
    <x v="12"/>
    <s v="St. Petersburg"/>
    <n v="54"/>
    <s v="Female"/>
    <s v="anna.petrova16@email.ru"/>
    <s v="+7-921-432-10-98"/>
    <d v="2021-02-22T00:00:00"/>
    <d v="2024-01-10T00:00:00"/>
    <n v="60100.25"/>
    <n v="33200.9"/>
    <n v="695"/>
    <n v="103000"/>
    <x v="0"/>
    <x v="0"/>
    <n v="0"/>
    <s v="Active"/>
    <n v="0.32233883495145632"/>
    <n v="5"/>
    <x v="0"/>
    <x v="2"/>
    <x v="0"/>
  </r>
  <r>
    <s v="Liam O'Brien"/>
    <s v="liam_obrien16"/>
    <x v="2"/>
    <x v="11"/>
    <s v="Dublin"/>
    <n v="62"/>
    <s v="Male"/>
    <s v="liam.obrien16@company.ie"/>
    <s v="+353-01-901-2345"/>
    <d v="2019-08-22T00:00:00"/>
    <d v="2024-01-09T00:00:00"/>
    <n v="147100.4"/>
    <n v="83000.600000000006"/>
    <n v="670"/>
    <n v="170000"/>
    <x v="2"/>
    <x v="0"/>
    <n v="0"/>
    <s v="Active"/>
    <n v="0.48823882352941178"/>
    <n v="6"/>
    <x v="0"/>
    <x v="4"/>
    <x v="2"/>
  </r>
  <r>
    <s v="Ying Wang"/>
    <s v="ying_w16"/>
    <x v="0"/>
    <x v="4"/>
    <s v="Shanghai"/>
    <n v="70"/>
    <s v="Female"/>
    <s v="ying.wang16@mail.cn"/>
    <s v="+86-139-8901-2345"/>
    <d v="2018-06-22T00:00:00"/>
    <d v="2024-01-08T00:00:00"/>
    <n v="314000.75"/>
    <n v="100000.8"/>
    <n v="835"/>
    <n v="315000"/>
    <x v="1"/>
    <x v="0"/>
    <n v="0"/>
    <s v="Active"/>
    <n v="0.31746285714285716"/>
    <n v="7"/>
    <x v="1"/>
    <x v="4"/>
    <x v="3"/>
  </r>
  <r>
    <s v="Adeola Yusuf"/>
    <s v="adeola_y16"/>
    <x v="4"/>
    <x v="6"/>
    <s v="Lagos"/>
    <n v="57"/>
    <s v="Female"/>
    <s v="adeola.yusuf16@email.ng"/>
    <s v="+234-829-012-3456"/>
    <d v="2021-01-22T00:00:00"/>
    <d v="2024-01-11T00:00:00"/>
    <n v="68800.600000000006"/>
    <n v="38800.25"/>
    <n v="665"/>
    <n v="123000"/>
    <x v="0"/>
    <x v="0"/>
    <n v="0"/>
    <s v="Active"/>
    <n v="0.31544918699186991"/>
    <n v="4"/>
    <x v="3"/>
    <x v="4"/>
    <x v="0"/>
  </r>
  <r>
    <s v="Marco Bianchi"/>
    <s v="marco_b16"/>
    <x v="3"/>
    <x v="18"/>
    <s v="Milan"/>
    <n v="49"/>
    <s v="Male"/>
    <s v="marco.bianchi16@email.it"/>
    <s v="+39-363-789-0123"/>
    <d v="2022-10-22T00:00:00"/>
    <d v="2024-01-12T00:00:00"/>
    <n v="92100.800000000003"/>
    <n v="46300.4"/>
    <n v="750"/>
    <n v="149000"/>
    <x v="0"/>
    <x v="0"/>
    <n v="0"/>
    <s v="Active"/>
    <n v="0.31074093959731547"/>
    <n v="3"/>
    <x v="2"/>
    <x v="2"/>
    <x v="2"/>
  </r>
  <r>
    <s v="Jennifer Kim"/>
    <s v="jennifer_k16"/>
    <x v="5"/>
    <x v="0"/>
    <s v="Los Angeles"/>
    <n v="45"/>
    <s v="Female"/>
    <s v="jennifer.kim16@email.com"/>
    <s v="+1-310-555-0198"/>
    <d v="2023-04-22T00:00:00"/>
    <d v="2024-01-14T00:00:00"/>
    <n v="31000.9"/>
    <n v="12400.75"/>
    <n v="770"/>
    <n v="80000"/>
    <x v="1"/>
    <x v="0"/>
    <n v="0"/>
    <s v="Active"/>
    <n v="0.155009375"/>
    <n v="1"/>
    <x v="2"/>
    <x v="2"/>
    <x v="0"/>
  </r>
  <r>
    <s v="Rahman Hussain"/>
    <s v="rahman_h16"/>
    <x v="2"/>
    <x v="25"/>
    <s v="Karachi"/>
    <n v="68"/>
    <s v="Male"/>
    <s v="rahman.hussain16@company.pk"/>
    <s v="+92-315-4321098"/>
    <d v="2018-12-22T00:00:00"/>
    <d v="2024-01-08T00:00:00"/>
    <n v="200200.25"/>
    <n v="104000.8"/>
    <n v="645"/>
    <n v="220000"/>
    <x v="2"/>
    <x v="0"/>
    <n v="0"/>
    <s v="Active"/>
    <n v="0.47273090909090909"/>
    <n v="7"/>
    <x v="3"/>
    <x v="4"/>
    <x v="3"/>
  </r>
  <r>
    <s v="Sofia Martinez"/>
    <s v="sofia_m16"/>
    <x v="1"/>
    <x v="14"/>
    <s v="Valencia"/>
    <n v="41"/>
    <s v="Female"/>
    <s v="sofia.martinez16@mail.es"/>
    <s v="+34-638-901-234"/>
    <d v="2024-03-28T00:00:00"/>
    <d v="2024-01-15T00:00:00"/>
    <n v="25200.5"/>
    <n v="12000.4"/>
    <n v="720"/>
    <n v="57000"/>
    <x v="1"/>
    <x v="0"/>
    <n v="0"/>
    <s v="Active"/>
    <n v="0.21053333333333332"/>
    <n v="0"/>
    <x v="0"/>
    <x v="0"/>
    <x v="1"/>
  </r>
  <r>
    <s v="Kenji Sato"/>
    <s v="kenji_sato17"/>
    <x v="6"/>
    <x v="1"/>
    <s v="Tokyo"/>
    <n v="37"/>
    <s v="Male"/>
    <s v="kenji.sato17@edu.jp"/>
    <s v="+81-90-0123-4567"/>
    <d v="2024-03-28T00:00:00"/>
    <d v="2024-01-13T00:00:00"/>
    <n v="3350.8"/>
    <n v="11600.25"/>
    <n v="605"/>
    <n v="33000"/>
    <x v="2"/>
    <x v="1"/>
    <n v="0"/>
    <s v="Active"/>
    <n v="0.35152272727272726"/>
    <n v="2"/>
    <x v="3"/>
    <x v="0"/>
    <x v="1"/>
  </r>
  <r>
    <s v="Fatoumata Bello"/>
    <s v="fatou_b16"/>
    <x v="3"/>
    <x v="19"/>
    <s v="Dakar"/>
    <n v="51"/>
    <s v="Female"/>
    <s v="fatoumata.bello16@email.sn"/>
    <s v="+221-93-789-0123"/>
    <d v="2022-06-22T00:00:00"/>
    <d v="2024-01-11T00:00:00"/>
    <n v="78800.399999999994"/>
    <n v="41000.75"/>
    <n v="710"/>
    <n v="131000"/>
    <x v="0"/>
    <x v="0"/>
    <n v="0"/>
    <s v="Active"/>
    <n v="0.31298282442748093"/>
    <n v="4"/>
    <x v="0"/>
    <x v="2"/>
    <x v="2"/>
  </r>
  <r>
    <s v="David Wilson"/>
    <s v="david_w16"/>
    <x v="2"/>
    <x v="3"/>
    <s v="London"/>
    <n v="65"/>
    <s v="Male"/>
    <s v="david.wilson16@company.co.uk"/>
    <s v="+44-79-0123-4567"/>
    <d v="2019-05-22T00:00:00"/>
    <d v="2024-01-09T00:00:00"/>
    <n v="180400.6"/>
    <n v="97000.25"/>
    <n v="675"/>
    <n v="200000"/>
    <x v="2"/>
    <x v="0"/>
    <n v="0"/>
    <s v="Active"/>
    <n v="0.48500124999999999"/>
    <n v="6"/>
    <x v="0"/>
    <x v="4"/>
    <x v="3"/>
  </r>
  <r>
    <s v="Lina Park"/>
    <s v="lina_park16"/>
    <x v="4"/>
    <x v="17"/>
    <s v="Seoul"/>
    <n v="50"/>
    <s v="Female"/>
    <s v="lina.park16@email.kr"/>
    <s v="+82-10-9012-3456"/>
    <d v="2021-11-22T00:00:00"/>
    <d v="2024-01-10T00:00:00"/>
    <n v="55200.75"/>
    <n v="32100.799999999999"/>
    <n v="725"/>
    <n v="97000"/>
    <x v="0"/>
    <x v="0"/>
    <n v="0"/>
    <s v="Active"/>
    <n v="0.33093608247422679"/>
    <n v="5"/>
    <x v="0"/>
    <x v="2"/>
    <x v="0"/>
  </r>
  <r>
    <s v="Ahmed Al-Mansoori"/>
    <s v="ahmed_alm16"/>
    <x v="5"/>
    <x v="8"/>
    <s v="Dubai"/>
    <n v="48"/>
    <s v="Male"/>
    <s v="ahmed.almansoori16@email.ae"/>
    <s v="+971-50-123-4567"/>
    <d v="2023-02-22T00:00:00"/>
    <d v="2024-01-12T00:00:00"/>
    <n v="33200.400000000001"/>
    <n v="13200.9"/>
    <n v="740"/>
    <n v="83000"/>
    <x v="1"/>
    <x v="0"/>
    <n v="0"/>
    <s v="Active"/>
    <n v="0.15904698795180722"/>
    <n v="3"/>
    <x v="0"/>
    <x v="2"/>
    <x v="0"/>
  </r>
  <r>
    <s v="Maria Costa"/>
    <s v="maria_costa16"/>
    <x v="0"/>
    <x v="5"/>
    <s v="São Paulo"/>
    <n v="71"/>
    <s v="Female"/>
    <s v="maria.costa16@mail.com.br"/>
    <s v="+55-11-99923-4567"/>
    <d v="2018-02-22T00:00:00"/>
    <d v="2024-01-08T00:00:00"/>
    <n v="269300.90000000002"/>
    <n v="87000.6"/>
    <n v="830"/>
    <n v="295000"/>
    <x v="1"/>
    <x v="0"/>
    <n v="0"/>
    <s v="Active"/>
    <n v="0.29491728813559326"/>
    <n v="7"/>
    <x v="1"/>
    <x v="4"/>
    <x v="3"/>
  </r>
  <r>
    <s v="Chinedu Nwankwo"/>
    <s v="chinedu_n16"/>
    <x v="2"/>
    <x v="6"/>
    <s v="Abuja"/>
    <n v="63"/>
    <s v="Male"/>
    <s v="chinedu.nwankwo16@company.ng"/>
    <s v="+234-830-123-4567"/>
    <d v="2019-10-08T00:00:00"/>
    <d v="2024-01-09T00:00:00"/>
    <n v="158200.25"/>
    <n v="89000.4"/>
    <n v="655"/>
    <n v="185000"/>
    <x v="2"/>
    <x v="0"/>
    <n v="0"/>
    <s v="Active"/>
    <n v="0.4810832432432432"/>
    <n v="6"/>
    <x v="3"/>
    <x v="4"/>
    <x v="2"/>
  </r>
  <r>
    <s v="Isabelle Moreau"/>
    <s v="isabelle_m16"/>
    <x v="3"/>
    <x v="9"/>
    <s v="Montreal"/>
    <n v="52"/>
    <s v="Female"/>
    <s v="isabelle.moreau16@email.ca"/>
    <s v="+1-514-555-0198"/>
    <d v="2022-03-22T00:00:00"/>
    <d v="2024-01-11T00:00:00"/>
    <n v="97700.6"/>
    <n v="49000.75"/>
    <n v="760"/>
    <n v="154000"/>
    <x v="0"/>
    <x v="0"/>
    <n v="0"/>
    <s v="Active"/>
    <n v="0.31818668831168834"/>
    <n v="4"/>
    <x v="2"/>
    <x v="2"/>
    <x v="2"/>
  </r>
  <r>
    <s v="Rahman Ali"/>
    <s v="rahman_ali17"/>
    <x v="1"/>
    <x v="36"/>
    <s v="Jakarta"/>
    <n v="43"/>
    <s v="Male"/>
    <s v="rahman.ali17@mail.id"/>
    <s v="+62-827-8901-2345"/>
    <d v="2024-03-22T00:00:00"/>
    <d v="2024-01-15T00:00:00"/>
    <n v="15900.25"/>
    <n v="9400.7999999999993"/>
    <n v="695"/>
    <n v="54000"/>
    <x v="0"/>
    <x v="1"/>
    <n v="0"/>
    <s v="Active"/>
    <n v="0.17408888888888888"/>
    <n v="0"/>
    <x v="0"/>
    <x v="0"/>
    <x v="1"/>
  </r>
  <r>
    <s v="Sarah Johnson"/>
    <s v="sarah_j16"/>
    <x v="5"/>
    <x v="0"/>
    <s v="Chicago"/>
    <n v="46"/>
    <s v="Female"/>
    <s v="sarah.johnson16@email.com"/>
    <s v="+1-773-555-0198"/>
    <d v="2022-12-22T00:00:00"/>
    <d v="2024-01-12T00:00:00"/>
    <n v="32100.9"/>
    <n v="12800.25"/>
    <n v="755"/>
    <n v="76000"/>
    <x v="1"/>
    <x v="0"/>
    <n v="0"/>
    <s v="Active"/>
    <n v="0.16842434210526316"/>
    <n v="3"/>
    <x v="2"/>
    <x v="2"/>
    <x v="0"/>
  </r>
  <r>
    <s v="Wei Zhang"/>
    <s v="wei_zhang16"/>
    <x v="2"/>
    <x v="4"/>
    <s v="Beijing"/>
    <n v="64"/>
    <s v="Male"/>
    <s v="wei.zhang16@company.cn"/>
    <s v="+86-138-2345-6789"/>
    <d v="2019-07-22T00:00:00"/>
    <d v="2024-01-09T00:00:00"/>
    <n v="191100.4"/>
    <n v="102000.75"/>
    <n v="685"/>
    <n v="210000"/>
    <x v="2"/>
    <x v="0"/>
    <n v="0"/>
    <s v="Active"/>
    <n v="0.48571785714285715"/>
    <n v="6"/>
    <x v="0"/>
    <x v="4"/>
    <x v="3"/>
  </r>
  <r>
    <s v="Anna Kowalski"/>
    <s v="anna_k17"/>
    <x v="4"/>
    <x v="37"/>
    <s v="Warsaw"/>
    <n v="55"/>
    <s v="Female"/>
    <s v="anna.kowalski17@email.pl"/>
    <s v="+48-715-789-012"/>
    <d v="2021-04-22T00:00:00"/>
    <d v="2024-01-10T00:00:00"/>
    <n v="62100.800000000003"/>
    <n v="35200.6"/>
    <n v="715"/>
    <n v="109000"/>
    <x v="0"/>
    <x v="0"/>
    <n v="0"/>
    <s v="Active"/>
    <n v="0.3229412844036697"/>
    <n v="5"/>
    <x v="0"/>
    <x v="4"/>
    <x v="0"/>
  </r>
  <r>
    <s v="Mohammed Rahman"/>
    <s v="m_rahman17"/>
    <x v="3"/>
    <x v="29"/>
    <s v="Dhaka"/>
    <n v="58"/>
    <s v="Male"/>
    <s v="mohammed.rahman17@email.bd"/>
    <s v="+880-1812-901234"/>
    <d v="2021-01-22T00:00:00"/>
    <d v="2024-01-11T00:00:00"/>
    <n v="89900.25"/>
    <n v="45200.4"/>
    <n v="680"/>
    <n v="138000"/>
    <x v="0"/>
    <x v="0"/>
    <n v="0"/>
    <s v="Active"/>
    <n v="0.32753913043478261"/>
    <n v="4"/>
    <x v="0"/>
    <x v="4"/>
    <x v="2"/>
  </r>
  <r>
    <s v="Yumi Tanaka"/>
    <s v="yumi_tanaka16"/>
    <x v="6"/>
    <x v="1"/>
    <s v="Osaka"/>
    <n v="38"/>
    <s v="Female"/>
    <s v="yumi.tanaka16@edu.jp"/>
    <s v="+81-90-1234-5678"/>
    <d v="2024-04-05T00:00:00"/>
    <d v="2024-01-13T00:00:00"/>
    <n v="3450.4"/>
    <n v="12200.75"/>
    <n v="610"/>
    <n v="34000"/>
    <x v="2"/>
    <x v="1"/>
    <n v="0"/>
    <s v="Active"/>
    <n v="0.35884558823529411"/>
    <n v="2"/>
    <x v="3"/>
    <x v="0"/>
    <x v="1"/>
  </r>
  <r>
    <s v="Carlos Mendez"/>
    <s v="carlos_m16"/>
    <x v="0"/>
    <x v="13"/>
    <s v="Mexico City"/>
    <n v="70"/>
    <s v="Male"/>
    <s v="carlos.mendez16@mail.mx"/>
    <s v="+52-55-9012-0123"/>
    <d v="2018-09-22T00:00:00"/>
    <d v="2024-01-08T00:00:00"/>
    <n v="289100.79999999999"/>
    <n v="93000.25"/>
    <n v="825"/>
    <n v="290000"/>
    <x v="1"/>
    <x v="0"/>
    <n v="0"/>
    <s v="Active"/>
    <n v="0.32069051724137931"/>
    <n v="7"/>
    <x v="1"/>
    <x v="4"/>
    <x v="3"/>
  </r>
  <r>
    <s v="Aisha Mohammed"/>
    <s v="aisha_m17"/>
    <x v="5"/>
    <x v="16"/>
    <s v="Nairobi"/>
    <n v="45"/>
    <s v="Female"/>
    <s v="aisha.mohammed17@email.ke"/>
    <s v="+254-739-012-345"/>
    <d v="2023-06-22T00:00:00"/>
    <d v="2024-01-14T00:00:00"/>
    <n v="28800.75"/>
    <n v="11200.4"/>
    <n v="725"/>
    <n v="66000"/>
    <x v="1"/>
    <x v="0"/>
    <n v="0"/>
    <s v="Active"/>
    <n v="0.1697030303030303"/>
    <n v="1"/>
    <x v="0"/>
    <x v="2"/>
    <x v="1"/>
  </r>
  <r>
    <s v="David Chen"/>
    <s v="david_chen17"/>
    <x v="2"/>
    <x v="23"/>
    <s v="Singapore"/>
    <n v="62"/>
    <s v="Male"/>
    <s v="david.chen17@company.sg"/>
    <s v="+65-9890-1234"/>
    <d v="2020-01-12T00:00:00"/>
    <d v="2024-01-09T00:00:00"/>
    <n v="169300.6"/>
    <n v="93000.9"/>
    <n v="675"/>
    <n v="190000"/>
    <x v="2"/>
    <x v="0"/>
    <n v="0"/>
    <s v="Active"/>
    <n v="0.48947842105263156"/>
    <n v="6"/>
    <x v="0"/>
    <x v="4"/>
    <x v="2"/>
  </r>
  <r>
    <s v="Maria Papadopoulos"/>
    <s v="maria_p17"/>
    <x v="4"/>
    <x v="38"/>
    <s v="Athens"/>
    <n v="53"/>
    <s v="Female"/>
    <s v="maria.papadopoulos17@email.gr"/>
    <s v="+30-707-890-1234"/>
    <d v="2022-02-22T00:00:00"/>
    <d v="2024-01-11T00:00:00"/>
    <n v="56300.4"/>
    <n v="31000.25"/>
    <n v="705"/>
    <n v="98000"/>
    <x v="0"/>
    <x v="0"/>
    <n v="0"/>
    <s v="Active"/>
    <n v="0.31632908163265305"/>
    <n v="4"/>
    <x v="0"/>
    <x v="2"/>
    <x v="0"/>
  </r>
  <r>
    <s v="James Wilson"/>
    <s v="j_wilson17"/>
    <x v="3"/>
    <x v="26"/>
    <s v="Melbourne"/>
    <n v="56"/>
    <s v="Male"/>
    <s v="james.wilson17@email.au"/>
    <s v="+61-439-012-345"/>
    <d v="2020-09-22T00:00:00"/>
    <d v="2024-01-10T00:00:00"/>
    <n v="103100.75"/>
    <n v="52100.800000000003"/>
    <n v="730"/>
    <n v="164000"/>
    <x v="0"/>
    <x v="0"/>
    <n v="0"/>
    <s v="Active"/>
    <n v="0.31768780487804882"/>
    <n v="5"/>
    <x v="0"/>
    <x v="4"/>
    <x v="2"/>
  </r>
  <r>
    <s v="Fatima Zahra"/>
    <s v="f_zahra17"/>
    <x v="1"/>
    <x v="25"/>
    <s v="Lahore"/>
    <n v="41"/>
    <s v="Female"/>
    <s v="fatima.zahra17@mail.pk"/>
    <s v="+92-337-3210987"/>
    <d v="2024-03-28T00:00:00"/>
    <d v="2024-01-15T00:00:00"/>
    <n v="13800.9"/>
    <n v="8300.75"/>
    <n v="685"/>
    <n v="51000"/>
    <x v="0"/>
    <x v="1"/>
    <n v="0"/>
    <s v="Active"/>
    <n v="0.16275980392156864"/>
    <n v="0"/>
    <x v="0"/>
    <x v="0"/>
    <x v="1"/>
  </r>
  <r>
    <s v="Kenji Yamada"/>
    <s v="kenji_y17"/>
    <x v="0"/>
    <x v="1"/>
    <s v="Tokyo"/>
    <n v="73"/>
    <s v="Male"/>
    <s v="kenji.yamada17@mail.jp"/>
    <s v="+81-80-7890-1234"/>
    <d v="2017-12-22T00:00:00"/>
    <d v="2024-01-08T00:00:00"/>
    <n v="300000.25"/>
    <n v="97000.4"/>
    <n v="840"/>
    <n v="305000"/>
    <x v="1"/>
    <x v="0"/>
    <n v="0"/>
    <s v="Active"/>
    <n v="0.31803409836065571"/>
    <n v="7"/>
    <x v="1"/>
    <x v="4"/>
    <x v="3"/>
  </r>
  <r>
    <s v="Ngozi Eze"/>
    <s v="ngozi_e17"/>
    <x v="2"/>
    <x v="6"/>
    <s v="Lagos"/>
    <n v="65"/>
    <s v="Female"/>
    <s v="ngozi.eze17@company.ng"/>
    <s v="+234-829-012-3456"/>
    <d v="2019-05-22T00:00:00"/>
    <d v="2024-01-09T00:00:00"/>
    <n v="180400.4"/>
    <n v="97000.75"/>
    <n v="650"/>
    <n v="200000"/>
    <x v="2"/>
    <x v="0"/>
    <n v="0"/>
    <s v="Active"/>
    <n v="0.48500375000000001"/>
    <n v="6"/>
    <x v="3"/>
    <x v="4"/>
    <x v="3"/>
  </r>
  <r>
    <s v="Thomas Schmidt"/>
    <s v="thomas_s17"/>
    <x v="3"/>
    <x v="7"/>
    <s v="Berlin"/>
    <n v="52"/>
    <s v="Male"/>
    <s v="thomas.schmidt17@email.de"/>
    <s v="+49-191-2345678"/>
    <d v="2022-09-22T00:00:00"/>
    <d v="2024-01-12T00:00:00"/>
    <n v="91000.4"/>
    <n v="46300.25"/>
    <n v="745"/>
    <n v="144000"/>
    <x v="0"/>
    <x v="0"/>
    <n v="0"/>
    <s v="Active"/>
    <n v="0.3215295138888889"/>
    <n v="3"/>
    <x v="0"/>
    <x v="2"/>
    <x v="2"/>
  </r>
  <r>
    <s v="Lina Chen"/>
    <s v="lina_c17"/>
    <x v="5"/>
    <x v="4"/>
    <s v="Beijing"/>
    <n v="47"/>
    <s v="Female"/>
    <s v="lina.chen17@mail.cn"/>
    <s v="+86-137-2345-6789"/>
    <d v="2023-03-22T00:00:00"/>
    <d v="2024-01-11T00:00:00"/>
    <n v="31000.799999999999"/>
    <n v="12400.9"/>
    <n v="765"/>
    <n v="76000"/>
    <x v="1"/>
    <x v="0"/>
    <n v="0"/>
    <s v="Active"/>
    <n v="0.16316973684210526"/>
    <n v="4"/>
    <x v="2"/>
    <x v="2"/>
    <x v="0"/>
  </r>
  <r>
    <s v="Ahmed Hassan"/>
    <s v="ahmed_h17"/>
    <x v="4"/>
    <x v="20"/>
    <s v="Alexandria"/>
    <n v="60"/>
    <s v="Male"/>
    <s v="ahmed.hassan17@email.eg"/>
    <s v="+20-122-543-2109"/>
    <d v="2021-03-22T00:00:00"/>
    <d v="2024-01-10T00:00:00"/>
    <n v="64300.75"/>
    <n v="37400.400000000001"/>
    <n v="675"/>
    <n v="116000"/>
    <x v="0"/>
    <x v="0"/>
    <n v="0"/>
    <s v="Active"/>
    <n v="0.32241724137931038"/>
    <n v="5"/>
    <x v="0"/>
    <x v="4"/>
    <x v="0"/>
  </r>
  <r>
    <s v="Sophie Martin"/>
    <s v="sophie_m17"/>
    <x v="6"/>
    <x v="10"/>
    <s v="Paris"/>
    <n v="39"/>
    <s v="Female"/>
    <s v="sophie.martin17@edu.fr"/>
    <s v="+33-6-9012-3456"/>
    <d v="2024-04-12T00:00:00"/>
    <d v="2024-01-13T00:00:00"/>
    <n v="3700.25"/>
    <n v="13400.6"/>
    <n v="615"/>
    <n v="36000"/>
    <x v="2"/>
    <x v="1"/>
    <n v="0"/>
    <s v="Active"/>
    <n v="0.3722388888888889"/>
    <n v="2"/>
    <x v="3"/>
    <x v="0"/>
    <x v="1"/>
  </r>
  <r>
    <s v="Raj Kumar"/>
    <s v="raj_kumar17"/>
    <x v="2"/>
    <x v="2"/>
    <s v="Mumbai"/>
    <n v="67"/>
    <s v="Male"/>
    <s v="raj.kumar17@company.in"/>
    <s v="+91-987-654-3210"/>
    <d v="2019-04-22T00:00:00"/>
    <d v="2024-01-08T00:00:00"/>
    <n v="215000.8"/>
    <n v="110000.25"/>
    <n v="660"/>
    <n v="235000"/>
    <x v="2"/>
    <x v="0"/>
    <n v="0"/>
    <s v="Active"/>
    <n v="0.46808617021276594"/>
    <n v="7"/>
    <x v="3"/>
    <x v="4"/>
    <x v="3"/>
  </r>
  <r>
    <s v="Maria Gonzalez"/>
    <s v="maria_g18"/>
    <x v="3"/>
    <x v="13"/>
    <s v="Guadalajara"/>
    <n v="54"/>
    <s v="Female"/>
    <s v="maria.gonzalez18@email.mx"/>
    <s v="+52-33-0123-0123"/>
    <d v="2021-08-22T00:00:00"/>
    <d v="2024-01-11T00:00:00"/>
    <n v="85400.9"/>
    <n v="43200.75"/>
    <n v="730"/>
    <n v="139000"/>
    <x v="0"/>
    <x v="0"/>
    <n v="0"/>
    <s v="Active"/>
    <n v="0.31079676258992806"/>
    <n v="4"/>
    <x v="0"/>
    <x v="2"/>
    <x v="2"/>
  </r>
  <r>
    <s v="Yuki Kobayashi"/>
    <s v="yuki_k17"/>
    <x v="1"/>
    <x v="1"/>
    <s v="Osaka"/>
    <n v="43"/>
    <s v="Female"/>
    <s v="yuki.kobayashi17@mail.jp"/>
    <s v="+81-90-8901-2345"/>
    <d v="2024-04-08T00:00:00"/>
    <d v="2024-01-14T00:00:00"/>
    <n v="14900.4"/>
    <n v="8400.25"/>
    <n v="705"/>
    <n v="53000"/>
    <x v="0"/>
    <x v="1"/>
    <n v="0"/>
    <s v="Active"/>
    <n v="0.15849528301886792"/>
    <n v="1"/>
    <x v="0"/>
    <x v="0"/>
    <x v="1"/>
  </r>
  <r>
    <s v="Kwame Asante"/>
    <s v="kwame_a17"/>
    <x v="5"/>
    <x v="15"/>
    <s v="Accra"/>
    <n v="48"/>
    <s v="Male"/>
    <s v="kwame.asante17@email.gh"/>
    <s v="+233-70-123-4567"/>
    <d v="2023-02-22T00:00:00"/>
    <d v="2024-01-12T00:00:00"/>
    <n v="29900.6"/>
    <n v="11800.8"/>
    <n v="710"/>
    <n v="69000"/>
    <x v="1"/>
    <x v="0"/>
    <n v="0"/>
    <s v="Active"/>
    <n v="0.17102608695652172"/>
    <n v="3"/>
    <x v="0"/>
    <x v="2"/>
    <x v="1"/>
  </r>
  <r>
    <s v="Anna Petrova"/>
    <s v="anna_p17"/>
    <x v="4"/>
    <x v="12"/>
    <s v="St. Petersburg"/>
    <n v="55"/>
    <s v="Female"/>
    <s v="anna.petrova17@email.ru"/>
    <s v="+7-921-321-09-87"/>
    <d v="2021-03-22T00:00:00"/>
    <d v="2024-01-10T00:00:00"/>
    <n v="61200.25"/>
    <n v="34300.9"/>
    <n v="695"/>
    <n v="104000"/>
    <x v="0"/>
    <x v="0"/>
    <n v="0"/>
    <s v="Active"/>
    <n v="0.32981634615384614"/>
    <n v="5"/>
    <x v="0"/>
    <x v="4"/>
    <x v="0"/>
  </r>
  <r>
    <s v="Liam O'Brien"/>
    <s v="liam_obrien17"/>
    <x v="2"/>
    <x v="11"/>
    <s v="Cork"/>
    <n v="63"/>
    <s v="Male"/>
    <s v="liam.obrien17@company.ie"/>
    <s v="+353-02-012-3456"/>
    <d v="2019-09-22T00:00:00"/>
    <d v="2024-01-09T00:00:00"/>
    <n v="147200.4"/>
    <n v="84000.6"/>
    <n v="670"/>
    <n v="171000"/>
    <x v="2"/>
    <x v="0"/>
    <n v="0"/>
    <s v="Active"/>
    <n v="0.49123157894736846"/>
    <n v="6"/>
    <x v="0"/>
    <x v="4"/>
    <x v="2"/>
  </r>
  <r>
    <s v="Ying Wang"/>
    <s v="ying_w17"/>
    <x v="0"/>
    <x v="4"/>
    <s v="Shanghai"/>
    <n v="71"/>
    <s v="Female"/>
    <s v="ying.wang17@mail.cn"/>
    <s v="+86-139-9012-3456"/>
    <d v="2018-07-22T00:00:00"/>
    <d v="2024-01-08T00:00:00"/>
    <n v="314100.75"/>
    <n v="101000.8"/>
    <n v="835"/>
    <n v="316000"/>
    <x v="1"/>
    <x v="0"/>
    <n v="0"/>
    <s v="Active"/>
    <n v="0.31962278481012657"/>
    <n v="7"/>
    <x v="1"/>
    <x v="4"/>
    <x v="3"/>
  </r>
  <r>
    <s v="Adeola Yusuf"/>
    <s v="adeola_y17"/>
    <x v="4"/>
    <x v="6"/>
    <s v="Port Harcourt"/>
    <n v="58"/>
    <s v="Female"/>
    <s v="adeola.yusuf17@email.ng"/>
    <s v="+234-830-123-4567"/>
    <d v="2021-02-22T00:00:00"/>
    <d v="2024-01-11T00:00:00"/>
    <n v="69900.600000000006"/>
    <n v="39900.25"/>
    <n v="665"/>
    <n v="124000"/>
    <x v="0"/>
    <x v="0"/>
    <n v="0"/>
    <s v="Active"/>
    <n v="0.32177620967741938"/>
    <n v="4"/>
    <x v="3"/>
    <x v="4"/>
    <x v="0"/>
  </r>
  <r>
    <s v="Marco Bianchi"/>
    <s v="marco_b17"/>
    <x v="3"/>
    <x v="18"/>
    <s v="Rome"/>
    <n v="50"/>
    <s v="Male"/>
    <s v="marco.bianchi17@email.it"/>
    <s v="+39-364-890-1234"/>
    <d v="2022-11-22T00:00:00"/>
    <d v="2024-01-12T00:00:00"/>
    <n v="93200.8"/>
    <n v="47400.4"/>
    <n v="750"/>
    <n v="150000"/>
    <x v="0"/>
    <x v="0"/>
    <n v="0"/>
    <s v="Active"/>
    <n v="0.31600266666666665"/>
    <n v="3"/>
    <x v="2"/>
    <x v="2"/>
    <x v="2"/>
  </r>
  <r>
    <s v="Jennifer Kim"/>
    <s v="jennifer_k17"/>
    <x v="5"/>
    <x v="0"/>
    <s v="San Francisco"/>
    <n v="46"/>
    <s v="Female"/>
    <s v="jennifer.kim17@email.com"/>
    <s v="+1-415-555-0198"/>
    <d v="2023-05-22T00:00:00"/>
    <d v="2024-01-14T00:00:00"/>
    <n v="32100.9"/>
    <n v="12800.75"/>
    <n v="770"/>
    <n v="81000"/>
    <x v="1"/>
    <x v="0"/>
    <n v="0"/>
    <s v="Active"/>
    <n v="0.15803395061728395"/>
    <n v="1"/>
    <x v="2"/>
    <x v="2"/>
    <x v="0"/>
  </r>
  <r>
    <s v="Rahman Hussain"/>
    <s v="rahman_h17"/>
    <x v="2"/>
    <x v="25"/>
    <s v="Islamabad"/>
    <n v="69"/>
    <s v="Male"/>
    <s v="rahman.hussain17@company.pk"/>
    <s v="+92-316-3210987"/>
    <d v="2019-01-22T00:00:00"/>
    <d v="2024-01-08T00:00:00"/>
    <n v="200300.25"/>
    <n v="105000.8"/>
    <n v="645"/>
    <n v="221000"/>
    <x v="2"/>
    <x v="0"/>
    <n v="0"/>
    <s v="Active"/>
    <n v="0.475116742081448"/>
    <n v="7"/>
    <x v="3"/>
    <x v="4"/>
    <x v="3"/>
  </r>
  <r>
    <s v="Sofia Martinez"/>
    <s v="sofia_m17"/>
    <x v="1"/>
    <x v="14"/>
    <s v="Barcelona"/>
    <n v="42"/>
    <s v="Female"/>
    <s v="sofia.martinez17@mail.es"/>
    <s v="+34-639-012-345"/>
    <d v="2024-04-12T00:00:00"/>
    <d v="2024-01-15T00:00:00"/>
    <n v="26200.5"/>
    <n v="12400.4"/>
    <n v="720"/>
    <n v="58000"/>
    <x v="1"/>
    <x v="0"/>
    <n v="0"/>
    <s v="Active"/>
    <n v="0.21379999999999999"/>
    <n v="0"/>
    <x v="0"/>
    <x v="0"/>
    <x v="1"/>
  </r>
  <r>
    <s v="Kenji Sato"/>
    <s v="kenji_sato18"/>
    <x v="6"/>
    <x v="1"/>
    <s v="Tokyo"/>
    <n v="38"/>
    <s v="Male"/>
    <s v="kenji.sato18@edu.jp"/>
    <s v="+81-90-1234-5678"/>
    <d v="2024-04-15T00:00:00"/>
    <d v="2024-01-13T00:00:00"/>
    <n v="3450.8"/>
    <n v="11800.25"/>
    <n v="605"/>
    <n v="34000"/>
    <x v="2"/>
    <x v="1"/>
    <n v="0"/>
    <s v="Active"/>
    <n v="0.34706617647058824"/>
    <n v="2"/>
    <x v="3"/>
    <x v="0"/>
    <x v="1"/>
  </r>
  <r>
    <s v="Fatoumata Bello"/>
    <s v="fatou_b17"/>
    <x v="3"/>
    <x v="19"/>
    <s v="Dakar"/>
    <n v="52"/>
    <s v="Female"/>
    <s v="fatoumata.bello17@email.sn"/>
    <s v="+221-94-890-1234"/>
    <d v="2022-07-22T00:00:00"/>
    <d v="2024-01-11T00:00:00"/>
    <n v="79900.399999999994"/>
    <n v="42100.75"/>
    <n v="710"/>
    <n v="132000"/>
    <x v="0"/>
    <x v="0"/>
    <n v="0"/>
    <s v="Active"/>
    <n v="0.31894507575757575"/>
    <n v="4"/>
    <x v="0"/>
    <x v="2"/>
    <x v="2"/>
  </r>
  <r>
    <s v="David Wilson"/>
    <s v="david_w17"/>
    <x v="2"/>
    <x v="3"/>
    <s v="Manchester"/>
    <n v="66"/>
    <s v="Male"/>
    <s v="david.wilson17@company.co.uk"/>
    <s v="+44-79-1234-5678"/>
    <d v="2019-06-22T00:00:00"/>
    <d v="2024-01-09T00:00:00"/>
    <n v="180500.6"/>
    <n v="98000.25"/>
    <n v="675"/>
    <n v="201000"/>
    <x v="2"/>
    <x v="0"/>
    <n v="0"/>
    <s v="Active"/>
    <n v="0.48756343283582088"/>
    <n v="6"/>
    <x v="0"/>
    <x v="4"/>
    <x v="3"/>
  </r>
  <r>
    <s v="Lina Park"/>
    <s v="lina_park17"/>
    <x v="4"/>
    <x v="17"/>
    <s v="Busan"/>
    <n v="51"/>
    <s v="Female"/>
    <s v="lina.park17@email.kr"/>
    <s v="+82-10-0123-4567"/>
    <d v="2021-12-22T00:00:00"/>
    <d v="2024-01-10T00:00:00"/>
    <n v="56300.75"/>
    <n v="33200.800000000003"/>
    <n v="725"/>
    <n v="98000"/>
    <x v="0"/>
    <x v="0"/>
    <n v="0"/>
    <s v="Active"/>
    <n v="0.33878367346938776"/>
    <n v="5"/>
    <x v="0"/>
    <x v="2"/>
    <x v="0"/>
  </r>
  <r>
    <s v="Ahmed Al-Mansoori"/>
    <s v="ahmed_alm17"/>
    <x v="5"/>
    <x v="8"/>
    <s v="Abu Dhabi"/>
    <n v="49"/>
    <s v="Male"/>
    <s v="ahmed.almansoori17@email.ae"/>
    <s v="+971-50-234-5678"/>
    <d v="2023-03-22T00:00:00"/>
    <d v="2024-01-12T00:00:00"/>
    <n v="34300.400000000001"/>
    <n v="13600.9"/>
    <n v="740"/>
    <n v="84000"/>
    <x v="1"/>
    <x v="0"/>
    <n v="0"/>
    <s v="Active"/>
    <n v="0.16191547619047619"/>
    <n v="3"/>
    <x v="0"/>
    <x v="2"/>
    <x v="0"/>
  </r>
  <r>
    <s v="Maria Costa"/>
    <s v="maria_costa17"/>
    <x v="0"/>
    <x v="5"/>
    <s v="Rio de Janeiro"/>
    <n v="72"/>
    <s v="Female"/>
    <s v="maria.costa17@mail.com.br"/>
    <s v="+55-21-99934-5678"/>
    <d v="2018-03-22T00:00:00"/>
    <d v="2024-01-08T00:00:00"/>
    <n v="269400.90000000002"/>
    <n v="88000.6"/>
    <n v="830"/>
    <n v="296000"/>
    <x v="1"/>
    <x v="0"/>
    <n v="0"/>
    <s v="Active"/>
    <n v="0.29729932432432432"/>
    <n v="7"/>
    <x v="1"/>
    <x v="4"/>
    <x v="3"/>
  </r>
  <r>
    <s v="Chinedu Nwankwo"/>
    <s v="chinedu_n17"/>
    <x v="2"/>
    <x v="6"/>
    <s v="Abuja"/>
    <n v="64"/>
    <s v="Male"/>
    <s v="chinedu.nwankwo17@company.ng"/>
    <s v="+234-831-234-5678"/>
    <d v="2019-11-12T00:00:00"/>
    <d v="2024-01-09T00:00:00"/>
    <n v="158300.25"/>
    <n v="90000.4"/>
    <n v="655"/>
    <n v="186000"/>
    <x v="2"/>
    <x v="0"/>
    <n v="0"/>
    <s v="Active"/>
    <n v="0.48387311827956986"/>
    <n v="6"/>
    <x v="3"/>
    <x v="4"/>
    <x v="2"/>
  </r>
  <r>
    <s v="Isabelle Moreau"/>
    <s v="isabelle_m17"/>
    <x v="3"/>
    <x v="9"/>
    <s v="Vancouver"/>
    <n v="53"/>
    <s v="Female"/>
    <s v="isabelle.moreau17@email.ca"/>
    <s v="+1-604-555-0198"/>
    <d v="2022-04-22T00:00:00"/>
    <d v="2024-01-11T00:00:00"/>
    <n v="98800.6"/>
    <n v="50100.75"/>
    <n v="760"/>
    <n v="155000"/>
    <x v="0"/>
    <x v="0"/>
    <n v="0"/>
    <s v="Active"/>
    <n v="0.3232306451612903"/>
    <n v="4"/>
    <x v="2"/>
    <x v="2"/>
    <x v="2"/>
  </r>
  <r>
    <s v="Rahman Ali"/>
    <s v="rahman_ali18"/>
    <x v="1"/>
    <x v="36"/>
    <s v="Surabaya"/>
    <n v="44"/>
    <s v="Male"/>
    <s v="rahman.ali18@mail.id"/>
    <s v="+62-828-9012-3456"/>
    <d v="2024-04-08T00:00:00"/>
    <d v="2024-01-15T00:00:00"/>
    <n v="16400.25"/>
    <n v="9700.7999999999993"/>
    <n v="695"/>
    <n v="55000"/>
    <x v="0"/>
    <x v="1"/>
    <n v="0"/>
    <s v="Active"/>
    <n v="0.1763781818181818"/>
    <n v="0"/>
    <x v="0"/>
    <x v="0"/>
    <x v="1"/>
  </r>
  <r>
    <s v="Sarah Johnson"/>
    <s v="sarah_j17"/>
    <x v="5"/>
    <x v="0"/>
    <s v="New York"/>
    <n v="47"/>
    <s v="Female"/>
    <s v="sarah.johnson17@email.com"/>
    <s v="+1-646-555-0194"/>
    <d v="2023-01-22T00:00:00"/>
    <d v="2024-01-12T00:00:00"/>
    <n v="33200.9"/>
    <n v="13200.25"/>
    <n v="755"/>
    <n v="77000"/>
    <x v="1"/>
    <x v="0"/>
    <n v="0"/>
    <s v="Active"/>
    <n v="0.17143181818181819"/>
    <n v="3"/>
    <x v="2"/>
    <x v="2"/>
    <x v="0"/>
  </r>
  <r>
    <s v="Wei Zhang"/>
    <s v="wei_zhang17"/>
    <x v="2"/>
    <x v="4"/>
    <s v="Beijing"/>
    <n v="65"/>
    <s v="Male"/>
    <s v="wei.zhang17@company.cn"/>
    <s v="+86-138-3456-7890"/>
    <d v="2019-08-22T00:00:00"/>
    <d v="2024-01-09T00:00:00"/>
    <n v="191200.4"/>
    <n v="103000.75"/>
    <n v="685"/>
    <n v="211000"/>
    <x v="2"/>
    <x v="0"/>
    <n v="0"/>
    <s v="Active"/>
    <n v="0.48815521327014216"/>
    <n v="6"/>
    <x v="0"/>
    <x v="4"/>
    <x v="3"/>
  </r>
  <r>
    <s v="Anna Kowalski"/>
    <s v="anna_k18"/>
    <x v="4"/>
    <x v="37"/>
    <s v="Warsaw"/>
    <n v="56"/>
    <s v="Female"/>
    <s v="anna.kowalski18@email.pl"/>
    <s v="+48-716-890-123"/>
    <d v="2021-05-22T00:00:00"/>
    <d v="2024-01-10T00:00:00"/>
    <n v="63200.800000000003"/>
    <n v="36300.6"/>
    <n v="715"/>
    <n v="110000"/>
    <x v="0"/>
    <x v="0"/>
    <n v="0"/>
    <s v="Active"/>
    <n v="0.33000545454545455"/>
    <n v="5"/>
    <x v="0"/>
    <x v="4"/>
    <x v="0"/>
  </r>
  <r>
    <s v="Mohammed Rahman"/>
    <s v="m_rahman18"/>
    <x v="3"/>
    <x v="29"/>
    <s v="Chittagong"/>
    <n v="59"/>
    <s v="Male"/>
    <s v="mohammed.rahman18@email.bd"/>
    <s v="+880-1812-012345"/>
    <d v="2021-02-22T00:00:00"/>
    <d v="2024-01-11T00:00:00"/>
    <n v="91000.25"/>
    <n v="46300.4"/>
    <n v="680"/>
    <n v="139000"/>
    <x v="0"/>
    <x v="0"/>
    <n v="0"/>
    <s v="Active"/>
    <n v="0.33309640287769787"/>
    <n v="4"/>
    <x v="0"/>
    <x v="4"/>
    <x v="2"/>
  </r>
  <r>
    <s v="Yumi Tanaka"/>
    <s v="yumi_tanaka17"/>
    <x v="6"/>
    <x v="1"/>
    <s v="Osaka"/>
    <n v="39"/>
    <s v="Female"/>
    <s v="yumi.tanaka17@edu.jp"/>
    <s v="+81-90-2345-6789"/>
    <d v="2024-04-22T00:00:00"/>
    <d v="2024-01-13T00:00:00"/>
    <n v="3550.4"/>
    <n v="12400.75"/>
    <n v="610"/>
    <n v="35000"/>
    <x v="2"/>
    <x v="1"/>
    <n v="0"/>
    <s v="Active"/>
    <n v="0.35430714285714288"/>
    <n v="2"/>
    <x v="3"/>
    <x v="0"/>
    <x v="1"/>
  </r>
  <r>
    <s v="Carlos Mendez"/>
    <s v="carlos_m17"/>
    <x v="0"/>
    <x v="13"/>
    <s v="Mexico City"/>
    <n v="71"/>
    <s v="Male"/>
    <s v="carlos.mendez17@mail.mx"/>
    <s v="+52-55-0123-0123"/>
    <d v="2018-10-22T00:00:00"/>
    <d v="2024-01-08T00:00:00"/>
    <n v="289200.8"/>
    <n v="94000.25"/>
    <n v="825"/>
    <n v="291000"/>
    <x v="1"/>
    <x v="0"/>
    <n v="0"/>
    <s v="Active"/>
    <n v="0.32302491408934708"/>
    <n v="7"/>
    <x v="1"/>
    <x v="4"/>
    <x v="3"/>
  </r>
  <r>
    <s v="Aisha Mohammed"/>
    <s v="aisha_m18"/>
    <x v="5"/>
    <x v="16"/>
    <s v="Mombasa"/>
    <n v="46"/>
    <s v="Female"/>
    <s v="aisha.mohammed18@email.ke"/>
    <s v="+254-740-123-456"/>
    <d v="2023-07-22T00:00:00"/>
    <d v="2024-01-14T00:00:00"/>
    <n v="29900.75"/>
    <n v="11600.4"/>
    <n v="725"/>
    <n v="67000"/>
    <x v="1"/>
    <x v="0"/>
    <n v="0"/>
    <s v="Active"/>
    <n v="0.17314029850746268"/>
    <n v="1"/>
    <x v="0"/>
    <x v="2"/>
    <x v="1"/>
  </r>
  <r>
    <s v="David Chen"/>
    <s v="david_chen18"/>
    <x v="2"/>
    <x v="23"/>
    <s v="Singapore"/>
    <n v="63"/>
    <s v="Male"/>
    <s v="david.chen18@company.sg"/>
    <s v="+65-9990-1234"/>
    <d v="2020-02-12T00:00:00"/>
    <d v="2024-01-09T00:00:00"/>
    <n v="169400.6"/>
    <n v="94000.9"/>
    <n v="675"/>
    <n v="191000"/>
    <x v="2"/>
    <x v="0"/>
    <n v="0"/>
    <s v="Active"/>
    <n v="0.49215130890052355"/>
    <n v="6"/>
    <x v="0"/>
    <x v="4"/>
    <x v="3"/>
  </r>
  <r>
    <s v="Maria Papadopoulos"/>
    <s v="maria_p18"/>
    <x v="4"/>
    <x v="38"/>
    <s v="Athens"/>
    <n v="54"/>
    <s v="Female"/>
    <s v="maria.papadopoulos18@email.gr"/>
    <s v="+30-708-901-2345"/>
    <d v="2022-03-22T00:00:00"/>
    <d v="2024-01-11T00:00:00"/>
    <n v="57400.4"/>
    <n v="32100.25"/>
    <n v="705"/>
    <n v="99000"/>
    <x v="0"/>
    <x v="0"/>
    <n v="0"/>
    <s v="Active"/>
    <n v="0.32424494949494947"/>
    <n v="4"/>
    <x v="0"/>
    <x v="2"/>
    <x v="0"/>
  </r>
  <r>
    <s v="James Wilson"/>
    <s v="j_wilson18"/>
    <x v="3"/>
    <x v="26"/>
    <s v="Melbourne"/>
    <n v="57"/>
    <s v="Male"/>
    <s v="james.wilson18@email.au"/>
    <s v="+61-440-123-456"/>
    <d v="2020-10-22T00:00:00"/>
    <d v="2024-01-10T00:00:00"/>
    <n v="104100.75"/>
    <n v="53200.800000000003"/>
    <n v="730"/>
    <n v="165000"/>
    <x v="0"/>
    <x v="0"/>
    <n v="0"/>
    <s v="Active"/>
    <n v="0.32242909090909094"/>
    <n v="5"/>
    <x v="0"/>
    <x v="4"/>
    <x v="2"/>
  </r>
  <r>
    <s v="Fatima Zahra"/>
    <s v="f_zahra18"/>
    <x v="1"/>
    <x v="25"/>
    <s v="Karachi"/>
    <n v="42"/>
    <s v="Female"/>
    <s v="fatima.zahra18@mail.pk"/>
    <s v="+92-338-2109876"/>
    <d v="2024-04-15T00:00:00"/>
    <d v="2024-01-15T00:00:00"/>
    <n v="14200.9"/>
    <n v="8500.75"/>
    <n v="685"/>
    <n v="52000"/>
    <x v="0"/>
    <x v="1"/>
    <n v="0"/>
    <s v="Active"/>
    <n v="0.16347596153846153"/>
    <n v="0"/>
    <x v="0"/>
    <x v="0"/>
    <x v="1"/>
  </r>
  <r>
    <s v="Kenji Yamada"/>
    <s v="kenji_y18"/>
    <x v="0"/>
    <x v="1"/>
    <s v="Tokyo"/>
    <n v="74"/>
    <s v="Male"/>
    <s v="kenji.yamada18@mail.jp"/>
    <s v="+81-80-8901-2345"/>
    <d v="2018-01-22T00:00:00"/>
    <d v="2024-01-08T00:00:00"/>
    <n v="300100.25"/>
    <n v="98000.4"/>
    <n v="840"/>
    <n v="306000"/>
    <x v="1"/>
    <x v="0"/>
    <n v="0"/>
    <s v="Active"/>
    <n v="0.3202627450980392"/>
    <n v="7"/>
    <x v="1"/>
    <x v="4"/>
    <x v="3"/>
  </r>
  <r>
    <s v="Ngozi Eze"/>
    <s v="ngozi_e18"/>
    <x v="2"/>
    <x v="6"/>
    <s v="Lagos"/>
    <n v="66"/>
    <s v="Female"/>
    <s v="ngozi.eze18@company.ng"/>
    <s v="+234-830-123-4567"/>
    <d v="2019-06-22T00:00:00"/>
    <d v="2024-01-09T00:00:00"/>
    <n v="180500.4"/>
    <n v="98000.75"/>
    <n v="650"/>
    <n v="201000"/>
    <x v="2"/>
    <x v="0"/>
    <n v="0"/>
    <s v="Active"/>
    <n v="0.48756592039800994"/>
    <n v="6"/>
    <x v="3"/>
    <x v="4"/>
    <x v="3"/>
  </r>
  <r>
    <s v="Thomas Schmidt"/>
    <s v="thomas_s18"/>
    <x v="3"/>
    <x v="7"/>
    <s v="Hamburg"/>
    <n v="53"/>
    <s v="Male"/>
    <s v="thomas.schmidt18@email.de"/>
    <s v="+49-192-3456789"/>
    <d v="2022-10-22T00:00:00"/>
    <d v="2024-01-12T00:00:00"/>
    <n v="92100.4"/>
    <n v="47400.25"/>
    <n v="745"/>
    <n v="145000"/>
    <x v="0"/>
    <x v="0"/>
    <n v="0"/>
    <s v="Active"/>
    <n v="0.32689827586206899"/>
    <n v="3"/>
    <x v="0"/>
    <x v="2"/>
    <x v="2"/>
  </r>
  <r>
    <s v="Lina Chen"/>
    <s v="lina_c18"/>
    <x v="5"/>
    <x v="4"/>
    <s v="Shanghai"/>
    <n v="48"/>
    <s v="Female"/>
    <s v="lina.chen18@mail.cn"/>
    <s v="+86-137-3456-7890"/>
    <d v="2023-04-22T00:00:00"/>
    <d v="2024-01-11T00:00:00"/>
    <n v="32100.799999999999"/>
    <n v="12800.9"/>
    <n v="765"/>
    <n v="77000"/>
    <x v="1"/>
    <x v="0"/>
    <n v="0"/>
    <s v="Active"/>
    <n v="0.16624545454545453"/>
    <n v="4"/>
    <x v="2"/>
    <x v="2"/>
    <x v="0"/>
  </r>
  <r>
    <s v="Ahmed Hassan"/>
    <s v="ahmed_h18"/>
    <x v="4"/>
    <x v="20"/>
    <s v="Cairo"/>
    <n v="61"/>
    <s v="Male"/>
    <s v="ahmed.hassan18@email.eg"/>
    <s v="+20-122-432-1098"/>
    <d v="2021-04-22T00:00:00"/>
    <d v="2024-01-10T00:00:00"/>
    <n v="65400.75"/>
    <n v="38500.400000000001"/>
    <n v="675"/>
    <n v="117000"/>
    <x v="0"/>
    <x v="0"/>
    <n v="0"/>
    <s v="Active"/>
    <n v="0.32906324786324787"/>
    <n v="5"/>
    <x v="0"/>
    <x v="4"/>
    <x v="0"/>
  </r>
  <r>
    <s v="Sophie Martin"/>
    <s v="sophie_m18"/>
    <x v="6"/>
    <x v="10"/>
    <s v="Lyon"/>
    <n v="40"/>
    <s v="Female"/>
    <s v="sophie.martin18@edu.fr"/>
    <s v="+33-6-0123-4567"/>
    <d v="2024-04-28T00:00:00"/>
    <d v="2024-01-13T00:00:00"/>
    <n v="3800.25"/>
    <n v="13600.6"/>
    <n v="615"/>
    <n v="37000"/>
    <x v="2"/>
    <x v="1"/>
    <n v="0"/>
    <s v="Active"/>
    <n v="0.36758378378378381"/>
    <n v="2"/>
    <x v="3"/>
    <x v="0"/>
    <x v="1"/>
  </r>
  <r>
    <s v="Raj Kumar"/>
    <s v="raj_kumar18"/>
    <x v="2"/>
    <x v="2"/>
    <s v="Delhi"/>
    <n v="68"/>
    <s v="Male"/>
    <s v="raj.kumar18@company.in"/>
    <s v="+91-987-654-3210"/>
    <d v="2019-05-22T00:00:00"/>
    <d v="2024-01-08T00:00:00"/>
    <n v="215100.79999999999"/>
    <n v="111000.25"/>
    <n v="660"/>
    <n v="236000"/>
    <x v="2"/>
    <x v="0"/>
    <n v="0"/>
    <s v="Active"/>
    <n v="0.47034004237288135"/>
    <n v="7"/>
    <x v="3"/>
    <x v="4"/>
    <x v="3"/>
  </r>
  <r>
    <s v="Maria Gonzalez"/>
    <s v="maria_g19"/>
    <x v="3"/>
    <x v="13"/>
    <s v="Mexico City"/>
    <n v="55"/>
    <s v="Female"/>
    <s v="maria.gonzalez19@email.mx"/>
    <s v="+52-55-1234-0123"/>
    <d v="2021-09-22T00:00:00"/>
    <d v="2024-01-11T00:00:00"/>
    <n v="86500.9"/>
    <n v="44300.75"/>
    <n v="730"/>
    <n v="140000"/>
    <x v="0"/>
    <x v="0"/>
    <n v="0"/>
    <s v="Active"/>
    <n v="0.31643392857142855"/>
    <n v="4"/>
    <x v="0"/>
    <x v="4"/>
    <x v="2"/>
  </r>
  <r>
    <s v="Yuki Kobayashi"/>
    <s v="yuki_k18"/>
    <x v="1"/>
    <x v="1"/>
    <s v="Osaka"/>
    <n v="44"/>
    <s v="Female"/>
    <s v="yuki.kobayashi18@mail.jp"/>
    <s v="+81-90-9012-3456"/>
    <d v="2024-04-22T00:00:00"/>
    <d v="2024-01-14T00:00:00"/>
    <n v="15300.4"/>
    <n v="8600.25"/>
    <n v="705"/>
    <n v="54000"/>
    <x v="0"/>
    <x v="1"/>
    <n v="0"/>
    <s v="Active"/>
    <n v="0.1592638888888889"/>
    <n v="1"/>
    <x v="0"/>
    <x v="0"/>
    <x v="1"/>
  </r>
  <r>
    <s v="Kwame Asante"/>
    <s v="kwame_a18"/>
    <x v="5"/>
    <x v="15"/>
    <s v="Accra"/>
    <n v="49"/>
    <s v="Male"/>
    <s v="kwame.asante18@email.gh"/>
    <s v="+233-71-234-5678"/>
    <d v="2023-03-22T00:00:00"/>
    <d v="2024-01-12T00:00:00"/>
    <n v="31000.6"/>
    <n v="12200.8"/>
    <n v="710"/>
    <n v="70000"/>
    <x v="1"/>
    <x v="0"/>
    <n v="0"/>
    <s v="Active"/>
    <n v="0.17429714285714284"/>
    <n v="3"/>
    <x v="0"/>
    <x v="2"/>
    <x v="1"/>
  </r>
  <r>
    <s v="Anna Petrova"/>
    <s v="anna_p18"/>
    <x v="4"/>
    <x v="12"/>
    <s v="Moscow"/>
    <n v="56"/>
    <s v="Female"/>
    <s v="anna.petrova18@email.ru"/>
    <s v="+7-921-210-98-76"/>
    <d v="2021-04-22T00:00:00"/>
    <d v="2024-01-10T00:00:00"/>
    <n v="62300.25"/>
    <n v="35400.9"/>
    <n v="695"/>
    <n v="105000"/>
    <x v="0"/>
    <x v="0"/>
    <n v="0"/>
    <s v="Active"/>
    <n v="0.3371514285714286"/>
    <n v="5"/>
    <x v="0"/>
    <x v="4"/>
    <x v="0"/>
  </r>
  <r>
    <s v="Liam O'Brien"/>
    <s v="liam_obrien18"/>
    <x v="2"/>
    <x v="11"/>
    <s v="Dublin"/>
    <n v="64"/>
    <s v="Male"/>
    <s v="liam.obrien18@company.ie"/>
    <s v="+353-03-123-4567"/>
    <d v="2019-10-22T00:00:00"/>
    <d v="2024-01-09T00:00:00"/>
    <n v="147300.4"/>
    <n v="85000.6"/>
    <n v="670"/>
    <n v="172000"/>
    <x v="2"/>
    <x v="0"/>
    <n v="0"/>
    <s v="Active"/>
    <n v="0.49418953488372097"/>
    <n v="6"/>
    <x v="0"/>
    <x v="4"/>
    <x v="2"/>
  </r>
  <r>
    <s v="Ying Wang"/>
    <s v="ying_w18"/>
    <x v="0"/>
    <x v="4"/>
    <s v="Beijing"/>
    <n v="72"/>
    <s v="Female"/>
    <s v="ying.wang18@mail.cn"/>
    <s v="+86-139-0123-4567"/>
    <d v="2018-08-22T00:00:00"/>
    <d v="2024-01-08T00:00:00"/>
    <n v="314200.75"/>
    <n v="102000.8"/>
    <n v="835"/>
    <n v="317000"/>
    <x v="1"/>
    <x v="0"/>
    <n v="0"/>
    <s v="Active"/>
    <n v="0.32176908517350161"/>
    <n v="7"/>
    <x v="1"/>
    <x v="4"/>
    <x v="3"/>
  </r>
  <r>
    <s v="Adeola Yusuf"/>
    <s v="adeola_y18"/>
    <x v="4"/>
    <x v="6"/>
    <s v="Abuja"/>
    <n v="59"/>
    <s v="Female"/>
    <s v="adeola.yusuf18@email.ng"/>
    <s v="+234-831-234-5678"/>
    <d v="2021-03-22T00:00:00"/>
    <d v="2024-01-11T00:00:00"/>
    <n v="71000.600000000006"/>
    <n v="41000.25"/>
    <n v="665"/>
    <n v="125000"/>
    <x v="0"/>
    <x v="0"/>
    <n v="0"/>
    <s v="Active"/>
    <n v="0.32800200000000002"/>
    <n v="4"/>
    <x v="3"/>
    <x v="4"/>
    <x v="0"/>
  </r>
  <r>
    <s v="Marco Bianchi"/>
    <s v="marco_b18"/>
    <x v="3"/>
    <x v="18"/>
    <s v="Milan"/>
    <n v="51"/>
    <s v="Male"/>
    <s v="marco.bianchi18@email.it"/>
    <s v="+39-365-901-2345"/>
    <d v="2022-12-22T00:00:00"/>
    <d v="2024-01-12T00:00:00"/>
    <n v="94300.800000000003"/>
    <n v="48500.4"/>
    <n v="750"/>
    <n v="151000"/>
    <x v="0"/>
    <x v="0"/>
    <n v="0"/>
    <s v="Active"/>
    <n v="0.32119470198675498"/>
    <n v="3"/>
    <x v="2"/>
    <x v="2"/>
    <x v="2"/>
  </r>
  <r>
    <s v="Jennifer Kim"/>
    <s v="jennifer_k18"/>
    <x v="5"/>
    <x v="0"/>
    <s v="Seattle"/>
    <n v="47"/>
    <s v="Female"/>
    <s v="jennifer.kim18@email.com"/>
    <s v="+1-206-555-0198"/>
    <d v="2023-06-22T00:00:00"/>
    <d v="2024-01-14T00:00:00"/>
    <n v="33200.9"/>
    <n v="13200.75"/>
    <n v="770"/>
    <n v="82000"/>
    <x v="1"/>
    <x v="0"/>
    <n v="0"/>
    <s v="Active"/>
    <n v="0.16098475609756097"/>
    <n v="1"/>
    <x v="2"/>
    <x v="2"/>
    <x v="0"/>
  </r>
  <r>
    <s v="Rahman Hussain"/>
    <s v="rahman_h18"/>
    <x v="2"/>
    <x v="25"/>
    <s v="Lahore"/>
    <n v="70"/>
    <s v="Male"/>
    <s v="rahman.hussain18@company.pk"/>
    <s v="+92-317-2109876"/>
    <d v="2019-02-22T00:00:00"/>
    <d v="2024-01-08T00:00:00"/>
    <n v="200400.25"/>
    <n v="106000.8"/>
    <n v="645"/>
    <n v="222000"/>
    <x v="2"/>
    <x v="0"/>
    <n v="0"/>
    <s v="Active"/>
    <n v="0.47748108108108112"/>
    <n v="7"/>
    <x v="3"/>
    <x v="4"/>
    <x v="3"/>
  </r>
  <r>
    <s v="Sofia Martinez"/>
    <s v="sofia_m18"/>
    <x v="1"/>
    <x v="14"/>
    <s v="Madrid"/>
    <n v="43"/>
    <s v="Female"/>
    <s v="sofia.martinez18@mail.es"/>
    <s v="+34-640-123-456"/>
    <d v="2024-04-28T00:00:00"/>
    <d v="2024-01-15T00:00:00"/>
    <n v="27200.5"/>
    <n v="12800.4"/>
    <n v="720"/>
    <n v="59000"/>
    <x v="1"/>
    <x v="0"/>
    <n v="0"/>
    <s v="Active"/>
    <n v="0.21695593220338982"/>
    <n v="0"/>
    <x v="0"/>
    <x v="0"/>
    <x v="1"/>
  </r>
  <r>
    <s v="Kenji Sato"/>
    <s v="kenji_sato19"/>
    <x v="6"/>
    <x v="1"/>
    <s v="Tokyo"/>
    <n v="39"/>
    <s v="Male"/>
    <s v="kenji.sato19@edu.jp"/>
    <s v="+81-90-2345-6789"/>
    <d v="2024-04-28T00:00:00"/>
    <d v="2024-01-13T00:00:00"/>
    <n v="3550.8"/>
    <n v="12000.25"/>
    <n v="605"/>
    <n v="35000"/>
    <x v="2"/>
    <x v="1"/>
    <n v="0"/>
    <s v="Active"/>
    <n v="0.34286428571428573"/>
    <n v="2"/>
    <x v="3"/>
    <x v="0"/>
    <x v="1"/>
  </r>
  <r>
    <s v="Fatoumata Bello"/>
    <s v="fatou_b18"/>
    <x v="3"/>
    <x v="19"/>
    <s v="Dakar"/>
    <n v="53"/>
    <s v="Female"/>
    <s v="fatoumata.bello18@email.sn"/>
    <s v="+221-95-901-2345"/>
    <d v="2022-08-22T00:00:00"/>
    <d v="2024-01-11T00:00:00"/>
    <n v="81000.399999999994"/>
    <n v="43200.75"/>
    <n v="710"/>
    <n v="133000"/>
    <x v="0"/>
    <x v="0"/>
    <n v="0"/>
    <s v="Active"/>
    <n v="0.32481766917293231"/>
    <n v="4"/>
    <x v="0"/>
    <x v="2"/>
    <x v="2"/>
  </r>
  <r>
    <s v="David Wilson"/>
    <s v="david_w18"/>
    <x v="2"/>
    <x v="3"/>
    <s v="London"/>
    <n v="67"/>
    <s v="Male"/>
    <s v="david.wilson18@company.co.uk"/>
    <s v="+44-79-2345-6789"/>
    <d v="2019-07-22T00:00:00"/>
    <d v="2024-01-09T00:00:00"/>
    <n v="180600.6"/>
    <n v="99000.25"/>
    <n v="675"/>
    <n v="202000"/>
    <x v="2"/>
    <x v="0"/>
    <n v="0"/>
    <s v="Active"/>
    <n v="0.49010024752475245"/>
    <n v="6"/>
    <x v="0"/>
    <x v="4"/>
    <x v="3"/>
  </r>
  <r>
    <s v="Lina Park"/>
    <s v="lina_park18"/>
    <x v="4"/>
    <x v="17"/>
    <s v="Seoul"/>
    <n v="52"/>
    <s v="Female"/>
    <s v="lina.park18@email.kr"/>
    <s v="+82-10-1234-5678"/>
    <d v="2022-01-22T00:00:00"/>
    <d v="2024-01-10T00:00:00"/>
    <n v="57400.75"/>
    <n v="34300.800000000003"/>
    <n v="725"/>
    <n v="99000"/>
    <x v="0"/>
    <x v="0"/>
    <n v="0"/>
    <s v="Active"/>
    <n v="0.34647272727272732"/>
    <n v="5"/>
    <x v="0"/>
    <x v="2"/>
    <x v="0"/>
  </r>
  <r>
    <s v="Ahmed Al-Mansoori"/>
    <s v="ahmed_alm18"/>
    <x v="5"/>
    <x v="8"/>
    <s v="Dubai"/>
    <n v="50"/>
    <s v="Male"/>
    <s v="ahmed.almansoori18@email.ae"/>
    <s v="+971-50-345-6789"/>
    <d v="2023-04-22T00:00:00"/>
    <d v="2024-01-12T00:00:00"/>
    <n v="35400.400000000001"/>
    <n v="14000.9"/>
    <n v="740"/>
    <n v="85000"/>
    <x v="1"/>
    <x v="0"/>
    <n v="0"/>
    <s v="Active"/>
    <n v="0.1647164705882353"/>
    <n v="3"/>
    <x v="0"/>
    <x v="2"/>
    <x v="0"/>
  </r>
  <r>
    <s v="Maria Costa"/>
    <s v="maria_costa18"/>
    <x v="0"/>
    <x v="5"/>
    <s v="São Paulo"/>
    <n v="73"/>
    <s v="Female"/>
    <s v="maria.costa18@mail.com.br"/>
    <s v="+55-11-99945-6789"/>
    <d v="2018-04-22T00:00:00"/>
    <d v="2024-01-08T00:00:00"/>
    <n v="269500.90000000002"/>
    <n v="89000.6"/>
    <n v="830"/>
    <n v="297000"/>
    <x v="1"/>
    <x v="0"/>
    <n v="0"/>
    <s v="Active"/>
    <n v="0.29966531986531991"/>
    <n v="7"/>
    <x v="1"/>
    <x v="4"/>
    <x v="3"/>
  </r>
  <r>
    <s v="Chinedu Nwankwo"/>
    <s v="chinedu_n18"/>
    <x v="2"/>
    <x v="6"/>
    <s v="Port Harcourt"/>
    <n v="65"/>
    <s v="Male"/>
    <s v="chinedu.nwankwo18@company.ng"/>
    <s v="+234-832-345-6789"/>
    <d v="2019-12-12T00:00:00"/>
    <d v="2024-01-09T00:00:00"/>
    <n v="158400.25"/>
    <n v="91000.4"/>
    <n v="655"/>
    <n v="187000"/>
    <x v="2"/>
    <x v="0"/>
    <n v="0"/>
    <s v="Active"/>
    <n v="0.48663315508021388"/>
    <n v="6"/>
    <x v="3"/>
    <x v="4"/>
    <x v="2"/>
  </r>
  <r>
    <s v="Isabelle Moreau"/>
    <s v="isabelle_m18"/>
    <x v="3"/>
    <x v="9"/>
    <s v="Toronto"/>
    <n v="54"/>
    <s v="Female"/>
    <s v="isabelle.moreau18@email.ca"/>
    <s v="+1-647-555-0198"/>
    <d v="2022-05-22T00:00:00"/>
    <d v="2024-01-11T00:00:00"/>
    <n v="99900.6"/>
    <n v="51200.75"/>
    <n v="760"/>
    <n v="156000"/>
    <x v="0"/>
    <x v="0"/>
    <n v="0"/>
    <s v="Active"/>
    <n v="0.32820993589743591"/>
    <n v="4"/>
    <x v="2"/>
    <x v="2"/>
    <x v="2"/>
  </r>
  <r>
    <s v="Rahman Ali"/>
    <s v="rahman_ali19"/>
    <x v="1"/>
    <x v="36"/>
    <s v="Jakarta"/>
    <n v="45"/>
    <s v="Male"/>
    <s v="rahman.ali19@mail.id"/>
    <s v="+62-829-0123-4567"/>
    <d v="2024-04-28T00:00:00"/>
    <d v="2024-01-15T00:00:00"/>
    <n v="16900.25"/>
    <n v="10000.799999999999"/>
    <n v="695"/>
    <n v="56000"/>
    <x v="0"/>
    <x v="1"/>
    <n v="0"/>
    <s v="Active"/>
    <n v="0.17858571428571426"/>
    <n v="0"/>
    <x v="0"/>
    <x v="2"/>
    <x v="1"/>
  </r>
  <r>
    <s v="Sarah Johnson"/>
    <s v="sarah_j18"/>
    <x v="5"/>
    <x v="0"/>
    <s v="Chicago"/>
    <n v="48"/>
    <s v="Female"/>
    <s v="sarah.johnson18@email.com"/>
    <s v="+1-773-555-0194"/>
    <d v="2023-02-22T00:00:00"/>
    <d v="2024-01-12T00:00:00"/>
    <n v="34300.9"/>
    <n v="13600.25"/>
    <n v="755"/>
    <n v="78000"/>
    <x v="1"/>
    <x v="0"/>
    <n v="0"/>
    <s v="Active"/>
    <n v="0.1743621794871795"/>
    <n v="3"/>
    <x v="2"/>
    <x v="2"/>
    <x v="0"/>
  </r>
  <r>
    <s v="Wei Zhang"/>
    <s v="wei_zhang18"/>
    <x v="2"/>
    <x v="4"/>
    <s v="Beijing"/>
    <n v="66"/>
    <s v="Male"/>
    <s v="wei.zhang18@company.cn"/>
    <s v="+86-138-4567-8901"/>
    <d v="2019-09-22T00:00:00"/>
    <d v="2024-01-09T00:00:00"/>
    <n v="191300.4"/>
    <n v="104000.75"/>
    <n v="685"/>
    <n v="212000"/>
    <x v="2"/>
    <x v="0"/>
    <n v="0"/>
    <s v="Active"/>
    <n v="0.4905695754716981"/>
    <n v="6"/>
    <x v="0"/>
    <x v="4"/>
    <x v="3"/>
  </r>
  <r>
    <s v="Anna Kowalski"/>
    <s v="anna_k19"/>
    <x v="4"/>
    <x v="37"/>
    <s v="Warsaw"/>
    <n v="57"/>
    <s v="Female"/>
    <s v="anna.kowalski19@email.pl"/>
    <s v="+48-717-901-234"/>
    <d v="2021-06-22T00:00:00"/>
    <d v="2024-01-10T00:00:00"/>
    <n v="64300.800000000003"/>
    <n v="37400.6"/>
    <n v="715"/>
    <n v="111000"/>
    <x v="0"/>
    <x v="0"/>
    <n v="0"/>
    <s v="Active"/>
    <n v="0.33694234234234233"/>
    <n v="5"/>
    <x v="0"/>
    <x v="4"/>
    <x v="0"/>
  </r>
  <r>
    <s v="Mohammed Rahman"/>
    <s v="m_rahman19"/>
    <x v="3"/>
    <x v="29"/>
    <s v="Chittagong"/>
    <n v="60"/>
    <s v="Male"/>
    <s v="mohammed.rahman19@email.bd"/>
    <s v="+880-1812-123456"/>
    <d v="2021-03-22T00:00:00"/>
    <d v="2024-01-11T00:00:00"/>
    <n v="92100.25"/>
    <n v="47400.4"/>
    <n v="680"/>
    <n v="140000"/>
    <x v="0"/>
    <x v="0"/>
    <n v="0"/>
    <s v="Active"/>
    <n v="0.33857428571428572"/>
    <n v="4"/>
    <x v="0"/>
    <x v="4"/>
    <x v="2"/>
  </r>
  <r>
    <s v="Yumi Tanaka"/>
    <s v="yumi_tanaka18"/>
    <x v="6"/>
    <x v="1"/>
    <s v="Osaka"/>
    <n v="40"/>
    <s v="Female"/>
    <s v="yumi.tanaka18@edu.jp"/>
    <s v="+81-90-3456-7890"/>
    <d v="2024-05-05T00:00:00"/>
    <d v="2024-01-13T00:00:00"/>
    <n v="3650.4"/>
    <n v="12600.75"/>
    <n v="610"/>
    <n v="36000"/>
    <x v="2"/>
    <x v="1"/>
    <n v="0"/>
    <s v="Active"/>
    <n v="0.35002083333333334"/>
    <n v="2"/>
    <x v="3"/>
    <x v="0"/>
    <x v="1"/>
  </r>
  <r>
    <s v="Carlos Mendez"/>
    <s v="carlos_m18"/>
    <x v="0"/>
    <x v="13"/>
    <s v="Mexico City"/>
    <n v="72"/>
    <s v="Male"/>
    <s v="carlos.mendez18@mail.mx"/>
    <s v="+52-55-1234-0123"/>
    <d v="2018-11-22T00:00:00"/>
    <d v="2024-01-08T00:00:00"/>
    <n v="289300.8"/>
    <n v="95000.25"/>
    <n v="825"/>
    <n v="292000"/>
    <x v="1"/>
    <x v="0"/>
    <n v="0"/>
    <s v="Active"/>
    <n v="0.32534332191780824"/>
    <n v="7"/>
    <x v="1"/>
    <x v="4"/>
    <x v="3"/>
  </r>
  <r>
    <s v="Aisha Mohammed"/>
    <s v="aisha_m19"/>
    <x v="5"/>
    <x v="16"/>
    <s v="Nairobi"/>
    <n v="47"/>
    <s v="Female"/>
    <s v="aisha.mohammed19@email.ke"/>
    <s v="+254-741-234-567"/>
    <d v="2023-08-22T00:00:00"/>
    <d v="2024-01-14T00:00:00"/>
    <n v="31000.75"/>
    <n v="12000.4"/>
    <n v="725"/>
    <n v="68000"/>
    <x v="1"/>
    <x v="0"/>
    <n v="0"/>
    <s v="Active"/>
    <n v="0.17647647058823529"/>
    <n v="1"/>
    <x v="0"/>
    <x v="2"/>
    <x v="1"/>
  </r>
  <r>
    <s v="David Chen"/>
    <s v="david_chen19"/>
    <x v="2"/>
    <x v="23"/>
    <s v="Singapore"/>
    <n v="64"/>
    <s v="Male"/>
    <s v="david.chen19@company.sg"/>
    <s v="+65-0090-1234"/>
    <d v="2020-03-12T00:00:00"/>
    <d v="2024-01-09T00:00:00"/>
    <n v="169500.6"/>
    <n v="95000.9"/>
    <n v="675"/>
    <n v="192000"/>
    <x v="2"/>
    <x v="0"/>
    <n v="0"/>
    <s v="Active"/>
    <n v="0.49479635416666662"/>
    <n v="6"/>
    <x v="0"/>
    <x v="4"/>
    <x v="3"/>
  </r>
  <r>
    <s v="Maria Papadopoulos"/>
    <s v="maria_p19"/>
    <x v="4"/>
    <x v="38"/>
    <s v="Athens"/>
    <n v="55"/>
    <s v="Female"/>
    <s v="maria.papadopoulos19@email.gr"/>
    <s v="+30-709-012-3456"/>
    <d v="2022-04-22T00:00:00"/>
    <d v="2024-01-11T00:00:00"/>
    <n v="58500.4"/>
    <n v="33200.25"/>
    <n v="705"/>
    <n v="100000"/>
    <x v="0"/>
    <x v="0"/>
    <n v="0"/>
    <s v="Active"/>
    <n v="0.33200249999999998"/>
    <n v="4"/>
    <x v="0"/>
    <x v="4"/>
    <x v="0"/>
  </r>
  <r>
    <s v="James Wilson"/>
    <s v="j_wilson19"/>
    <x v="3"/>
    <x v="26"/>
    <s v="Sydney"/>
    <n v="58"/>
    <s v="Male"/>
    <s v="james.wilson19@email.au"/>
    <s v="+61-441-234-567"/>
    <d v="2020-11-22T00:00:00"/>
    <d v="2024-01-10T00:00:00"/>
    <n v="105100.75"/>
    <n v="54300.800000000003"/>
    <n v="730"/>
    <n v="166000"/>
    <x v="0"/>
    <x v="0"/>
    <n v="0"/>
    <s v="Active"/>
    <n v="0.32711325301204819"/>
    <n v="5"/>
    <x v="0"/>
    <x v="4"/>
    <x v="2"/>
  </r>
  <r>
    <s v="Fatima Zahra"/>
    <s v="f_zahra19"/>
    <x v="1"/>
    <x v="25"/>
    <s v="Islamabad"/>
    <n v="43"/>
    <s v="Female"/>
    <s v="fatima.zahra19@mail.pk"/>
    <s v="+92-339-1098765"/>
    <d v="2024-04-28T00:00:00"/>
    <d v="2024-01-15T00:00:00"/>
    <n v="14600.9"/>
    <n v="8700.75"/>
    <n v="685"/>
    <n v="53000"/>
    <x v="0"/>
    <x v="1"/>
    <n v="0"/>
    <s v="Active"/>
    <n v="0.16416509433962265"/>
    <n v="0"/>
    <x v="0"/>
    <x v="0"/>
    <x v="1"/>
  </r>
  <r>
    <s v="Kenji Yamada"/>
    <s v="kenji_y19"/>
    <x v="0"/>
    <x v="1"/>
    <s v="Tokyo"/>
    <n v="75"/>
    <s v="Male"/>
    <s v="kenji.yamada19@mail.jp"/>
    <s v="+81-80-9012-3456"/>
    <d v="2018-02-22T00:00:00"/>
    <d v="2024-01-08T00:00:00"/>
    <n v="300200.25"/>
    <n v="99000.4"/>
    <n v="840"/>
    <n v="307000"/>
    <x v="1"/>
    <x v="0"/>
    <n v="0"/>
    <s v="Active"/>
    <n v="0.32247687296416938"/>
    <n v="7"/>
    <x v="1"/>
    <x v="4"/>
    <x v="3"/>
  </r>
  <r>
    <s v="Ngozi Eze"/>
    <s v="ngozi_e19"/>
    <x v="2"/>
    <x v="6"/>
    <s v="Lagos"/>
    <n v="67"/>
    <s v="Female"/>
    <s v="ngozi.eze19@company.ng"/>
    <s v="+234-831-234-5678"/>
    <d v="2019-07-22T00:00:00"/>
    <d v="2024-01-09T00:00:00"/>
    <n v="180600.4"/>
    <n v="99000.75"/>
    <n v="650"/>
    <n v="202000"/>
    <x v="2"/>
    <x v="0"/>
    <n v="0"/>
    <s v="Active"/>
    <n v="0.49010272277227723"/>
    <n v="6"/>
    <x v="3"/>
    <x v="4"/>
    <x v="3"/>
  </r>
  <r>
    <s v="Thomas Schmidt"/>
    <s v="thomas_s19"/>
    <x v="3"/>
    <x v="7"/>
    <s v="Munich"/>
    <n v="54"/>
    <s v="Male"/>
    <s v="thomas.schmidt19@email.de"/>
    <s v="+49-193-4567890"/>
    <d v="2022-11-22T00:00:00"/>
    <d v="2024-01-12T00:00:00"/>
    <n v="93200.4"/>
    <n v="48500.25"/>
    <n v="745"/>
    <n v="146000"/>
    <x v="0"/>
    <x v="0"/>
    <n v="0"/>
    <s v="Active"/>
    <n v="0.33219349315068492"/>
    <n v="3"/>
    <x v="0"/>
    <x v="2"/>
    <x v="2"/>
  </r>
  <r>
    <s v="Lina Chen"/>
    <s v="lina_c19"/>
    <x v="5"/>
    <x v="4"/>
    <s v="Beijing"/>
    <n v="49"/>
    <s v="Female"/>
    <s v="lina.chen19@mail.cn"/>
    <s v="+86-137-4567-8901"/>
    <d v="2023-05-22T00:00:00"/>
    <d v="2024-01-11T00:00:00"/>
    <n v="33200.800000000003"/>
    <n v="13200.9"/>
    <n v="765"/>
    <n v="78000"/>
    <x v="1"/>
    <x v="0"/>
    <n v="0"/>
    <s v="Active"/>
    <n v="0.16924230769230769"/>
    <n v="4"/>
    <x v="2"/>
    <x v="2"/>
    <x v="0"/>
  </r>
  <r>
    <s v="Ahmed Hassan"/>
    <s v="ahmed_h19"/>
    <x v="4"/>
    <x v="20"/>
    <s v="Alexandria"/>
    <n v="62"/>
    <s v="Male"/>
    <s v="ahmed.hassan19@email.eg"/>
    <s v="+20-122-321-0987"/>
    <d v="2021-05-22T00:00:00"/>
    <d v="2024-01-10T00:00:00"/>
    <n v="66500.75"/>
    <n v="39600.400000000001"/>
    <n v="675"/>
    <n v="118000"/>
    <x v="0"/>
    <x v="0"/>
    <n v="0"/>
    <s v="Active"/>
    <n v="0.33559661016949155"/>
    <n v="5"/>
    <x v="0"/>
    <x v="4"/>
    <x v="0"/>
  </r>
  <r>
    <s v="Sophie Martin"/>
    <s v="sophie_m19"/>
    <x v="6"/>
    <x v="10"/>
    <s v="Paris"/>
    <n v="41"/>
    <s v="Female"/>
    <s v="sophie.martin19@edu.fr"/>
    <s v="+33-6-1234-5678"/>
    <d v="2024-05-12T00:00:00"/>
    <d v="2024-01-13T00:00:00"/>
    <n v="3900.25"/>
    <n v="13800.6"/>
    <n v="615"/>
    <n v="38000"/>
    <x v="2"/>
    <x v="1"/>
    <n v="0"/>
    <s v="Active"/>
    <n v="0.36317368421052632"/>
    <n v="2"/>
    <x v="3"/>
    <x v="0"/>
    <x v="1"/>
  </r>
  <r>
    <s v="Raj Kumar"/>
    <s v="raj_kumar19"/>
    <x v="2"/>
    <x v="2"/>
    <s v="Delhi"/>
    <n v="69"/>
    <s v="Male"/>
    <s v="raj.kumar19@company.in"/>
    <s v="+91-987-654-3210"/>
    <d v="2019-06-22T00:00:00"/>
    <d v="2024-01-08T00:00:00"/>
    <n v="215200.8"/>
    <n v="112000.25"/>
    <n v="660"/>
    <n v="237000"/>
    <x v="2"/>
    <x v="0"/>
    <n v="0"/>
    <s v="Active"/>
    <n v="0.47257489451476792"/>
    <n v="7"/>
    <x v="3"/>
    <x v="4"/>
    <x v="3"/>
  </r>
  <r>
    <s v="Maria Gonzalez"/>
    <s v="maria_g20"/>
    <x v="3"/>
    <x v="13"/>
    <s v="Monterrey"/>
    <n v="56"/>
    <s v="Female"/>
    <s v="maria.gonzalez20@email.mx"/>
    <s v="+52-81-2345-0123"/>
    <d v="2021-10-22T00:00:00"/>
    <d v="2024-01-11T00:00:00"/>
    <n v="87600.9"/>
    <n v="45400.75"/>
    <n v="730"/>
    <n v="141000"/>
    <x v="0"/>
    <x v="0"/>
    <n v="0"/>
    <s v="Active"/>
    <n v="0.32199113475177304"/>
    <n v="4"/>
    <x v="0"/>
    <x v="4"/>
    <x v="2"/>
  </r>
  <r>
    <s v="Yuki Kobayashi"/>
    <s v="yuki_k19"/>
    <x v="1"/>
    <x v="1"/>
    <s v="Osaka"/>
    <n v="45"/>
    <s v="Female"/>
    <s v="yuki.kobayashi19@mail.jp"/>
    <s v="+81-90-0123-4567"/>
    <d v="2024-05-08T00:00:00"/>
    <d v="2024-01-14T00:00:00"/>
    <n v="15700.4"/>
    <n v="8800.25"/>
    <n v="705"/>
    <n v="55000"/>
    <x v="0"/>
    <x v="1"/>
    <n v="0"/>
    <s v="Active"/>
    <n v="0.16000454545454545"/>
    <n v="1"/>
    <x v="0"/>
    <x v="2"/>
    <x v="1"/>
  </r>
  <r>
    <s v="Kwame Asante"/>
    <s v="kwame_a19"/>
    <x v="5"/>
    <x v="15"/>
    <s v="Accra"/>
    <n v="50"/>
    <s v="Male"/>
    <s v="kwame.asante19@email.gh"/>
    <s v="+233-72-345-6789"/>
    <d v="2023-04-22T00:00:00"/>
    <d v="2024-01-12T00:00:00"/>
    <n v="32100.6"/>
    <n v="12600.8"/>
    <n v="710"/>
    <n v="71000"/>
    <x v="1"/>
    <x v="0"/>
    <n v="0"/>
    <s v="Active"/>
    <n v="0.17747605633802815"/>
    <n v="3"/>
    <x v="0"/>
    <x v="2"/>
    <x v="1"/>
  </r>
  <r>
    <s v="Anna Petrova"/>
    <s v="anna_p19"/>
    <x v="4"/>
    <x v="12"/>
    <s v="St. Petersburg"/>
    <n v="57"/>
    <s v="Female"/>
    <s v="anna.petrova19@email.ru"/>
    <s v="+7-921-098-76-54"/>
    <d v="2021-05-22T00:00:00"/>
    <d v="2024-01-10T00:00:00"/>
    <n v="63400.25"/>
    <n v="36500.9"/>
    <n v="695"/>
    <n v="106000"/>
    <x v="0"/>
    <x v="0"/>
    <n v="0"/>
    <s v="Active"/>
    <n v="0.34434811320754716"/>
    <n v="5"/>
    <x v="0"/>
    <x v="4"/>
    <x v="0"/>
  </r>
  <r>
    <s v="Liam O'Brien"/>
    <s v="liam_obrien19"/>
    <x v="2"/>
    <x v="11"/>
    <s v="Dublin"/>
    <n v="65"/>
    <s v="Male"/>
    <s v="liam.obrien19@company.ie"/>
    <s v="+353-04-234-5678"/>
    <d v="2019-11-22T00:00:00"/>
    <d v="2024-01-09T00:00:00"/>
    <n v="147400.4"/>
    <n v="86000.6"/>
    <n v="670"/>
    <n v="173000"/>
    <x v="2"/>
    <x v="0"/>
    <n v="0"/>
    <s v="Active"/>
    <n v="0.4971132947976879"/>
    <n v="6"/>
    <x v="0"/>
    <x v="4"/>
    <x v="2"/>
  </r>
  <r>
    <s v="Ying Wang"/>
    <s v="ying_w19"/>
    <x v="0"/>
    <x v="4"/>
    <s v="Shanghai"/>
    <n v="73"/>
    <s v="Female"/>
    <s v="ying.wang19@mail.cn"/>
    <s v="+86-139-1234-5678"/>
    <d v="2018-09-22T00:00:00"/>
    <d v="2024-01-08T00:00:00"/>
    <n v="314300.75"/>
    <n v="103000.8"/>
    <n v="835"/>
    <n v="318000"/>
    <x v="1"/>
    <x v="0"/>
    <n v="0"/>
    <s v="Active"/>
    <n v="0.32390188679245285"/>
    <n v="7"/>
    <x v="1"/>
    <x v="4"/>
    <x v="3"/>
  </r>
  <r>
    <s v="Adeola Yusuf"/>
    <s v="adeola_y19"/>
    <x v="4"/>
    <x v="6"/>
    <s v="Lagos"/>
    <n v="60"/>
    <s v="Female"/>
    <s v="adeola.yusuf19@email.ng"/>
    <s v="+234-832-345-6789"/>
    <d v="2021-04-22T00:00:00"/>
    <d v="2024-01-11T00:00:00"/>
    <n v="72100.600000000006"/>
    <n v="42100.25"/>
    <n v="665"/>
    <n v="126000"/>
    <x v="0"/>
    <x v="0"/>
    <n v="0"/>
    <s v="Active"/>
    <n v="0.33412896825396826"/>
    <n v="4"/>
    <x v="3"/>
    <x v="4"/>
    <x v="0"/>
  </r>
  <r>
    <s v="Marco Bianchi"/>
    <s v="marco_b19"/>
    <x v="3"/>
    <x v="18"/>
    <s v="Rome"/>
    <n v="52"/>
    <s v="Male"/>
    <s v="marco.bianchi19@email.it"/>
    <s v="+39-366-012-3456"/>
    <d v="2023-01-22T00:00:00"/>
    <d v="2024-01-12T00:00:00"/>
    <n v="95400.8"/>
    <n v="49600.4"/>
    <n v="750"/>
    <n v="152000"/>
    <x v="0"/>
    <x v="0"/>
    <n v="0"/>
    <s v="Active"/>
    <n v="0.32631842105263159"/>
    <n v="3"/>
    <x v="2"/>
    <x v="2"/>
    <x v="2"/>
  </r>
  <r>
    <s v="Jennifer Kim"/>
    <s v="jennifer_k19"/>
    <x v="5"/>
    <x v="0"/>
    <s v="Los Angeles"/>
    <n v="48"/>
    <s v="Female"/>
    <s v="jennifer.kim19@email.com"/>
    <s v="+1-310-555-0194"/>
    <d v="2023-07-22T00:00:00"/>
    <d v="2024-01-14T00:00:00"/>
    <n v="34300.9"/>
    <n v="13600.75"/>
    <n v="770"/>
    <n v="83000"/>
    <x v="1"/>
    <x v="0"/>
    <n v="0"/>
    <s v="Active"/>
    <n v="0.16386445783132531"/>
    <n v="1"/>
    <x v="2"/>
    <x v="2"/>
    <x v="0"/>
  </r>
  <r>
    <s v="Rahman Hussain"/>
    <s v="rahman_h19"/>
    <x v="2"/>
    <x v="25"/>
    <s v="Karachi"/>
    <n v="71"/>
    <s v="Male"/>
    <s v="rahman.hussain19@company.pk"/>
    <s v="+92-318-1098765"/>
    <d v="2019-03-22T00:00:00"/>
    <d v="2024-01-08T00:00:00"/>
    <n v="200500.25"/>
    <n v="107000.8"/>
    <n v="645"/>
    <n v="223000"/>
    <x v="2"/>
    <x v="0"/>
    <n v="0"/>
    <s v="Active"/>
    <n v="0.47982421524663676"/>
    <n v="7"/>
    <x v="3"/>
    <x v="4"/>
    <x v="3"/>
  </r>
  <r>
    <s v="Sofia Martinez"/>
    <s v="sofia_m19"/>
    <x v="1"/>
    <x v="14"/>
    <s v="Valencia"/>
    <n v="44"/>
    <s v="Female"/>
    <s v="sofia.martinez19@mail.es"/>
    <s v="+34-641-234-567"/>
    <d v="2024-05-12T00:00:00"/>
    <d v="2024-01-15T00:00:00"/>
    <n v="28200.5"/>
    <n v="13200.4"/>
    <n v="720"/>
    <n v="60000"/>
    <x v="1"/>
    <x v="0"/>
    <n v="0"/>
    <s v="Active"/>
    <n v="0.22000666666666666"/>
    <n v="0"/>
    <x v="0"/>
    <x v="0"/>
    <x v="1"/>
  </r>
  <r>
    <s v="Kenji Sato"/>
    <s v="kenji_sato20"/>
    <x v="6"/>
    <x v="1"/>
    <s v="Tokyo"/>
    <n v="40"/>
    <s v="Male"/>
    <s v="kenji.sato20@edu.jp"/>
    <s v="+81-90-3456-7890"/>
    <d v="2024-05-15T00:00:00"/>
    <d v="2024-01-13T00:00:00"/>
    <n v="3650.8"/>
    <n v="12200.25"/>
    <n v="605"/>
    <n v="36000"/>
    <x v="2"/>
    <x v="1"/>
    <n v="0"/>
    <s v="Active"/>
    <n v="0.33889583333333334"/>
    <n v="2"/>
    <x v="3"/>
    <x v="0"/>
    <x v="1"/>
  </r>
  <r>
    <s v="Fatoumata Bello"/>
    <s v="fatou_b19"/>
    <x v="3"/>
    <x v="19"/>
    <s v="Dakar"/>
    <n v="54"/>
    <s v="Female"/>
    <s v="fatoumata.bello19@email.sn"/>
    <s v="+221-96-012-3456"/>
    <d v="2022-09-22T00:00:00"/>
    <d v="2024-01-11T00:00:00"/>
    <n v="82100.399999999994"/>
    <n v="44300.75"/>
    <n v="710"/>
    <n v="134000"/>
    <x v="0"/>
    <x v="0"/>
    <n v="0"/>
    <s v="Active"/>
    <n v="0.3306026119402985"/>
    <n v="4"/>
    <x v="0"/>
    <x v="2"/>
    <x v="2"/>
  </r>
  <r>
    <s v="David Wilson"/>
    <s v="david_w19"/>
    <x v="2"/>
    <x v="3"/>
    <s v="Manchester"/>
    <n v="68"/>
    <s v="Male"/>
    <s v="david.wilson19@company.co.uk"/>
    <s v="+44-79-3456-7890"/>
    <d v="2019-08-22T00:00:00"/>
    <d v="2024-01-09T00:00:00"/>
    <n v="180700.6"/>
    <n v="100000.25"/>
    <n v="675"/>
    <n v="203000"/>
    <x v="2"/>
    <x v="0"/>
    <n v="0"/>
    <s v="Active"/>
    <n v="0.49261206896551724"/>
    <n v="6"/>
    <x v="0"/>
    <x v="4"/>
    <x v="3"/>
  </r>
  <r>
    <s v="Lina Park"/>
    <s v="lina_park19"/>
    <x v="4"/>
    <x v="17"/>
    <s v="Seoul"/>
    <n v="53"/>
    <s v="Female"/>
    <s v="lina.park19@email.kr"/>
    <s v="+82-10-2345-6789"/>
    <d v="2022-02-22T00:00:00"/>
    <d v="2024-01-10T00:00:00"/>
    <n v="58500.75"/>
    <n v="35400.800000000003"/>
    <n v="725"/>
    <n v="100000"/>
    <x v="0"/>
    <x v="0"/>
    <n v="0"/>
    <s v="Active"/>
    <n v="0.35400800000000004"/>
    <n v="5"/>
    <x v="0"/>
    <x v="2"/>
    <x v="0"/>
  </r>
  <r>
    <s v="Ahmed Al-Mansoori"/>
    <s v="ahmed_alm19"/>
    <x v="5"/>
    <x v="8"/>
    <s v="Dubai"/>
    <n v="51"/>
    <s v="Male"/>
    <s v="ahmed.almansoori19@email.ae"/>
    <s v="+971-50-456-7890"/>
    <d v="2023-05-22T00:00:00"/>
    <d v="2024-01-12T00:00:00"/>
    <n v="36500.400000000001"/>
    <n v="14400.9"/>
    <n v="740"/>
    <n v="86000"/>
    <x v="1"/>
    <x v="0"/>
    <n v="0"/>
    <s v="Active"/>
    <n v="0.16745232558139533"/>
    <n v="3"/>
    <x v="0"/>
    <x v="2"/>
    <x v="0"/>
  </r>
  <r>
    <s v="Maria Costa"/>
    <s v="maria_costa19"/>
    <x v="0"/>
    <x v="5"/>
    <s v="São Paulo"/>
    <n v="74"/>
    <s v="Female"/>
    <s v="maria.costa19@mail.com.br"/>
    <s v="+55-11-99956-7890"/>
    <d v="2018-05-22T00:00:00"/>
    <d v="2024-01-08T00:00:00"/>
    <n v="269600.90000000002"/>
    <n v="90000.6"/>
    <n v="830"/>
    <n v="298000"/>
    <x v="1"/>
    <x v="0"/>
    <n v="0"/>
    <s v="Active"/>
    <n v="0.30201543624161076"/>
    <n v="7"/>
    <x v="1"/>
    <x v="4"/>
    <x v="3"/>
  </r>
  <r>
    <s v="Chinedu Nwankwo"/>
    <s v="chinedu_n19"/>
    <x v="2"/>
    <x v="6"/>
    <s v="Abuja"/>
    <n v="66"/>
    <s v="Male"/>
    <s v="chinedu.nwankwo19@company.ng"/>
    <s v="+234-833-456-7890"/>
    <d v="2020-01-12T00:00:00"/>
    <d v="2024-01-09T00:00:00"/>
    <n v="158500.25"/>
    <n v="92000.4"/>
    <n v="655"/>
    <n v="188000"/>
    <x v="2"/>
    <x v="0"/>
    <n v="0"/>
    <s v="Active"/>
    <n v="0.48936382978723403"/>
    <n v="6"/>
    <x v="3"/>
    <x v="4"/>
    <x v="2"/>
  </r>
  <r>
    <s v="Isabelle Moreau"/>
    <s v="isabelle_m19"/>
    <x v="3"/>
    <x v="9"/>
    <s v="Montreal"/>
    <n v="55"/>
    <s v="Female"/>
    <s v="isabelle.moreau19@email.ca"/>
    <s v="+1-514-555-0194"/>
    <d v="2022-06-22T00:00:00"/>
    <d v="2024-01-11T00:00:00"/>
    <n v="101000.6"/>
    <n v="52300.75"/>
    <n v="760"/>
    <n v="157000"/>
    <x v="0"/>
    <x v="0"/>
    <n v="0"/>
    <s v="Active"/>
    <n v="0.33312579617834392"/>
    <n v="4"/>
    <x v="2"/>
    <x v="4"/>
    <x v="2"/>
  </r>
  <r>
    <s v="Rahman Ali"/>
    <s v="rahman_ali20"/>
    <x v="1"/>
    <x v="36"/>
    <s v="Surabaya"/>
    <n v="46"/>
    <s v="Male"/>
    <s v="rahman.ali20@mail.id"/>
    <s v="+62-830-1234-5678"/>
    <d v="2024-05-08T00:00:00"/>
    <d v="2024-01-15T00:00:00"/>
    <n v="17400.25"/>
    <n v="10300.799999999999"/>
    <n v="695"/>
    <n v="57000"/>
    <x v="0"/>
    <x v="1"/>
    <n v="0"/>
    <s v="Active"/>
    <n v="0.18071578947368419"/>
    <n v="0"/>
    <x v="0"/>
    <x v="2"/>
    <x v="1"/>
  </r>
  <r>
    <s v="Sarah Johnson"/>
    <s v="sarah_j19"/>
    <x v="5"/>
    <x v="0"/>
    <s v="New York"/>
    <n v="49"/>
    <s v="Female"/>
    <s v="sarah.johnson19@email.com"/>
    <s v="+1-646-555-0198"/>
    <d v="2023-03-22T00:00:00"/>
    <d v="2024-01-12T00:00:00"/>
    <n v="35400.9"/>
    <n v="14000.25"/>
    <n v="755"/>
    <n v="79000"/>
    <x v="1"/>
    <x v="0"/>
    <n v="0"/>
    <s v="Active"/>
    <n v="0.17721835443037975"/>
    <n v="3"/>
    <x v="2"/>
    <x v="2"/>
    <x v="0"/>
  </r>
  <r>
    <s v="Wei Zhang"/>
    <s v="wei_zhang19"/>
    <x v="2"/>
    <x v="4"/>
    <s v="Beijing"/>
    <n v="67"/>
    <s v="Male"/>
    <s v="wei.zhang19@company.cn"/>
    <s v="+86-138-5678-9012"/>
    <d v="2019-10-22T00:00:00"/>
    <d v="2024-01-09T00:00:00"/>
    <n v="191400.4"/>
    <n v="105000.75"/>
    <n v="685"/>
    <n v="213000"/>
    <x v="2"/>
    <x v="0"/>
    <n v="0"/>
    <s v="Active"/>
    <n v="0.4929612676056338"/>
    <n v="6"/>
    <x v="0"/>
    <x v="4"/>
    <x v="3"/>
  </r>
  <r>
    <s v="Anna Kowalski"/>
    <s v="anna_k20"/>
    <x v="4"/>
    <x v="37"/>
    <s v="Warsaw"/>
    <n v="58"/>
    <s v="Female"/>
    <s v="anna.kowalski20@email.pl"/>
    <s v="+48-718-012-345"/>
    <d v="2021-07-22T00:00:00"/>
    <d v="2024-01-10T00:00:00"/>
    <n v="65400.800000000003"/>
    <n v="38500.6"/>
    <n v="715"/>
    <n v="112000"/>
    <x v="0"/>
    <x v="0"/>
    <n v="0"/>
    <s v="Active"/>
    <n v="0.34375535714285715"/>
    <n v="5"/>
    <x v="0"/>
    <x v="4"/>
    <x v="0"/>
  </r>
  <r>
    <s v="Mohammed Rahman"/>
    <s v="m_rahman20"/>
    <x v="3"/>
    <x v="29"/>
    <s v="Dhaka"/>
    <n v="61"/>
    <s v="Male"/>
    <s v="mohammed.rahman20@email.bd"/>
    <s v="+880-1812-234567"/>
    <d v="2021-04-22T00:00:00"/>
    <d v="2024-01-11T00:00:00"/>
    <n v="93200.25"/>
    <n v="48500.4"/>
    <n v="680"/>
    <n v="141000"/>
    <x v="0"/>
    <x v="0"/>
    <n v="0"/>
    <s v="Active"/>
    <n v="0.3439744680851064"/>
    <n v="4"/>
    <x v="0"/>
    <x v="4"/>
    <x v="2"/>
  </r>
  <r>
    <s v="Yumi Tanaka"/>
    <s v="yumi_tanaka19"/>
    <x v="6"/>
    <x v="1"/>
    <s v="Osaka"/>
    <n v="41"/>
    <s v="Female"/>
    <s v="yumi.tanaka19@edu.jp"/>
    <s v="+81-90-4567-8901"/>
    <d v="2024-05-22T00:00:00"/>
    <d v="2024-01-13T00:00:00"/>
    <n v="3750.4"/>
    <n v="12800.75"/>
    <n v="610"/>
    <n v="37000"/>
    <x v="2"/>
    <x v="1"/>
    <n v="0"/>
    <s v="Active"/>
    <n v="0.3459662162162162"/>
    <n v="2"/>
    <x v="3"/>
    <x v="0"/>
    <x v="1"/>
  </r>
  <r>
    <s v="Carlos Mendez"/>
    <s v="carlos_m19"/>
    <x v="0"/>
    <x v="13"/>
    <s v="Mexico City"/>
    <n v="73"/>
    <s v="Male"/>
    <s v="carlos.mendez19@mail.mx"/>
    <s v="+52-55-2345-0123"/>
    <d v="2018-12-22T00:00:00"/>
    <d v="2024-01-08T00:00:00"/>
    <n v="289400.8"/>
    <n v="96000.25"/>
    <n v="825"/>
    <n v="293000"/>
    <x v="1"/>
    <x v="0"/>
    <n v="0"/>
    <s v="Active"/>
    <n v="0.32764590443686009"/>
    <n v="7"/>
    <x v="1"/>
    <x v="4"/>
    <x v="3"/>
  </r>
  <r>
    <s v="Aisha Mohammed"/>
    <s v="aisha_m20"/>
    <x v="5"/>
    <x v="16"/>
    <s v="Nairobi"/>
    <n v="48"/>
    <s v="Female"/>
    <s v="aisha.mohammed20@email.ke"/>
    <s v="+254-742-345-678"/>
    <d v="2023-09-22T00:00:00"/>
    <d v="2024-01-14T00:00:00"/>
    <n v="32100.75"/>
    <n v="12400.4"/>
    <n v="725"/>
    <n v="69000"/>
    <x v="1"/>
    <x v="0"/>
    <n v="0"/>
    <s v="Active"/>
    <n v="0.1797159420289855"/>
    <n v="1"/>
    <x v="0"/>
    <x v="2"/>
    <x v="1"/>
  </r>
  <r>
    <s v="David Chen"/>
    <s v="david_chen20"/>
    <x v="2"/>
    <x v="23"/>
    <s v="Singapore"/>
    <n v="65"/>
    <s v="Male"/>
    <s v="david.chen20@company.sg"/>
    <s v="+65-0190-1234"/>
    <d v="2020-04-12T00:00:00"/>
    <d v="2024-01-09T00:00:00"/>
    <n v="169600.6"/>
    <n v="96000.9"/>
    <n v="675"/>
    <n v="193000"/>
    <x v="2"/>
    <x v="0"/>
    <n v="0"/>
    <s v="Active"/>
    <n v="0.49741398963730565"/>
    <n v="6"/>
    <x v="0"/>
    <x v="4"/>
    <x v="3"/>
  </r>
  <r>
    <s v="Maria Papadopoulos"/>
    <s v="maria_p20"/>
    <x v="4"/>
    <x v="38"/>
    <s v="Athens"/>
    <n v="56"/>
    <s v="Female"/>
    <s v="maria.papadopoulos20@email.gr"/>
    <s v="+30-710-123-4567"/>
    <d v="2022-05-22T00:00:00"/>
    <d v="2024-01-11T00:00:00"/>
    <n v="59600.4"/>
    <n v="34300.25"/>
    <n v="705"/>
    <n v="101000"/>
    <x v="0"/>
    <x v="0"/>
    <n v="0"/>
    <s v="Active"/>
    <n v="0.33960643564356435"/>
    <n v="4"/>
    <x v="0"/>
    <x v="4"/>
    <x v="0"/>
  </r>
  <r>
    <s v="James Wilson"/>
    <s v="j_wilson20"/>
    <x v="3"/>
    <x v="26"/>
    <s v="Melbourne"/>
    <n v="59"/>
    <s v="Male"/>
    <s v="james.wilson20@email.au"/>
    <s v="+61-442-345-678"/>
    <d v="2020-12-22T00:00:00"/>
    <d v="2024-01-10T00:00:00"/>
    <n v="106100.75"/>
    <n v="55400.800000000003"/>
    <n v="730"/>
    <n v="167000"/>
    <x v="0"/>
    <x v="0"/>
    <n v="0"/>
    <s v="Active"/>
    <n v="0.33174131736526946"/>
    <n v="5"/>
    <x v="0"/>
    <x v="4"/>
    <x v="2"/>
  </r>
  <r>
    <s v="Fatima Zahra"/>
    <s v="f_zahra20"/>
    <x v="1"/>
    <x v="25"/>
    <s v="Lahore"/>
    <n v="44"/>
    <s v="Female"/>
    <s v="fatima.zahra20@mail.pk"/>
    <s v="+92-340-0987654"/>
    <d v="2024-05-15T00:00:00"/>
    <d v="2024-01-15T00:00:00"/>
    <n v="15000.9"/>
    <n v="8900.75"/>
    <n v="685"/>
    <n v="54000"/>
    <x v="0"/>
    <x v="1"/>
    <n v="0"/>
    <s v="Active"/>
    <n v="0.1648287037037037"/>
    <n v="0"/>
    <x v="0"/>
    <x v="0"/>
    <x v="1"/>
  </r>
  <r>
    <s v="Kenji Yamada"/>
    <s v="kenji_y20"/>
    <x v="0"/>
    <x v="1"/>
    <s v="Tokyo"/>
    <n v="76"/>
    <s v="Male"/>
    <s v="kenji.yamada20@mail.jp"/>
    <s v="+81-80-0123-4567"/>
    <d v="2018-03-22T00:00:00"/>
    <d v="2024-01-08T00:00:00"/>
    <n v="300300.25"/>
    <n v="100000.4"/>
    <n v="840"/>
    <n v="308000"/>
    <x v="1"/>
    <x v="0"/>
    <n v="0"/>
    <s v="Active"/>
    <n v="0.32467662337662334"/>
    <n v="7"/>
    <x v="1"/>
    <x v="4"/>
    <x v="3"/>
  </r>
  <r>
    <s v="Ngozi Eze"/>
    <s v="ngozi_e20"/>
    <x v="2"/>
    <x v="6"/>
    <s v="Lagos"/>
    <n v="68"/>
    <s v="Female"/>
    <s v="ngozi.eze20@company.ng"/>
    <s v="+234-832-345-6789"/>
    <d v="2019-08-22T00:00:00"/>
    <d v="2024-01-09T00:00:00"/>
    <n v="180700.4"/>
    <n v="100000.75"/>
    <n v="650"/>
    <n v="203000"/>
    <x v="2"/>
    <x v="0"/>
    <n v="0"/>
    <s v="Active"/>
    <n v="0.49261453201970445"/>
    <n v="6"/>
    <x v="3"/>
    <x v="4"/>
    <x v="3"/>
  </r>
  <r>
    <s v="Thomas Schmidt"/>
    <s v="thomas_s20"/>
    <x v="3"/>
    <x v="7"/>
    <s v="Berlin"/>
    <n v="55"/>
    <s v="Male"/>
    <s v="thomas.schmidt20@email.de"/>
    <s v="+49-194-5678901"/>
    <d v="2022-12-22T00:00:00"/>
    <d v="2024-01-12T00:00:00"/>
    <n v="94300.4"/>
    <n v="49600.25"/>
    <n v="745"/>
    <n v="147000"/>
    <x v="0"/>
    <x v="0"/>
    <n v="0"/>
    <s v="Active"/>
    <n v="0.33741666666666664"/>
    <n v="3"/>
    <x v="0"/>
    <x v="4"/>
    <x v="2"/>
  </r>
  <r>
    <s v="Lina Chen"/>
    <s v="lina_c20"/>
    <x v="5"/>
    <x v="4"/>
    <s v="Beijing"/>
    <n v="50"/>
    <s v="Female"/>
    <s v="lina.chen20@mail.cn"/>
    <s v="+86-137-5678-9012"/>
    <d v="2023-06-22T00:00:00"/>
    <d v="2024-01-11T00:00:00"/>
    <n v="34300.800000000003"/>
    <n v="13600.9"/>
    <n v="765"/>
    <n v="79000"/>
    <x v="1"/>
    <x v="0"/>
    <n v="0"/>
    <s v="Active"/>
    <n v="0.1721632911392405"/>
    <n v="4"/>
    <x v="2"/>
    <x v="2"/>
    <x v="0"/>
  </r>
  <r>
    <s v="Ahmed Hassan"/>
    <s v="ahmed_h20"/>
    <x v="4"/>
    <x v="20"/>
    <s v="Alexandria"/>
    <n v="63"/>
    <s v="Male"/>
    <s v="ahmed.hassan20@email.eg"/>
    <s v="+20-122-210-9876"/>
    <d v="2021-06-22T00:00:00"/>
    <d v="2024-01-10T00:00:00"/>
    <n v="67600.75"/>
    <n v="40700.400000000001"/>
    <n v="675"/>
    <n v="119000"/>
    <x v="0"/>
    <x v="0"/>
    <n v="0"/>
    <s v="Active"/>
    <n v="0.3420201680672269"/>
    <n v="5"/>
    <x v="0"/>
    <x v="4"/>
    <x v="0"/>
  </r>
  <r>
    <s v="Sophie Martin"/>
    <s v="sophie_m20"/>
    <x v="6"/>
    <x v="10"/>
    <s v="Paris"/>
    <n v="42"/>
    <s v="Female"/>
    <s v="sophie.martin20@edu.fr"/>
    <s v="+33-6-2345-6789"/>
    <d v="2024-05-28T00:00:00"/>
    <d v="2024-01-13T00:00:00"/>
    <n v="4000.25"/>
    <n v="14000.6"/>
    <n v="615"/>
    <n v="39000"/>
    <x v="2"/>
    <x v="1"/>
    <n v="0"/>
    <s v="Active"/>
    <n v="0.35898974358974362"/>
    <n v="2"/>
    <x v="3"/>
    <x v="0"/>
    <x v="1"/>
  </r>
  <r>
    <s v="Raj Kumar"/>
    <s v="raj_kumar20"/>
    <x v="2"/>
    <x v="2"/>
    <s v="Mumbai"/>
    <n v="70"/>
    <s v="Male"/>
    <s v="raj.kumar20@company.in"/>
    <s v="+91-987-654-3210"/>
    <d v="2019-07-22T00:00:00"/>
    <d v="2024-01-08T00:00:00"/>
    <n v="215300.8"/>
    <n v="113000.25"/>
    <n v="660"/>
    <n v="238000"/>
    <x v="2"/>
    <x v="0"/>
    <n v="0"/>
    <s v="Active"/>
    <n v="0.4747909663865546"/>
    <n v="7"/>
    <x v="3"/>
    <x v="4"/>
    <x v="3"/>
  </r>
  <r>
    <s v="Maria Gonzalez"/>
    <s v="maria_g21"/>
    <x v="3"/>
    <x v="13"/>
    <s v="Guadalajara"/>
    <n v="57"/>
    <s v="Female"/>
    <s v="maria.gonzalez21@email.mx"/>
    <s v="+52-33-3456-0123"/>
    <d v="2021-11-22T00:00:00"/>
    <d v="2024-01-11T00:00:00"/>
    <n v="88700.9"/>
    <n v="46500.75"/>
    <n v="730"/>
    <n v="142000"/>
    <x v="0"/>
    <x v="0"/>
    <n v="0"/>
    <s v="Active"/>
    <n v="0.32747007042253523"/>
    <n v="4"/>
    <x v="0"/>
    <x v="4"/>
    <x v="2"/>
  </r>
  <r>
    <s v="Yuki Kobayashi"/>
    <s v="yuki_k20"/>
    <x v="1"/>
    <x v="1"/>
    <s v="Osaka"/>
    <n v="46"/>
    <s v="Female"/>
    <s v="yuki.kobayashi20@mail.jp"/>
    <s v="+81-90-1234-5678"/>
    <d v="2024-05-22T00:00:00"/>
    <d v="2024-01-14T00:00:00"/>
    <n v="16100.4"/>
    <n v="9000.25"/>
    <n v="705"/>
    <n v="56000"/>
    <x v="0"/>
    <x v="1"/>
    <n v="0"/>
    <s v="Active"/>
    <n v="0.16071874999999999"/>
    <n v="1"/>
    <x v="0"/>
    <x v="2"/>
    <x v="1"/>
  </r>
  <r>
    <s v="Kwame Asante"/>
    <s v="kwame_a20"/>
    <x v="5"/>
    <x v="15"/>
    <s v="Accra"/>
    <n v="51"/>
    <s v="Male"/>
    <s v="kwame.asante20@email.gh"/>
    <s v="+233-73-456-7890"/>
    <d v="2023-05-22T00:00:00"/>
    <d v="2024-01-12T00:00:00"/>
    <n v="33200.6"/>
    <n v="13000.8"/>
    <n v="710"/>
    <n v="72000"/>
    <x v="1"/>
    <x v="0"/>
    <n v="0"/>
    <s v="Active"/>
    <n v="0.18056666666666665"/>
    <n v="3"/>
    <x v="0"/>
    <x v="2"/>
    <x v="1"/>
  </r>
  <r>
    <s v="Anna Petrova"/>
    <s v="anna_p20"/>
    <x v="4"/>
    <x v="12"/>
    <s v="St. Petersburg"/>
    <n v="58"/>
    <s v="Female"/>
    <s v="anna.petrova20@email.ru"/>
    <s v="+7-921-987-65-43"/>
    <d v="2021-06-22T00:00:00"/>
    <d v="2024-01-10T00:00:00"/>
    <n v="64500.25"/>
    <n v="37600.9"/>
    <n v="695"/>
    <n v="107000"/>
    <x v="0"/>
    <x v="0"/>
    <n v="0"/>
    <s v="Active"/>
    <n v="0.35141028037383176"/>
    <n v="5"/>
    <x v="0"/>
    <x v="4"/>
    <x v="0"/>
  </r>
  <r>
    <s v="Liam O'Brien"/>
    <s v="liam_obrien20"/>
    <x v="2"/>
    <x v="11"/>
    <s v="Cork"/>
    <n v="66"/>
    <s v="Male"/>
    <s v="liam.obrien20@company.ie"/>
    <s v="+353-05-345-6789"/>
    <d v="2019-12-22T00:00:00"/>
    <d v="2024-01-09T00:00:00"/>
    <n v="147500.4"/>
    <n v="87000.6"/>
    <n v="670"/>
    <n v="174000"/>
    <x v="2"/>
    <x v="0"/>
    <n v="0"/>
    <s v="Active"/>
    <n v="0.50000344827586207"/>
    <n v="6"/>
    <x v="0"/>
    <x v="4"/>
    <x v="2"/>
  </r>
  <r>
    <s v="Ying Wang"/>
    <s v="ying_w20"/>
    <x v="0"/>
    <x v="4"/>
    <s v="Shanghai"/>
    <n v="74"/>
    <s v="Female"/>
    <s v="ying.wang20@mail.cn"/>
    <s v="+86-139-2345-6789"/>
    <d v="2018-10-22T00:00:00"/>
    <d v="2024-01-08T00:00:00"/>
    <n v="314400.75"/>
    <n v="104000.8"/>
    <n v="835"/>
    <n v="319000"/>
    <x v="1"/>
    <x v="0"/>
    <n v="0"/>
    <s v="Active"/>
    <n v="0.32602131661442008"/>
    <n v="7"/>
    <x v="1"/>
    <x v="4"/>
    <x v="3"/>
  </r>
  <r>
    <s v="Adeola Yusuf"/>
    <s v="adeola_y20"/>
    <x v="4"/>
    <x v="6"/>
    <s v="Port Harcourt"/>
    <n v="61"/>
    <s v="Female"/>
    <s v="adeola.yusuf20@email.ng"/>
    <s v="+234-833-456-7890"/>
    <d v="2021-05-22T00:00:00"/>
    <d v="2024-01-11T00:00:00"/>
    <n v="73200.600000000006"/>
    <n v="43200.25"/>
    <n v="665"/>
    <n v="127000"/>
    <x v="0"/>
    <x v="0"/>
    <n v="0"/>
    <s v="Active"/>
    <n v="0.34015944881889765"/>
    <n v="4"/>
    <x v="3"/>
    <x v="4"/>
    <x v="2"/>
  </r>
  <r>
    <s v="Marco Bianchi"/>
    <s v="marco_b20"/>
    <x v="3"/>
    <x v="18"/>
    <s v="Milan"/>
    <n v="53"/>
    <s v="Male"/>
    <s v="marco.bianchi20@email.it"/>
    <s v="+39-367-123-4567"/>
    <d v="2023-02-22T00:00:00"/>
    <d v="2024-01-12T00:00:00"/>
    <n v="96500.800000000003"/>
    <n v="50700.4"/>
    <n v="750"/>
    <n v="153000"/>
    <x v="0"/>
    <x v="0"/>
    <n v="0"/>
    <s v="Active"/>
    <n v="0.33137516339869283"/>
    <n v="3"/>
    <x v="2"/>
    <x v="2"/>
    <x v="2"/>
  </r>
  <r>
    <s v="Jennifer Kim"/>
    <s v="jennifer_k20"/>
    <x v="5"/>
    <x v="0"/>
    <s v="San Francisco"/>
    <n v="49"/>
    <s v="Female"/>
    <s v="jennifer.kim20@email.com"/>
    <s v="+1-415-555-0198"/>
    <d v="2023-08-22T00:00:00"/>
    <d v="2024-01-14T00:00:00"/>
    <n v="35400.9"/>
    <n v="14000.75"/>
    <n v="770"/>
    <n v="84000"/>
    <x v="1"/>
    <x v="0"/>
    <n v="0"/>
    <s v="Active"/>
    <n v="0.16667559523809525"/>
    <n v="1"/>
    <x v="2"/>
    <x v="2"/>
    <x v="0"/>
  </r>
  <r>
    <s v="Rahman Hussain"/>
    <s v="rahman_h20"/>
    <x v="2"/>
    <x v="25"/>
    <s v="Islamabad"/>
    <n v="72"/>
    <s v="Male"/>
    <s v="rahman.hussain20@company.pk"/>
    <s v="+92-319-0987654"/>
    <d v="2019-04-22T00:00:00"/>
    <d v="2024-01-08T00:00:00"/>
    <n v="200600.25"/>
    <n v="108000.8"/>
    <n v="645"/>
    <n v="224000"/>
    <x v="2"/>
    <x v="0"/>
    <n v="0"/>
    <s v="Active"/>
    <n v="0.48214642857142859"/>
    <n v="7"/>
    <x v="3"/>
    <x v="4"/>
    <x v="3"/>
  </r>
  <r>
    <s v="Sofia Martinez"/>
    <s v="sofia_m20"/>
    <x v="1"/>
    <x v="14"/>
    <s v="Barcelona"/>
    <n v="45"/>
    <s v="Female"/>
    <s v="sofia.martinez20@mail.es"/>
    <s v="+34-642-345-678"/>
    <d v="2024-05-28T00:00:00"/>
    <d v="2024-01-15T00:00:00"/>
    <n v="29200.5"/>
    <n v="13600.4"/>
    <n v="720"/>
    <n v="61000"/>
    <x v="1"/>
    <x v="0"/>
    <n v="0"/>
    <s v="Active"/>
    <n v="0.22295737704918031"/>
    <n v="0"/>
    <x v="0"/>
    <x v="2"/>
    <x v="1"/>
  </r>
  <r>
    <s v="Kenji Sato"/>
    <s v="kenji_sato21"/>
    <x v="6"/>
    <x v="1"/>
    <s v="Tokyo"/>
    <n v="41"/>
    <s v="Male"/>
    <s v="kenji.sato21@edu.jp"/>
    <s v="+81-90-4567-8901"/>
    <d v="2024-05-28T00:00:00"/>
    <d v="2024-01-13T00:00:00"/>
    <n v="3750.8"/>
    <n v="12400.25"/>
    <n v="605"/>
    <n v="37000"/>
    <x v="2"/>
    <x v="1"/>
    <n v="0"/>
    <s v="Active"/>
    <n v="0.33514189189189192"/>
    <n v="2"/>
    <x v="3"/>
    <x v="0"/>
    <x v="1"/>
  </r>
  <r>
    <s v="Fatoumata Bello"/>
    <s v="fatou_b20"/>
    <x v="3"/>
    <x v="19"/>
    <s v="Dakar"/>
    <n v="55"/>
    <s v="Female"/>
    <s v="fatoumata.bello20@email.sn"/>
    <s v="+221-97-123-4567"/>
    <d v="2022-10-22T00:00:00"/>
    <d v="2024-01-11T00:00:00"/>
    <n v="83200.399999999994"/>
    <n v="45400.75"/>
    <n v="710"/>
    <n v="135000"/>
    <x v="0"/>
    <x v="0"/>
    <n v="0"/>
    <s v="Active"/>
    <n v="0.33630185185185185"/>
    <n v="4"/>
    <x v="0"/>
    <x v="4"/>
    <x v="2"/>
  </r>
  <r>
    <s v="David Wilson"/>
    <s v="david_w20"/>
    <x v="2"/>
    <x v="3"/>
    <s v="London"/>
    <n v="69"/>
    <s v="Male"/>
    <s v="david.wilson20@company.co.uk"/>
    <s v="+44-79-4567-8901"/>
    <d v="2019-09-22T00:00:00"/>
    <d v="2024-01-09T00:00:00"/>
    <n v="180800.6"/>
    <n v="101000.25"/>
    <n v="675"/>
    <n v="204000"/>
    <x v="2"/>
    <x v="0"/>
    <n v="0"/>
    <s v="Active"/>
    <n v="0.49509926470588234"/>
    <n v="6"/>
    <x v="0"/>
    <x v="4"/>
    <x v="3"/>
  </r>
  <r>
    <s v="Lina Park"/>
    <s v="lina_park20"/>
    <x v="4"/>
    <x v="17"/>
    <s v="Busan"/>
    <n v="54"/>
    <s v="Female"/>
    <s v="lina.park20@email.kr"/>
    <s v="+82-10-3456-7890"/>
    <d v="2022-03-22T00:00:00"/>
    <d v="2024-01-10T00:00:00"/>
    <n v="59600.75"/>
    <n v="36500.800000000003"/>
    <n v="725"/>
    <n v="101000"/>
    <x v="0"/>
    <x v="0"/>
    <n v="0"/>
    <s v="Active"/>
    <n v="0.3613940594059406"/>
    <n v="5"/>
    <x v="0"/>
    <x v="2"/>
    <x v="0"/>
  </r>
  <r>
    <s v="Ahmed Al-Mansoori"/>
    <s v="ahmed_alm20"/>
    <x v="5"/>
    <x v="8"/>
    <s v="Abu Dhabi"/>
    <n v="52"/>
    <s v="Male"/>
    <s v="ahmed.almansoori20@email.ae"/>
    <s v="+971-50-567-8901"/>
    <d v="2023-06-22T00:00:00"/>
    <d v="2024-01-12T00:00:00"/>
    <n v="37600.400000000001"/>
    <n v="14800.9"/>
    <n v="740"/>
    <n v="87000"/>
    <x v="1"/>
    <x v="0"/>
    <n v="0"/>
    <s v="Active"/>
    <n v="0.17012528735632185"/>
    <n v="3"/>
    <x v="0"/>
    <x v="2"/>
    <x v="0"/>
  </r>
  <r>
    <s v="Maria Costa"/>
    <s v="maria_costa20"/>
    <x v="0"/>
    <x v="5"/>
    <s v="Rio de Janeiro"/>
    <n v="75"/>
    <s v="Female"/>
    <s v="maria.costa20@mail.com.br"/>
    <s v="+55-21-99967-8901"/>
    <d v="2018-06-22T00:00:00"/>
    <d v="2024-01-08T00:00:00"/>
    <n v="269700.90000000002"/>
    <n v="91000.6"/>
    <n v="830"/>
    <n v="299000"/>
    <x v="1"/>
    <x v="0"/>
    <n v="0"/>
    <s v="Active"/>
    <n v="0.30434983277591976"/>
    <n v="7"/>
    <x v="1"/>
    <x v="4"/>
    <x v="3"/>
  </r>
  <r>
    <s v="Chinedu Nwankwo"/>
    <s v="chinedu_n20"/>
    <x v="2"/>
    <x v="6"/>
    <s v="Abuja"/>
    <n v="67"/>
    <s v="Male"/>
    <s v="chinedu.nwankwo20@company.ng"/>
    <s v="+234-834-567-8901"/>
    <d v="2020-02-12T00:00:00"/>
    <d v="2024-01-09T00:00:00"/>
    <n v="158600.25"/>
    <n v="93000.4"/>
    <n v="655"/>
    <n v="189000"/>
    <x v="2"/>
    <x v="0"/>
    <n v="0"/>
    <s v="Active"/>
    <n v="0.49206560846560843"/>
    <n v="6"/>
    <x v="3"/>
    <x v="4"/>
    <x v="2"/>
  </r>
  <r>
    <s v="Isabelle Moreau"/>
    <s v="isabelle_m20"/>
    <x v="3"/>
    <x v="9"/>
    <s v="Vancouver"/>
    <n v="56"/>
    <s v="Female"/>
    <s v="isabelle.moreau20@email.ca"/>
    <s v="+1-604-555-0194"/>
    <d v="2022-07-22T00:00:00"/>
    <d v="2024-01-11T00:00:00"/>
    <n v="102100.6"/>
    <n v="53400.75"/>
    <n v="760"/>
    <n v="158000"/>
    <x v="0"/>
    <x v="0"/>
    <n v="0"/>
    <s v="Active"/>
    <n v="0.33797943037974681"/>
    <n v="4"/>
    <x v="2"/>
    <x v="4"/>
    <x v="2"/>
  </r>
  <r>
    <s v="Rahman Ali"/>
    <s v="rahman_ali21"/>
    <x v="1"/>
    <x v="36"/>
    <s v="Jakarta"/>
    <n v="47"/>
    <s v="Male"/>
    <s v="rahman.ali21@mail.id"/>
    <s v="+62-831-2345-6789"/>
    <d v="2024-05-28T00:00:00"/>
    <d v="2024-01-15T00:00:00"/>
    <n v="17900.25"/>
    <n v="10600.8"/>
    <n v="695"/>
    <n v="58000"/>
    <x v="0"/>
    <x v="1"/>
    <n v="0"/>
    <s v="Active"/>
    <n v="0.18277241379310344"/>
    <n v="0"/>
    <x v="0"/>
    <x v="2"/>
    <x v="1"/>
  </r>
  <r>
    <s v="Sarah Johnson"/>
    <s v="sarah_j20"/>
    <x v="5"/>
    <x v="0"/>
    <s v="Chicago"/>
    <n v="50"/>
    <s v="Female"/>
    <s v="sarah.johnson20@email.com"/>
    <s v="+1-773-555-0198"/>
    <d v="2023-04-22T00:00:00"/>
    <d v="2024-01-12T00:00:00"/>
    <n v="36500.9"/>
    <n v="14400.25"/>
    <n v="755"/>
    <n v="80000"/>
    <x v="1"/>
    <x v="0"/>
    <n v="0"/>
    <s v="Active"/>
    <n v="0.18000312500000001"/>
    <n v="3"/>
    <x v="2"/>
    <x v="2"/>
    <x v="0"/>
  </r>
  <r>
    <s v="Wei Zhang"/>
    <s v="wei_zhang20"/>
    <x v="2"/>
    <x v="4"/>
    <s v="Beijing"/>
    <n v="68"/>
    <s v="Male"/>
    <s v="wei.zhang20@company.cn"/>
    <s v="+86-138-6789-0123"/>
    <d v="2019-11-22T00:00:00"/>
    <d v="2024-01-09T00:00:00"/>
    <n v="191500.4"/>
    <n v="106000.75"/>
    <n v="685"/>
    <n v="214000"/>
    <x v="2"/>
    <x v="0"/>
    <n v="0"/>
    <s v="Active"/>
    <n v="0.49533060747663549"/>
    <n v="6"/>
    <x v="0"/>
    <x v="4"/>
    <x v="3"/>
  </r>
  <r>
    <s v="Anna Kowalski"/>
    <s v="anna_k21"/>
    <x v="4"/>
    <x v="37"/>
    <s v="Warsaw"/>
    <n v="59"/>
    <s v="Female"/>
    <s v="anna.kowalski21@email.pl"/>
    <s v="+48-719-123-456"/>
    <d v="2021-08-22T00:00:00"/>
    <d v="2024-01-10T00:00:00"/>
    <n v="66500.800000000003"/>
    <n v="39600.6"/>
    <n v="715"/>
    <n v="113000"/>
    <x v="0"/>
    <x v="0"/>
    <n v="0"/>
    <s v="Active"/>
    <n v="0.35044778761061945"/>
    <n v="5"/>
    <x v="0"/>
    <x v="4"/>
    <x v="0"/>
  </r>
  <r>
    <s v="Mohammed Rahman"/>
    <s v="m_rahman21"/>
    <x v="3"/>
    <x v="29"/>
    <s v="Chittagong"/>
    <n v="62"/>
    <s v="Male"/>
    <s v="mohammed.rahman21@email.bd"/>
    <s v="+880-1812-345678"/>
    <d v="2021-05-22T00:00:00"/>
    <d v="2024-01-11T00:00:00"/>
    <n v="94300.25"/>
    <n v="49600.4"/>
    <n v="680"/>
    <n v="142000"/>
    <x v="0"/>
    <x v="0"/>
    <n v="0"/>
    <s v="Active"/>
    <n v="0.34929859154929577"/>
    <n v="4"/>
    <x v="0"/>
    <x v="4"/>
    <x v="2"/>
  </r>
  <r>
    <s v="Yumi Tanaka"/>
    <s v="yumi_tanaka20"/>
    <x v="6"/>
    <x v="1"/>
    <s v="Osaka"/>
    <n v="42"/>
    <s v="Female"/>
    <s v="yumi.tanaka20@edu.jp"/>
    <s v="+81-90-5678-9012"/>
    <d v="2024-06-05T00:00:00"/>
    <d v="2024-01-13T00:00:00"/>
    <n v="3850.4"/>
    <n v="13000.75"/>
    <n v="610"/>
    <n v="38000"/>
    <x v="2"/>
    <x v="1"/>
    <n v="0"/>
    <s v="Active"/>
    <n v="0.34212500000000001"/>
    <n v="2"/>
    <x v="3"/>
    <x v="0"/>
    <x v="1"/>
  </r>
  <r>
    <s v="Carlos Mendez"/>
    <s v="carlos_m20"/>
    <x v="0"/>
    <x v="13"/>
    <s v="Mexico City"/>
    <n v="74"/>
    <s v="Male"/>
    <s v="carlos.mendez20@mail.mx"/>
    <s v="+52-55-3456-0123"/>
    <d v="2019-01-22T00:00:00"/>
    <d v="2024-01-08T00:00:00"/>
    <n v="289500.79999999999"/>
    <n v="97000.25"/>
    <n v="825"/>
    <n v="294000"/>
    <x v="1"/>
    <x v="0"/>
    <n v="0"/>
    <s v="Active"/>
    <n v="0.32993282312925171"/>
    <n v="7"/>
    <x v="1"/>
    <x v="4"/>
    <x v="3"/>
  </r>
  <r>
    <s v="Aisha Mohammed"/>
    <s v="aisha_m21"/>
    <x v="5"/>
    <x v="16"/>
    <s v="Mombasa"/>
    <n v="49"/>
    <s v="Female"/>
    <s v="aisha.mohammed21@email.ke"/>
    <s v="+254-743-456-789"/>
    <d v="2023-10-22T00:00:00"/>
    <d v="2024-01-14T00:00:00"/>
    <n v="33200.75"/>
    <n v="12800.4"/>
    <n v="725"/>
    <n v="70000"/>
    <x v="1"/>
    <x v="0"/>
    <n v="0"/>
    <s v="Active"/>
    <n v="0.18286285714285713"/>
    <n v="1"/>
    <x v="0"/>
    <x v="2"/>
    <x v="1"/>
  </r>
  <r>
    <s v="David Chen"/>
    <s v="david_chen21"/>
    <x v="2"/>
    <x v="23"/>
    <s v="Singapore"/>
    <n v="66"/>
    <s v="Male"/>
    <s v="david.chen21@company.sg"/>
    <s v="+65-0290-1234"/>
    <d v="2020-05-12T00:00:00"/>
    <d v="2024-01-09T00:00:00"/>
    <n v="169700.6"/>
    <n v="97000.9"/>
    <n v="675"/>
    <n v="194000"/>
    <x v="2"/>
    <x v="0"/>
    <n v="0"/>
    <s v="Active"/>
    <n v="0.50000463917525773"/>
    <n v="6"/>
    <x v="0"/>
    <x v="4"/>
    <x v="3"/>
  </r>
  <r>
    <s v="Maria Papadopoulos"/>
    <s v="maria_p21"/>
    <x v="4"/>
    <x v="38"/>
    <s v="Athens"/>
    <n v="57"/>
    <s v="Female"/>
    <s v="maria.papadopoulos21@email.gr"/>
    <s v="+30-711-234-5678"/>
    <d v="2022-06-22T00:00:00"/>
    <d v="2024-01-11T00:00:00"/>
    <n v="60700.4"/>
    <n v="35400.25"/>
    <n v="705"/>
    <n v="102000"/>
    <x v="0"/>
    <x v="0"/>
    <n v="0"/>
    <s v="Active"/>
    <n v="0.3470612745098039"/>
    <n v="4"/>
    <x v="0"/>
    <x v="4"/>
    <x v="0"/>
  </r>
  <r>
    <s v="James Wilson"/>
    <s v="j_wilson21"/>
    <x v="3"/>
    <x v="26"/>
    <s v="Melbourne"/>
    <n v="60"/>
    <s v="Male"/>
    <s v="james.wilson21@email.au"/>
    <s v="+61-443-456-789"/>
    <d v="2021-01-22T00:00:00"/>
    <d v="2024-01-10T00:00:00"/>
    <n v="107100.75"/>
    <n v="56500.800000000003"/>
    <n v="730"/>
    <n v="168000"/>
    <x v="0"/>
    <x v="0"/>
    <n v="0"/>
    <s v="Active"/>
    <n v="0.33631428571428573"/>
    <n v="5"/>
    <x v="0"/>
    <x v="4"/>
    <x v="2"/>
  </r>
  <r>
    <s v="Fatima Zahra"/>
    <s v="f_zahra21"/>
    <x v="1"/>
    <x v="25"/>
    <s v="Karachi"/>
    <n v="45"/>
    <s v="Female"/>
    <s v="fatima.zahra21@mail.pk"/>
    <s v="+92-341-9876543"/>
    <d v="2024-05-28T00:00:00"/>
    <d v="2024-01-15T00:00:00"/>
    <n v="15400.9"/>
    <n v="9100.75"/>
    <n v="685"/>
    <n v="55000"/>
    <x v="0"/>
    <x v="1"/>
    <n v="0"/>
    <s v="Active"/>
    <n v="0.16546818181818182"/>
    <n v="0"/>
    <x v="0"/>
    <x v="2"/>
    <x v="1"/>
  </r>
  <r>
    <s v="Kenji Yamada"/>
    <s v="kenji_y21"/>
    <x v="0"/>
    <x v="1"/>
    <s v="Tokyo"/>
    <n v="77"/>
    <s v="Male"/>
    <s v="kenji.yamada21@mail.jp"/>
    <s v="+81-80-1234-5678"/>
    <d v="2018-04-22T00:00:00"/>
    <d v="2024-01-08T00:00:00"/>
    <n v="300400.25"/>
    <n v="101000.4"/>
    <n v="840"/>
    <n v="309000"/>
    <x v="1"/>
    <x v="0"/>
    <n v="0"/>
    <s v="Active"/>
    <n v="0.3268621359223301"/>
    <n v="7"/>
    <x v="1"/>
    <x v="4"/>
    <x v="3"/>
  </r>
  <r>
    <s v="Ngozi Eze"/>
    <s v="ngozi_e21"/>
    <x v="2"/>
    <x v="6"/>
    <s v="Lagos"/>
    <n v="69"/>
    <s v="Female"/>
    <s v="ngozi.eze21@company.ng"/>
    <s v="+234-833-456-7890"/>
    <d v="2019-09-22T00:00:00"/>
    <d v="2024-01-09T00:00:00"/>
    <n v="180800.4"/>
    <n v="101000.75"/>
    <n v="650"/>
    <n v="204000"/>
    <x v="2"/>
    <x v="0"/>
    <n v="0"/>
    <s v="Active"/>
    <n v="0.49510171568627453"/>
    <n v="6"/>
    <x v="3"/>
    <x v="4"/>
    <x v="3"/>
  </r>
  <r>
    <s v="Thomas Schmidt"/>
    <s v="thomas_s21"/>
    <x v="3"/>
    <x v="7"/>
    <s v="Hamburg"/>
    <n v="56"/>
    <s v="Male"/>
    <s v="thomas.schmidt21@email.de"/>
    <s v="+49-195-6789012"/>
    <d v="2023-01-22T00:00:00"/>
    <d v="2024-01-12T00:00:00"/>
    <n v="95400.4"/>
    <n v="50700.25"/>
    <n v="745"/>
    <n v="148000"/>
    <x v="0"/>
    <x v="0"/>
    <n v="0"/>
    <s v="Active"/>
    <n v="0.34256925675675676"/>
    <n v="3"/>
    <x v="0"/>
    <x v="4"/>
    <x v="2"/>
  </r>
  <r>
    <s v="Lina Chen"/>
    <s v="lina_c21"/>
    <x v="5"/>
    <x v="4"/>
    <s v="Shanghai"/>
    <n v="51"/>
    <s v="Female"/>
    <s v="lina.chen21@mail.cn"/>
    <s v="+86-137-6789-0123"/>
    <d v="2023-07-22T00:00:00"/>
    <d v="2024-01-11T00:00:00"/>
    <n v="35400.800000000003"/>
    <n v="14000.9"/>
    <n v="765"/>
    <n v="80000"/>
    <x v="1"/>
    <x v="0"/>
    <n v="0"/>
    <s v="Active"/>
    <n v="0.17501125000000001"/>
    <n v="4"/>
    <x v="2"/>
    <x v="2"/>
    <x v="0"/>
  </r>
  <r>
    <s v="Ahmed Hassan"/>
    <s v="ahmed_h21"/>
    <x v="4"/>
    <x v="20"/>
    <s v="Cairo"/>
    <n v="64"/>
    <s v="Male"/>
    <s v="ahmed.hassan21@email.eg"/>
    <s v="+20-122-098-7654"/>
    <d v="2021-07-22T00:00:00"/>
    <d v="2024-01-10T00:00:00"/>
    <n v="68700.75"/>
    <n v="41800.400000000001"/>
    <n v="675"/>
    <n v="120000"/>
    <x v="0"/>
    <x v="0"/>
    <n v="0"/>
    <s v="Active"/>
    <n v="0.34833666666666668"/>
    <n v="5"/>
    <x v="0"/>
    <x v="4"/>
    <x v="0"/>
  </r>
  <r>
    <s v="Sophie Martin"/>
    <s v="sophie_m21"/>
    <x v="6"/>
    <x v="10"/>
    <s v="Lyon"/>
    <n v="43"/>
    <s v="Female"/>
    <s v="sophie.martin21@edu.fr"/>
    <s v="+33-6-3456-7890"/>
    <d v="2024-06-12T00:00:00"/>
    <d v="2024-01-13T00:00:00"/>
    <n v="4100.25"/>
    <n v="14200.6"/>
    <n v="615"/>
    <n v="40000"/>
    <x v="2"/>
    <x v="1"/>
    <n v="0"/>
    <s v="Active"/>
    <n v="0.35501500000000002"/>
    <n v="2"/>
    <x v="3"/>
    <x v="0"/>
    <x v="1"/>
  </r>
  <r>
    <s v="Raj Kumar"/>
    <s v="raj_kumar21"/>
    <x v="2"/>
    <x v="2"/>
    <s v="Delhi"/>
    <n v="71"/>
    <s v="Male"/>
    <s v="raj.kumar21@company.in"/>
    <s v="+91-987-654-3210"/>
    <d v="2019-08-22T00:00:00"/>
    <d v="2024-01-08T00:00:00"/>
    <n v="215400.8"/>
    <n v="114000.25"/>
    <n v="660"/>
    <n v="239000"/>
    <x v="2"/>
    <x v="0"/>
    <n v="0"/>
    <s v="Active"/>
    <n v="0.47698849372384938"/>
    <n v="7"/>
    <x v="3"/>
    <x v="4"/>
    <x v="3"/>
  </r>
  <r>
    <s v="Maria Gonzalez"/>
    <s v="maria_g22"/>
    <x v="3"/>
    <x v="13"/>
    <s v="Mexico City"/>
    <n v="58"/>
    <s v="Female"/>
    <s v="maria.gonzalez22@email.mx"/>
    <s v="+52-55-4567-0123"/>
    <d v="2021-12-22T00:00:00"/>
    <d v="2024-01-11T00:00:00"/>
    <n v="89800.9"/>
    <n v="47600.75"/>
    <n v="730"/>
    <n v="143000"/>
    <x v="0"/>
    <x v="0"/>
    <n v="0"/>
    <s v="Active"/>
    <n v="0.33287237762237765"/>
    <n v="4"/>
    <x v="0"/>
    <x v="4"/>
    <x v="2"/>
  </r>
  <r>
    <s v="Yuki Kobayashi"/>
    <s v="yuki_k21"/>
    <x v="1"/>
    <x v="1"/>
    <s v="Osaka"/>
    <n v="47"/>
    <s v="Female"/>
    <s v="yuki.kobayashi21@mail.jp"/>
    <s v="+81-90-2345-6789"/>
    <d v="2024-06-08T00:00:00"/>
    <d v="2024-01-14T00:00:00"/>
    <n v="16500.400000000001"/>
    <n v="9200.25"/>
    <n v="705"/>
    <n v="57000"/>
    <x v="0"/>
    <x v="1"/>
    <n v="0"/>
    <s v="Active"/>
    <n v="0.16140789473684211"/>
    <n v="1"/>
    <x v="0"/>
    <x v="2"/>
    <x v="1"/>
  </r>
  <r>
    <s v="Kwame Asante"/>
    <s v="kwame_a21"/>
    <x v="5"/>
    <x v="15"/>
    <s v="Accra"/>
    <n v="52"/>
    <s v="Male"/>
    <s v="kwame.asante21@email.gh"/>
    <s v="+233-74-567-8901"/>
    <d v="2023-06-22T00:00:00"/>
    <d v="2024-01-12T00:00:00"/>
    <n v="34300.6"/>
    <n v="13400.8"/>
    <n v="710"/>
    <n v="73000"/>
    <x v="1"/>
    <x v="0"/>
    <n v="0"/>
    <s v="Active"/>
    <n v="0.183572602739726"/>
    <n v="3"/>
    <x v="0"/>
    <x v="2"/>
    <x v="1"/>
  </r>
  <r>
    <s v="Anna Petrova"/>
    <s v="anna_p21"/>
    <x v="4"/>
    <x v="12"/>
    <s v="Moscow"/>
    <n v="59"/>
    <s v="Female"/>
    <s v="anna.petrova21@email.ru"/>
    <s v="+7-921-876-54-32"/>
    <d v="2021-07-22T00:00:00"/>
    <d v="2024-01-10T00:00:00"/>
    <n v="65600.25"/>
    <n v="38700.9"/>
    <n v="695"/>
    <n v="108000"/>
    <x v="0"/>
    <x v="0"/>
    <n v="0"/>
    <s v="Active"/>
    <n v="0.35834166666666667"/>
    <n v="5"/>
    <x v="0"/>
    <x v="4"/>
    <x v="0"/>
  </r>
  <r>
    <s v="Liam O'Brien"/>
    <s v="liam_obrien21"/>
    <x v="2"/>
    <x v="11"/>
    <s v="Dublin"/>
    <n v="67"/>
    <s v="Male"/>
    <s v="liam.obrien21@company.ie"/>
    <s v="+353-06-456-7890"/>
    <d v="2020-01-22T00:00:00"/>
    <d v="2024-01-09T00:00:00"/>
    <n v="147600.4"/>
    <n v="88000.6"/>
    <n v="670"/>
    <n v="175000"/>
    <x v="2"/>
    <x v="0"/>
    <n v="0"/>
    <s v="Active"/>
    <n v="0.50286057142857143"/>
    <n v="6"/>
    <x v="0"/>
    <x v="4"/>
    <x v="2"/>
  </r>
  <r>
    <s v="Ying Wang"/>
    <s v="ying_w21"/>
    <x v="0"/>
    <x v="4"/>
    <s v="Beijing"/>
    <n v="75"/>
    <s v="Female"/>
    <s v="ying.wang21@mail.cn"/>
    <s v="+86-139-3456-7890"/>
    <d v="2018-11-22T00:00:00"/>
    <d v="2024-01-08T00:00:00"/>
    <n v="314500.75"/>
    <n v="105000.8"/>
    <n v="835"/>
    <n v="320000"/>
    <x v="1"/>
    <x v="0"/>
    <n v="0"/>
    <s v="Active"/>
    <n v="0.32812750000000002"/>
    <n v="7"/>
    <x v="1"/>
    <x v="4"/>
    <x v="3"/>
  </r>
  <r>
    <s v="Adeola Yusuf"/>
    <s v="adeola_y21"/>
    <x v="4"/>
    <x v="6"/>
    <s v="Abuja"/>
    <n v="62"/>
    <s v="Female"/>
    <s v="adeola.yusuf21@email.ng"/>
    <s v="+234-834-567-8901"/>
    <d v="2021-06-22T00:00:00"/>
    <d v="2024-01-11T00:00:00"/>
    <n v="74300.600000000006"/>
    <n v="44300.25"/>
    <n v="665"/>
    <n v="128000"/>
    <x v="0"/>
    <x v="0"/>
    <n v="0"/>
    <s v="Active"/>
    <n v="0.34609570312499999"/>
    <n v="4"/>
    <x v="3"/>
    <x v="4"/>
    <x v="2"/>
  </r>
  <r>
    <s v="Marco Bianchi"/>
    <s v="marco_b21"/>
    <x v="3"/>
    <x v="18"/>
    <s v="Rome"/>
    <n v="54"/>
    <s v="Male"/>
    <s v="marco.bianchi21@email.it"/>
    <s v="+39-368-234-5678"/>
    <d v="2023-03-22T00:00:00"/>
    <d v="2024-01-12T00:00:00"/>
    <n v="97600.8"/>
    <n v="51800.4"/>
    <n v="750"/>
    <n v="154000"/>
    <x v="0"/>
    <x v="0"/>
    <n v="0"/>
    <s v="Active"/>
    <n v="0.33636623376623376"/>
    <n v="3"/>
    <x v="2"/>
    <x v="2"/>
    <x v="2"/>
  </r>
  <r>
    <s v="Jennifer Kim"/>
    <s v="jennifer_k21"/>
    <x v="5"/>
    <x v="0"/>
    <s v="Seattle"/>
    <n v="50"/>
    <s v="Female"/>
    <s v="jennifer.kim21@email.com"/>
    <s v="+1-206-555-0194"/>
    <d v="2023-09-22T00:00:00"/>
    <d v="2024-01-14T00:00:00"/>
    <n v="36500.9"/>
    <n v="14400.75"/>
    <n v="770"/>
    <n v="85000"/>
    <x v="1"/>
    <x v="0"/>
    <n v="0"/>
    <s v="Active"/>
    <n v="0.16942058823529413"/>
    <n v="1"/>
    <x v="2"/>
    <x v="2"/>
    <x v="0"/>
  </r>
  <r>
    <s v="Rahman Hussain"/>
    <s v="rahman_h21"/>
    <x v="2"/>
    <x v="25"/>
    <s v="Lahore"/>
    <n v="73"/>
    <s v="Male"/>
    <s v="rahman.hussain21@company.pk"/>
    <s v="+92-320-9876543"/>
    <d v="2019-05-22T00:00:00"/>
    <d v="2024-01-08T00:00:00"/>
    <n v="200700.25"/>
    <n v="109000.8"/>
    <n v="645"/>
    <n v="225000"/>
    <x v="2"/>
    <x v="0"/>
    <n v="0"/>
    <s v="Active"/>
    <n v="0.48444799999999999"/>
    <n v="7"/>
    <x v="3"/>
    <x v="4"/>
    <x v="3"/>
  </r>
  <r>
    <s v="Sofia Martinez"/>
    <s v="sofia_m21"/>
    <x v="1"/>
    <x v="14"/>
    <s v="Madrid"/>
    <n v="46"/>
    <s v="Female"/>
    <s v="sofia.martinez21@mail.es"/>
    <s v="+34-643-456-789"/>
    <d v="2024-06-12T00:00:00"/>
    <d v="2024-01-15T00:00:00"/>
    <n v="30200.5"/>
    <n v="14000.4"/>
    <n v="720"/>
    <n v="62000"/>
    <x v="1"/>
    <x v="0"/>
    <n v="0"/>
    <s v="Active"/>
    <n v="0.22581290322580644"/>
    <n v="0"/>
    <x v="0"/>
    <x v="2"/>
    <x v="1"/>
  </r>
  <r>
    <s v="Kenji Sato"/>
    <s v="kenji_sato22"/>
    <x v="6"/>
    <x v="1"/>
    <s v="Tokyo"/>
    <n v="42"/>
    <s v="Male"/>
    <s v="kenji.sato22@edu.jp"/>
    <s v="+81-90-5678-9012"/>
    <d v="2024-06-15T00:00:00"/>
    <d v="2024-01-13T00:00:00"/>
    <n v="3850.8"/>
    <n v="12600.25"/>
    <n v="605"/>
    <n v="38000"/>
    <x v="2"/>
    <x v="1"/>
    <n v="0"/>
    <s v="Active"/>
    <n v="0.33158552631578947"/>
    <n v="2"/>
    <x v="3"/>
    <x v="0"/>
    <x v="1"/>
  </r>
  <r>
    <s v="Fatoumata Bello"/>
    <s v="fatou_b21"/>
    <x v="3"/>
    <x v="19"/>
    <s v="Dakar"/>
    <n v="56"/>
    <s v="Female"/>
    <s v="fatoumata.bello21@email.sn"/>
    <s v="+221-98-234-5678"/>
    <d v="2022-11-22T00:00:00"/>
    <d v="2024-01-11T00:00:00"/>
    <n v="84300.4"/>
    <n v="46500.75"/>
    <n v="710"/>
    <n v="136000"/>
    <x v="0"/>
    <x v="0"/>
    <n v="0"/>
    <s v="Active"/>
    <n v="0.3419172794117647"/>
    <n v="4"/>
    <x v="0"/>
    <x v="4"/>
    <x v="2"/>
  </r>
  <r>
    <s v="David Wilson"/>
    <s v="david_w21"/>
    <x v="2"/>
    <x v="3"/>
    <s v="Manchester"/>
    <n v="70"/>
    <s v="Male"/>
    <s v="david.wilson21@company.co.uk"/>
    <s v="+44-79-5678-9012"/>
    <d v="2019-10-22T00:00:00"/>
    <d v="2024-01-09T00:00:00"/>
    <n v="180900.6"/>
    <n v="102000.25"/>
    <n v="675"/>
    <n v="205000"/>
    <x v="2"/>
    <x v="0"/>
    <n v="0"/>
    <s v="Active"/>
    <n v="0.49756219512195121"/>
    <n v="6"/>
    <x v="0"/>
    <x v="4"/>
    <x v="3"/>
  </r>
  <r>
    <s v="Lina Park"/>
    <s v="lina_park21"/>
    <x v="4"/>
    <x v="17"/>
    <s v="Seoul"/>
    <n v="55"/>
    <s v="Female"/>
    <s v="lina.park21@email.kr"/>
    <s v="+82-10-4567-8901"/>
    <d v="2022-04-22T00:00:00"/>
    <d v="2024-01-10T00:00:00"/>
    <n v="60700.75"/>
    <n v="37600.800000000003"/>
    <n v="725"/>
    <n v="102000"/>
    <x v="0"/>
    <x v="0"/>
    <n v="0"/>
    <s v="Active"/>
    <n v="0.36863529411764706"/>
    <n v="5"/>
    <x v="0"/>
    <x v="4"/>
    <x v="0"/>
  </r>
  <r>
    <s v="Ahmed Al-Mansoori"/>
    <s v="ahmed_alm21"/>
    <x v="5"/>
    <x v="8"/>
    <s v="Dubai"/>
    <n v="53"/>
    <s v="Male"/>
    <s v="ahmed.almansoori21@email.ae"/>
    <s v="+971-50-678-9012"/>
    <d v="2023-07-22T00:00:00"/>
    <d v="2024-01-12T00:00:00"/>
    <n v="38700.400000000001"/>
    <n v="15200.9"/>
    <n v="740"/>
    <n v="88000"/>
    <x v="1"/>
    <x v="0"/>
    <n v="0"/>
    <s v="Active"/>
    <n v="0.17273749999999999"/>
    <n v="3"/>
    <x v="0"/>
    <x v="2"/>
    <x v="0"/>
  </r>
  <r>
    <s v="Maria Costa"/>
    <s v="maria_costa21"/>
    <x v="0"/>
    <x v="5"/>
    <s v="São Paulo"/>
    <n v="76"/>
    <s v="Female"/>
    <s v="maria.costa21@mail.com.br"/>
    <s v="+55-11-99978-9012"/>
    <d v="2018-07-22T00:00:00"/>
    <d v="2024-01-08T00:00:00"/>
    <n v="269800.90000000002"/>
    <n v="92000.6"/>
    <n v="830"/>
    <n v="300000"/>
    <x v="1"/>
    <x v="0"/>
    <n v="0"/>
    <s v="Active"/>
    <n v="0.3066686666666667"/>
    <n v="7"/>
    <x v="1"/>
    <x v="4"/>
    <x v="3"/>
  </r>
  <r>
    <s v="Chinedu Nwankwo"/>
    <s v="chinedu_n21"/>
    <x v="2"/>
    <x v="6"/>
    <s v="Port Harcourt"/>
    <n v="68"/>
    <s v="Male"/>
    <s v="chinedu.nwankwo21@company.ng"/>
    <s v="+234-835-678-9012"/>
    <d v="2020-03-12T00:00:00"/>
    <d v="2024-01-09T00:00:00"/>
    <n v="158700.25"/>
    <n v="94000.4"/>
    <n v="655"/>
    <n v="190000"/>
    <x v="2"/>
    <x v="0"/>
    <n v="0"/>
    <s v="Active"/>
    <n v="0.494738947368421"/>
    <n v="6"/>
    <x v="3"/>
    <x v="4"/>
    <x v="2"/>
  </r>
  <r>
    <s v="Isabelle Moreau"/>
    <s v="isabelle_m21"/>
    <x v="3"/>
    <x v="9"/>
    <s v="Toronto"/>
    <n v="57"/>
    <s v="Female"/>
    <s v="isabelle.moreau21@email.ca"/>
    <s v="+1-647-555-0198"/>
    <d v="2022-08-22T00:00:00"/>
    <d v="2024-01-11T00:00:00"/>
    <n v="103200.6"/>
    <n v="54500.75"/>
    <n v="760"/>
    <n v="159000"/>
    <x v="0"/>
    <x v="0"/>
    <n v="0"/>
    <s v="Active"/>
    <n v="0.34277201257861634"/>
    <n v="4"/>
    <x v="2"/>
    <x v="4"/>
    <x v="2"/>
  </r>
  <r>
    <s v="Rahman Ali"/>
    <s v="rahman_ali22"/>
    <x v="1"/>
    <x v="36"/>
    <s v="Surabaya"/>
    <n v="48"/>
    <s v="Male"/>
    <s v="rahman.ali22@mail.id"/>
    <s v="+62-832-3456-7890"/>
    <d v="2024-06-08T00:00:00"/>
    <d v="2024-01-15T00:00:00"/>
    <n v="18400.25"/>
    <n v="10900.8"/>
    <n v="695"/>
    <n v="59000"/>
    <x v="0"/>
    <x v="1"/>
    <n v="0"/>
    <s v="Active"/>
    <n v="0.1847593220338983"/>
    <n v="0"/>
    <x v="0"/>
    <x v="2"/>
    <x v="1"/>
  </r>
  <r>
    <s v="Sarah Johnson"/>
    <s v="sarah_j21"/>
    <x v="5"/>
    <x v="0"/>
    <s v="New York"/>
    <n v="51"/>
    <s v="Female"/>
    <s v="sarah.johnson21@email.com"/>
    <s v="+1-646-555-0194"/>
    <d v="2023-05-22T00:00:00"/>
    <d v="2024-01-12T00:00:00"/>
    <n v="37600.9"/>
    <n v="14800.25"/>
    <n v="755"/>
    <n v="81000"/>
    <x v="1"/>
    <x v="0"/>
    <n v="0"/>
    <s v="Active"/>
    <n v="0.18271913580246912"/>
    <n v="3"/>
    <x v="2"/>
    <x v="2"/>
    <x v="0"/>
  </r>
  <r>
    <s v="Wei Zhang"/>
    <s v="wei_zhang21"/>
    <x v="2"/>
    <x v="4"/>
    <s v="Beijing"/>
    <n v="69"/>
    <s v="Male"/>
    <s v="wei.zhang21@company.cn"/>
    <s v="+86-138-7890-1234"/>
    <d v="2019-12-22T00:00:00"/>
    <d v="2024-01-09T00:00:00"/>
    <n v="191600.4"/>
    <n v="107000.75"/>
    <n v="685"/>
    <n v="215000"/>
    <x v="2"/>
    <x v="0"/>
    <n v="0"/>
    <s v="Active"/>
    <n v="0.49767790697674419"/>
    <n v="6"/>
    <x v="0"/>
    <x v="4"/>
    <x v="3"/>
  </r>
  <r>
    <s v="Anna Kowalski"/>
    <s v="anna_k22"/>
    <x v="4"/>
    <x v="37"/>
    <s v="Warsaw"/>
    <n v="60"/>
    <s v="Female"/>
    <s v="anna.kowalski22@email.pl"/>
    <s v="+48-720-234-567"/>
    <d v="2021-09-22T00:00:00"/>
    <d v="2024-01-10T00:00:00"/>
    <n v="67600.800000000003"/>
    <n v="40700.6"/>
    <n v="715"/>
    <n v="114000"/>
    <x v="0"/>
    <x v="0"/>
    <n v="0"/>
    <s v="Active"/>
    <n v="0.35702280701754385"/>
    <n v="5"/>
    <x v="0"/>
    <x v="4"/>
    <x v="0"/>
  </r>
  <r>
    <s v="Mohammed Rahman"/>
    <s v="m_rahman22"/>
    <x v="3"/>
    <x v="29"/>
    <s v="Chittagong"/>
    <n v="63"/>
    <s v="Male"/>
    <s v="mohammed.rahman22@email.bd"/>
    <s v="+880-1812-456789"/>
    <d v="2021-06-22T00:00:00"/>
    <d v="2024-01-11T00:00:00"/>
    <n v="95400.25"/>
    <n v="50700.4"/>
    <n v="680"/>
    <n v="143000"/>
    <x v="0"/>
    <x v="0"/>
    <n v="0"/>
    <s v="Active"/>
    <n v="0.35454825174825177"/>
    <n v="4"/>
    <x v="0"/>
    <x v="4"/>
    <x v="2"/>
  </r>
  <r>
    <s v="Yumi Tanaka"/>
    <s v="yumi_tanaka21"/>
    <x v="6"/>
    <x v="1"/>
    <s v="Osaka"/>
    <n v="43"/>
    <s v="Female"/>
    <s v="yumi.tanaka21@edu.jp"/>
    <s v="+81-90-6789-0123"/>
    <d v="2024-06-22T00:00:00"/>
    <d v="2024-01-13T00:00:00"/>
    <n v="3950.4"/>
    <n v="13200.75"/>
    <n v="610"/>
    <n v="39000"/>
    <x v="2"/>
    <x v="1"/>
    <n v="0"/>
    <s v="Active"/>
    <n v="0.33848076923076925"/>
    <n v="2"/>
    <x v="3"/>
    <x v="0"/>
    <x v="1"/>
  </r>
  <r>
    <s v="Carlos Mendez"/>
    <s v="carlos_m21"/>
    <x v="0"/>
    <x v="13"/>
    <s v="Mexico City"/>
    <n v="75"/>
    <s v="Male"/>
    <s v="carlos.mendez21@mail.mx"/>
    <s v="+52-55-4567-0123"/>
    <d v="2019-02-22T00:00:00"/>
    <d v="2024-01-08T00:00:00"/>
    <n v="289600.8"/>
    <n v="98000.25"/>
    <n v="825"/>
    <n v="295000"/>
    <x v="1"/>
    <x v="0"/>
    <n v="0"/>
    <s v="Active"/>
    <n v="0.33220423728813558"/>
    <n v="7"/>
    <x v="1"/>
    <x v="4"/>
    <x v="3"/>
  </r>
  <r>
    <s v="Aisha Mohammed"/>
    <s v="aisha_m22"/>
    <x v="5"/>
    <x v="16"/>
    <s v="Nairobi"/>
    <n v="50"/>
    <s v="Female"/>
    <s v="aisha.mohammed22@email.ke"/>
    <s v="+254-744-567-890"/>
    <d v="2023-11-22T00:00:00"/>
    <d v="2024-01-14T00:00:00"/>
    <n v="34300.75"/>
    <n v="13200.4"/>
    <n v="725"/>
    <n v="71000"/>
    <x v="1"/>
    <x v="0"/>
    <n v="0"/>
    <s v="Active"/>
    <n v="0.18592112676056338"/>
    <n v="1"/>
    <x v="0"/>
    <x v="2"/>
    <x v="1"/>
  </r>
  <r>
    <s v="David Chen"/>
    <s v="david_chen22"/>
    <x v="2"/>
    <x v="23"/>
    <s v="Singapore"/>
    <n v="67"/>
    <s v="Male"/>
    <s v="david.chen22@company.sg"/>
    <s v="+65-0390-1234"/>
    <d v="2020-06-12T00:00:00"/>
    <d v="2024-01-09T00:00:00"/>
    <n v="169800.6"/>
    <n v="98000.9"/>
    <n v="675"/>
    <n v="195000"/>
    <x v="2"/>
    <x v="0"/>
    <n v="0"/>
    <s v="Active"/>
    <n v="0.50256871794871794"/>
    <n v="6"/>
    <x v="0"/>
    <x v="4"/>
    <x v="3"/>
  </r>
  <r>
    <s v="Maria Papadopoulos"/>
    <s v="maria_p22"/>
    <x v="4"/>
    <x v="38"/>
    <s v="Athens"/>
    <n v="58"/>
    <s v="Female"/>
    <s v="maria.papadopoulos22@email.gr"/>
    <s v="+30-712-345-6789"/>
    <d v="2022-07-22T00:00:00"/>
    <d v="2024-01-11T00:00:00"/>
    <n v="61800.4"/>
    <n v="36500.25"/>
    <n v="705"/>
    <n v="103000"/>
    <x v="0"/>
    <x v="0"/>
    <n v="0"/>
    <s v="Active"/>
    <n v="0.35437135922330099"/>
    <n v="4"/>
    <x v="0"/>
    <x v="4"/>
    <x v="0"/>
  </r>
  <r>
    <s v="James Wilson"/>
    <s v="j_wilson22"/>
    <x v="3"/>
    <x v="26"/>
    <s v="Sydney"/>
    <n v="61"/>
    <s v="Male"/>
    <s v="james.wilson22@email.au"/>
    <s v="+61-444-567-890"/>
    <d v="2021-02-22T00:00:00"/>
    <d v="2024-01-10T00:00:00"/>
    <n v="108100.75"/>
    <n v="57600.800000000003"/>
    <n v="730"/>
    <n v="169000"/>
    <x v="0"/>
    <x v="0"/>
    <n v="0"/>
    <s v="Active"/>
    <n v="0.34083313609467458"/>
    <n v="5"/>
    <x v="0"/>
    <x v="4"/>
    <x v="2"/>
  </r>
  <r>
    <s v="Fatima Zahra"/>
    <s v="f_zahra22"/>
    <x v="1"/>
    <x v="25"/>
    <s v="Islamabad"/>
    <n v="46"/>
    <s v="Female"/>
    <s v="fatima.zahra22@mail.pk"/>
    <s v="+92-342-8765432"/>
    <d v="2024-06-15T00:00:00"/>
    <d v="2024-01-15T00:00:00"/>
    <n v="15800.9"/>
    <n v="9300.75"/>
    <n v="685"/>
    <n v="56000"/>
    <x v="0"/>
    <x v="1"/>
    <n v="0"/>
    <s v="Active"/>
    <n v="0.16608482142857142"/>
    <n v="0"/>
    <x v="0"/>
    <x v="2"/>
    <x v="1"/>
  </r>
  <r>
    <s v="Kenji Yamada"/>
    <s v="kenji_y22"/>
    <x v="0"/>
    <x v="1"/>
    <s v="Tokyo"/>
    <n v="78"/>
    <s v="Male"/>
    <s v="kenji.yamada22@mail.jp"/>
    <s v="+81-80-2345-6789"/>
    <d v="2018-05-22T00:00:00"/>
    <d v="2024-01-08T00:00:00"/>
    <n v="300500.25"/>
    <n v="102000.4"/>
    <n v="840"/>
    <n v="310000"/>
    <x v="1"/>
    <x v="0"/>
    <n v="0"/>
    <s v="Active"/>
    <n v="0.32903354838709675"/>
    <n v="7"/>
    <x v="1"/>
    <x v="4"/>
    <x v="3"/>
  </r>
  <r>
    <s v="Ngozi Eze"/>
    <s v="ngozi_e22"/>
    <x v="2"/>
    <x v="6"/>
    <s v="Lagos"/>
    <n v="70"/>
    <s v="Female"/>
    <s v="ngozi.eze22@company.ng"/>
    <s v="+234-834-567-8901"/>
    <d v="2019-10-22T00:00:00"/>
    <d v="2024-01-09T00:00:00"/>
    <n v="180900.4"/>
    <n v="102000.75"/>
    <n v="650"/>
    <n v="205000"/>
    <x v="2"/>
    <x v="0"/>
    <n v="0"/>
    <s v="Active"/>
    <n v="0.49756463414634144"/>
    <n v="6"/>
    <x v="3"/>
    <x v="4"/>
    <x v="3"/>
  </r>
  <r>
    <s v="Thomas Schmidt"/>
    <s v="thomas_s22"/>
    <x v="3"/>
    <x v="7"/>
    <s v="Munich"/>
    <n v="57"/>
    <s v="Male"/>
    <s v="thomas.schmidt22@email.de"/>
    <s v="+49-196-7890123"/>
    <d v="2023-02-22T00:00:00"/>
    <d v="2024-01-12T00:00:00"/>
    <n v="96500.4"/>
    <n v="51800.25"/>
    <n v="745"/>
    <n v="149000"/>
    <x v="0"/>
    <x v="0"/>
    <n v="0"/>
    <s v="Active"/>
    <n v="0.34765268456375836"/>
    <n v="3"/>
    <x v="0"/>
    <x v="4"/>
    <x v="2"/>
  </r>
  <r>
    <s v="Lina Chen"/>
    <s v="lina_c22"/>
    <x v="5"/>
    <x v="4"/>
    <s v="Beijing"/>
    <n v="52"/>
    <s v="Female"/>
    <s v="lina.chen22@mail.cn"/>
    <s v="+86-137-7890-1234"/>
    <d v="2023-08-22T00:00:00"/>
    <d v="2024-01-11T00:00:00"/>
    <n v="36500.800000000003"/>
    <n v="14400.9"/>
    <n v="765"/>
    <n v="81000"/>
    <x v="1"/>
    <x v="0"/>
    <n v="0"/>
    <s v="Active"/>
    <n v="0.17778888888888889"/>
    <n v="4"/>
    <x v="2"/>
    <x v="2"/>
    <x v="0"/>
  </r>
  <r>
    <s v="Ahmed Hassan"/>
    <s v="ahmed_h22"/>
    <x v="4"/>
    <x v="20"/>
    <s v="Alexandria"/>
    <n v="65"/>
    <s v="Male"/>
    <s v="ahmed.hassan22@email.eg"/>
    <s v="+20-122-987-6543"/>
    <d v="2021-08-22T00:00:00"/>
    <d v="2024-01-10T00:00:00"/>
    <n v="69800.75"/>
    <n v="42900.4"/>
    <n v="675"/>
    <n v="121000"/>
    <x v="0"/>
    <x v="0"/>
    <n v="0"/>
    <s v="Active"/>
    <n v="0.35454876033057853"/>
    <n v="5"/>
    <x v="0"/>
    <x v="4"/>
    <x v="0"/>
  </r>
  <r>
    <s v="Sophie Martin"/>
    <s v="sophie_m22"/>
    <x v="6"/>
    <x v="10"/>
    <s v="Paris"/>
    <n v="44"/>
    <s v="Female"/>
    <s v="sophie.martin22@edu.fr"/>
    <s v="+33-6-4567-8901"/>
    <d v="2024-06-28T00:00:00"/>
    <d v="2024-01-13T00:00:00"/>
    <n v="4200.25"/>
    <n v="14400.6"/>
    <n v="615"/>
    <n v="41000"/>
    <x v="2"/>
    <x v="1"/>
    <n v="0"/>
    <s v="Active"/>
    <n v="0.35123414634146344"/>
    <n v="2"/>
    <x v="3"/>
    <x v="0"/>
    <x v="1"/>
  </r>
  <r>
    <s v="Raj Kumar"/>
    <s v="raj_kumar22"/>
    <x v="2"/>
    <x v="2"/>
    <s v="Delhi"/>
    <n v="72"/>
    <s v="Male"/>
    <s v="raj.kumar22@company.in"/>
    <s v="+91-987-654-3210"/>
    <d v="2019-09-22T00:00:00"/>
    <d v="2024-01-08T00:00:00"/>
    <n v="215500.79999999999"/>
    <n v="115000.25"/>
    <n v="660"/>
    <n v="240000"/>
    <x v="2"/>
    <x v="0"/>
    <n v="0"/>
    <s v="Active"/>
    <n v="0.47916770833333333"/>
    <n v="7"/>
    <x v="3"/>
    <x v="4"/>
    <x v="3"/>
  </r>
  <r>
    <s v="Maria Gonzalez"/>
    <s v="maria_g23"/>
    <x v="3"/>
    <x v="13"/>
    <s v="Monterrey"/>
    <n v="59"/>
    <s v="Female"/>
    <s v="maria.gonzalez23@email.mx"/>
    <s v="+52-81-5678-0123"/>
    <d v="2022-01-22T00:00:00"/>
    <d v="2024-01-11T00:00:00"/>
    <n v="90900.9"/>
    <n v="48700.75"/>
    <n v="730"/>
    <n v="144000"/>
    <x v="0"/>
    <x v="0"/>
    <n v="0"/>
    <s v="Active"/>
    <n v="0.3381996527777778"/>
    <n v="4"/>
    <x v="0"/>
    <x v="4"/>
    <x v="2"/>
  </r>
  <r>
    <s v="Yuki Kobayashi"/>
    <s v="yuki_k22"/>
    <x v="1"/>
    <x v="1"/>
    <s v="Osaka"/>
    <n v="48"/>
    <s v="Female"/>
    <s v="yuki.kobayashi22@mail.jp"/>
    <s v="+81-90-3456-7890"/>
    <d v="2024-06-22T00:00:00"/>
    <d v="2024-01-14T00:00:00"/>
    <n v="16900.400000000001"/>
    <n v="9400.25"/>
    <n v="705"/>
    <n v="58000"/>
    <x v="0"/>
    <x v="1"/>
    <n v="0"/>
    <s v="Active"/>
    <n v="0.16207327586206896"/>
    <n v="1"/>
    <x v="0"/>
    <x v="2"/>
    <x v="1"/>
  </r>
  <r>
    <s v="Kwame Asante"/>
    <s v="kwame_a22"/>
    <x v="5"/>
    <x v="15"/>
    <s v="Accra"/>
    <n v="53"/>
    <s v="Male"/>
    <s v="kwame.asante22@email.gh"/>
    <s v="+233-75-678-9012"/>
    <d v="2023-07-22T00:00:00"/>
    <d v="2024-01-12T00:00:00"/>
    <n v="35400.6"/>
    <n v="13800.8"/>
    <n v="710"/>
    <n v="74000"/>
    <x v="1"/>
    <x v="0"/>
    <n v="0"/>
    <s v="Active"/>
    <n v="0.18649729729729728"/>
    <n v="3"/>
    <x v="0"/>
    <x v="2"/>
    <x v="1"/>
  </r>
  <r>
    <s v="Anna Petrova"/>
    <s v="anna_p22"/>
    <x v="4"/>
    <x v="12"/>
    <s v="St. Petersburg"/>
    <n v="60"/>
    <s v="Female"/>
    <s v="anna.petrova22@email.ru"/>
    <s v="+7-921-765-43-21"/>
    <d v="2021-08-22T00:00:00"/>
    <d v="2024-01-10T00:00:00"/>
    <n v="66700.25"/>
    <n v="39800.9"/>
    <n v="695"/>
    <n v="109000"/>
    <x v="0"/>
    <x v="0"/>
    <n v="0"/>
    <s v="Active"/>
    <n v="0.36514587155963302"/>
    <n v="5"/>
    <x v="0"/>
    <x v="4"/>
    <x v="0"/>
  </r>
  <r>
    <s v="Liam O'Brien"/>
    <s v="liam_obrien22"/>
    <x v="2"/>
    <x v="11"/>
    <s v="Dublin"/>
    <n v="68"/>
    <s v="Male"/>
    <s v="liam.obrien22@company.ie"/>
    <s v="+353-07-567-8901"/>
    <d v="2020-02-22T00:00:00"/>
    <d v="2024-01-09T00:00:00"/>
    <n v="147700.4"/>
    <n v="89000.6"/>
    <n v="670"/>
    <n v="176000"/>
    <x v="2"/>
    <x v="0"/>
    <n v="0"/>
    <s v="Active"/>
    <n v="0.50568522727272736"/>
    <n v="6"/>
    <x v="0"/>
    <x v="4"/>
    <x v="2"/>
  </r>
  <r>
    <s v="Ying Wang"/>
    <s v="ying_w22"/>
    <x v="0"/>
    <x v="4"/>
    <s v="Shanghai"/>
    <n v="76"/>
    <s v="Female"/>
    <s v="ying.wang22@mail.cn"/>
    <s v="+86-139-4567-8901"/>
    <d v="2018-12-22T00:00:00"/>
    <d v="2024-01-08T00:00:00"/>
    <n v="314600.75"/>
    <n v="106000.8"/>
    <n v="835"/>
    <n v="321000"/>
    <x v="1"/>
    <x v="0"/>
    <n v="0"/>
    <s v="Active"/>
    <n v="0.33022056074766354"/>
    <n v="7"/>
    <x v="1"/>
    <x v="4"/>
    <x v="3"/>
  </r>
  <r>
    <s v="Adeola Yusuf"/>
    <s v="adeola_y22"/>
    <x v="4"/>
    <x v="6"/>
    <s v="Lagos"/>
    <n v="63"/>
    <s v="Female"/>
    <s v="adeola.yusuf22@email.ng"/>
    <s v="+234-835-678-9012"/>
    <d v="2021-07-22T00:00:00"/>
    <d v="2024-01-11T00:00:00"/>
    <n v="75400.600000000006"/>
    <n v="45400.25"/>
    <n v="665"/>
    <n v="129000"/>
    <x v="0"/>
    <x v="0"/>
    <n v="0"/>
    <s v="Active"/>
    <n v="0.35193992248062017"/>
    <n v="4"/>
    <x v="3"/>
    <x v="4"/>
    <x v="2"/>
  </r>
  <r>
    <s v="Marco Bianchi"/>
    <s v="marco_b22"/>
    <x v="3"/>
    <x v="18"/>
    <s v="Milan"/>
    <n v="55"/>
    <s v="Male"/>
    <s v="marco.bianchi22@email.it"/>
    <s v="+39-369-345-6789"/>
    <d v="2023-04-22T00:00:00"/>
    <d v="2024-01-12T00:00:00"/>
    <n v="98700.800000000003"/>
    <n v="52900.4"/>
    <n v="750"/>
    <n v="155000"/>
    <x v="0"/>
    <x v="0"/>
    <n v="0"/>
    <s v="Active"/>
    <n v="0.34129290322580647"/>
    <n v="3"/>
    <x v="2"/>
    <x v="4"/>
    <x v="2"/>
  </r>
  <r>
    <s v="Jennifer Kim"/>
    <s v="jennifer_k22"/>
    <x v="5"/>
    <x v="0"/>
    <s v="Los Angeles"/>
    <n v="51"/>
    <s v="Female"/>
    <s v="jennifer.kim22@email.com"/>
    <s v="+1-310-555-0198"/>
    <d v="2023-10-22T00:00:00"/>
    <d v="2024-01-14T00:00:00"/>
    <n v="37600.9"/>
    <n v="14800.75"/>
    <n v="770"/>
    <n v="86000"/>
    <x v="1"/>
    <x v="0"/>
    <n v="0"/>
    <s v="Active"/>
    <n v="0.17210174418604651"/>
    <n v="1"/>
    <x v="2"/>
    <x v="2"/>
    <x v="0"/>
  </r>
  <r>
    <s v="Rahman Hussain"/>
    <s v="rahman_h22"/>
    <x v="2"/>
    <x v="25"/>
    <s v="Karachi"/>
    <n v="74"/>
    <s v="Male"/>
    <s v="rahman.hussain22@company.pk"/>
    <s v="+92-321-8765432"/>
    <d v="2019-06-22T00:00:00"/>
    <d v="2024-01-08T00:00:00"/>
    <n v="200800.25"/>
    <n v="110000.8"/>
    <n v="645"/>
    <n v="226000"/>
    <x v="2"/>
    <x v="0"/>
    <n v="0"/>
    <s v="Active"/>
    <n v="0.48672920353982302"/>
    <n v="7"/>
    <x v="3"/>
    <x v="4"/>
    <x v="3"/>
  </r>
  <r>
    <s v="Sofia Martinez"/>
    <s v="sofia_m22"/>
    <x v="1"/>
    <x v="14"/>
    <s v="Valencia"/>
    <n v="47"/>
    <s v="Female"/>
    <s v="sofia.martinez22@mail.es"/>
    <s v="+34-644-567-890"/>
    <d v="2024-06-28T00:00:00"/>
    <d v="2024-01-15T00:00:00"/>
    <n v="31200.5"/>
    <n v="14400.4"/>
    <n v="720"/>
    <n v="63000"/>
    <x v="1"/>
    <x v="0"/>
    <n v="0"/>
    <s v="Active"/>
    <n v="0.22857777777777777"/>
    <n v="0"/>
    <x v="0"/>
    <x v="2"/>
    <x v="1"/>
  </r>
  <r>
    <s v="Kenji Sato"/>
    <s v="kenji_sato23"/>
    <x v="6"/>
    <x v="1"/>
    <s v="Tokyo"/>
    <n v="43"/>
    <s v="Male"/>
    <s v="kenji.sato23@edu.jp"/>
    <s v="+81-90-6789-0123"/>
    <d v="2024-06-28T00:00:00"/>
    <d v="2024-01-13T00:00:00"/>
    <n v="3950.8"/>
    <n v="12800.25"/>
    <n v="605"/>
    <n v="39000"/>
    <x v="2"/>
    <x v="1"/>
    <n v="0"/>
    <s v="Active"/>
    <n v="0.32821153846153844"/>
    <n v="2"/>
    <x v="3"/>
    <x v="0"/>
    <x v="1"/>
  </r>
  <r>
    <s v="Fatoumata Bello"/>
    <s v="fatou_b22"/>
    <x v="3"/>
    <x v="19"/>
    <s v="Dakar"/>
    <n v="57"/>
    <s v="Female"/>
    <s v="fatoumata.bello22@email.sn"/>
    <s v="+221-99-345-6789"/>
    <d v="2022-12-22T00:00:00"/>
    <d v="2024-01-11T00:00:00"/>
    <n v="85400.4"/>
    <n v="47600.75"/>
    <n v="710"/>
    <n v="137000"/>
    <x v="0"/>
    <x v="0"/>
    <n v="0"/>
    <s v="Active"/>
    <n v="0.34745072992700732"/>
    <n v="4"/>
    <x v="0"/>
    <x v="4"/>
    <x v="2"/>
  </r>
  <r>
    <s v="David Wilson"/>
    <s v="david_w22"/>
    <x v="2"/>
    <x v="3"/>
    <s v="London"/>
    <n v="71"/>
    <s v="Male"/>
    <s v="david.wilson22@company.co.uk"/>
    <s v="+44-79-6789-0123"/>
    <d v="2019-11-22T00:00:00"/>
    <d v="2024-01-09T00:00:00"/>
    <n v="181000.6"/>
    <n v="103000.25"/>
    <n v="675"/>
    <n v="206000"/>
    <x v="2"/>
    <x v="0"/>
    <n v="0"/>
    <s v="Active"/>
    <n v="0.50000121359223304"/>
    <n v="6"/>
    <x v="0"/>
    <x v="4"/>
    <x v="3"/>
  </r>
  <r>
    <s v="Lina Park"/>
    <s v="lina_park22"/>
    <x v="4"/>
    <x v="17"/>
    <s v="Seoul"/>
    <n v="56"/>
    <s v="Female"/>
    <s v="lina.park22@email.kr"/>
    <s v="+82-10-5678-9012"/>
    <d v="2022-05-22T00:00:00"/>
    <d v="2024-01-10T00:00:00"/>
    <n v="61800.75"/>
    <n v="38700.800000000003"/>
    <n v="725"/>
    <n v="103000"/>
    <x v="0"/>
    <x v="0"/>
    <n v="0"/>
    <s v="Active"/>
    <n v="0.37573592233009712"/>
    <n v="5"/>
    <x v="0"/>
    <x v="4"/>
    <x v="0"/>
  </r>
  <r>
    <s v="Ahmed Al-Mansoori"/>
    <s v="ahmed_alm22"/>
    <x v="5"/>
    <x v="8"/>
    <s v="Dubai"/>
    <n v="54"/>
    <s v="Male"/>
    <s v="ahmed.almansoori22@email.ae"/>
    <s v="+971-50-789-0123"/>
    <d v="2023-08-22T00:00:00"/>
    <d v="2024-01-12T00:00:00"/>
    <n v="39800.400000000001"/>
    <n v="15600.9"/>
    <n v="740"/>
    <n v="89000"/>
    <x v="1"/>
    <x v="0"/>
    <n v="0"/>
    <s v="Active"/>
    <n v="0.17529101123595506"/>
    <n v="3"/>
    <x v="0"/>
    <x v="2"/>
    <x v="0"/>
  </r>
  <r>
    <s v="Maria Costa"/>
    <s v="maria_costa22"/>
    <x v="0"/>
    <x v="5"/>
    <s v="São Paulo"/>
    <n v="77"/>
    <s v="Female"/>
    <s v="maria.costa22@mail.com.br"/>
    <s v="+55-11-99989-0123"/>
    <d v="2018-08-22T00:00:00"/>
    <d v="2024-01-08T00:00:00"/>
    <n v="269900.90000000002"/>
    <n v="93000.6"/>
    <n v="830"/>
    <n v="301000"/>
    <x v="1"/>
    <x v="0"/>
    <n v="0"/>
    <s v="Active"/>
    <n v="0.30897209302325584"/>
    <n v="7"/>
    <x v="1"/>
    <x v="4"/>
    <x v="3"/>
  </r>
  <r>
    <s v="Chinedu Nwankwo"/>
    <s v="chinedu_n22"/>
    <x v="2"/>
    <x v="6"/>
    <s v="Abuja"/>
    <n v="69"/>
    <s v="Male"/>
    <s v="chinedu.nwankwo22@company.ng"/>
    <s v="+234-836-789-0123"/>
    <d v="2020-04-12T00:00:00"/>
    <d v="2024-01-09T00:00:00"/>
    <n v="158800.25"/>
    <n v="95000.4"/>
    <n v="655"/>
    <n v="191000"/>
    <x v="2"/>
    <x v="0"/>
    <n v="0"/>
    <s v="Active"/>
    <n v="0.49738429319371724"/>
    <n v="6"/>
    <x v="3"/>
    <x v="4"/>
    <x v="3"/>
  </r>
  <r>
    <s v="Isabelle Moreau"/>
    <s v="isabelle_m22"/>
    <x v="3"/>
    <x v="9"/>
    <s v="Montreal"/>
    <n v="58"/>
    <s v="Female"/>
    <s v="isabelle.moreau22@email.ca"/>
    <s v="+1-514-555-0198"/>
    <d v="2022-09-22T00:00:00"/>
    <d v="2024-01-11T00:00:00"/>
    <n v="104300.6"/>
    <n v="55600.75"/>
    <n v="760"/>
    <n v="160000"/>
    <x v="0"/>
    <x v="0"/>
    <n v="0"/>
    <s v="Active"/>
    <n v="0.34750468750000002"/>
    <n v="4"/>
    <x v="2"/>
    <x v="4"/>
    <x v="2"/>
  </r>
  <r>
    <s v="Rahman Ali"/>
    <s v="rahman_ali23"/>
    <x v="1"/>
    <x v="36"/>
    <s v="Jakarta"/>
    <n v="49"/>
    <s v="Male"/>
    <s v="rahman.ali23@mail.id"/>
    <s v="+62-833-4567-8901"/>
    <d v="2024-06-28T00:00:00"/>
    <d v="2024-01-15T00:00:00"/>
    <n v="18900.25"/>
    <n v="11200.8"/>
    <n v="695"/>
    <n v="60000"/>
    <x v="0"/>
    <x v="1"/>
    <n v="0"/>
    <s v="Active"/>
    <n v="0.18667999999999998"/>
    <n v="0"/>
    <x v="0"/>
    <x v="2"/>
    <x v="1"/>
  </r>
  <r>
    <s v="Sarah Johnson"/>
    <s v="sarah_j22"/>
    <x v="5"/>
    <x v="0"/>
    <s v="Chicago"/>
    <n v="52"/>
    <s v="Female"/>
    <s v="sarah.johnson22@email.com"/>
    <s v="+1-773-555-0194"/>
    <d v="2023-06-22T00:00:00"/>
    <d v="2024-01-12T00:00:00"/>
    <n v="38700.9"/>
    <n v="15200.25"/>
    <n v="755"/>
    <n v="82000"/>
    <x v="1"/>
    <x v="0"/>
    <n v="0"/>
    <s v="Active"/>
    <n v="0.1853689024390244"/>
    <n v="3"/>
    <x v="2"/>
    <x v="2"/>
    <x v="0"/>
  </r>
  <r>
    <s v="Wei Zhang"/>
    <s v="wei_zhang22"/>
    <x v="2"/>
    <x v="4"/>
    <s v="Beijing"/>
    <n v="70"/>
    <s v="Male"/>
    <s v="wei.zhang22@company.cn"/>
    <s v="+86-138-8901-2345"/>
    <d v="2020-01-22T00:00:00"/>
    <d v="2024-01-09T00:00:00"/>
    <n v="191700.4"/>
    <n v="108000.75"/>
    <n v="685"/>
    <n v="216000"/>
    <x v="2"/>
    <x v="0"/>
    <n v="0"/>
    <s v="Active"/>
    <n v="0.50000347222222219"/>
    <n v="6"/>
    <x v="0"/>
    <x v="4"/>
    <x v="3"/>
  </r>
  <r>
    <s v="Anna Kowalski"/>
    <s v="anna_k23"/>
    <x v="4"/>
    <x v="37"/>
    <s v="Warsaw"/>
    <n v="61"/>
    <s v="Female"/>
    <s v="anna.kowalski23@email.pl"/>
    <s v="+48-721-345-678"/>
    <d v="2021-10-22T00:00:00"/>
    <d v="2024-01-10T00:00:00"/>
    <n v="68700.800000000003"/>
    <n v="41800.6"/>
    <n v="715"/>
    <n v="115000"/>
    <x v="0"/>
    <x v="0"/>
    <n v="0"/>
    <s v="Active"/>
    <n v="0.36348347826086957"/>
    <n v="5"/>
    <x v="0"/>
    <x v="4"/>
    <x v="0"/>
  </r>
  <r>
    <s v="Mohammed Rahman"/>
    <s v="m_rahman23"/>
    <x v="3"/>
    <x v="29"/>
    <s v="Dhaka"/>
    <n v="64"/>
    <s v="Male"/>
    <s v="mohammed.rahman23@email.bd"/>
    <s v="+880-1812-567890"/>
    <d v="2021-07-22T00:00:00"/>
    <d v="2024-01-11T00:00:00"/>
    <n v="96500.25"/>
    <n v="51800.4"/>
    <n v="680"/>
    <n v="144000"/>
    <x v="0"/>
    <x v="0"/>
    <n v="0"/>
    <s v="Active"/>
    <n v="0.35972500000000002"/>
    <n v="4"/>
    <x v="0"/>
    <x v="4"/>
    <x v="2"/>
  </r>
  <r>
    <s v="Yumi Tanaka"/>
    <s v="yumi_tanaka22"/>
    <x v="6"/>
    <x v="1"/>
    <s v="Osaka"/>
    <n v="44"/>
    <s v="Female"/>
    <s v="yumi.tanaka22@edu.jp"/>
    <s v="+81-90-7890-1234"/>
    <d v="2024-07-05T00:00:00"/>
    <d v="2024-01-13T00:00:00"/>
    <n v="4050.4"/>
    <n v="13400.75"/>
    <n v="610"/>
    <n v="40000"/>
    <x v="2"/>
    <x v="1"/>
    <n v="0"/>
    <s v="Active"/>
    <n v="0.33501874999999998"/>
    <n v="2"/>
    <x v="3"/>
    <x v="0"/>
    <x v="1"/>
  </r>
  <r>
    <s v="Carlos Mendez"/>
    <s v="carlos_m22"/>
    <x v="0"/>
    <x v="13"/>
    <s v="Mexico City"/>
    <n v="76"/>
    <s v="Male"/>
    <s v="carlos.mendez22@mail.mx"/>
    <s v="+52-55-5678-0123"/>
    <d v="2019-03-22T00:00:00"/>
    <d v="2024-01-08T00:00:00"/>
    <n v="289700.8"/>
    <n v="99000.25"/>
    <n v="825"/>
    <n v="296000"/>
    <x v="1"/>
    <x v="0"/>
    <n v="0"/>
    <s v="Active"/>
    <n v="0.33446030405405408"/>
    <n v="7"/>
    <x v="1"/>
    <x v="4"/>
    <x v="3"/>
  </r>
  <r>
    <s v="Aisha Mohammed"/>
    <s v="aisha_m23"/>
    <x v="5"/>
    <x v="16"/>
    <s v="Nairobi"/>
    <n v="51"/>
    <s v="Female"/>
    <s v="aisha.mohammed23@email.ke"/>
    <s v="+254-745-678-901"/>
    <d v="2023-12-22T00:00:00"/>
    <d v="2024-01-14T00:00:00"/>
    <n v="35400.75"/>
    <n v="13600.4"/>
    <n v="725"/>
    <n v="72000"/>
    <x v="1"/>
    <x v="0"/>
    <n v="0"/>
    <s v="Active"/>
    <n v="0.18889444444444445"/>
    <n v="1"/>
    <x v="0"/>
    <x v="2"/>
    <x v="1"/>
  </r>
  <r>
    <s v="David Chen"/>
    <s v="david_chen23"/>
    <x v="2"/>
    <x v="23"/>
    <s v="Singapore"/>
    <n v="68"/>
    <s v="Male"/>
    <s v="david.chen23@company.sg"/>
    <s v="+65-0490-1234"/>
    <d v="2020-07-12T00:00:00"/>
    <d v="2024-01-09T00:00:00"/>
    <n v="169900.6"/>
    <n v="99000.9"/>
    <n v="675"/>
    <n v="196000"/>
    <x v="2"/>
    <x v="0"/>
    <n v="0"/>
    <s v="Active"/>
    <n v="0.50510663265306122"/>
    <n v="6"/>
    <x v="0"/>
    <x v="4"/>
    <x v="3"/>
  </r>
  <r>
    <s v="Maria Papadopoulos"/>
    <s v="maria_p23"/>
    <x v="4"/>
    <x v="38"/>
    <s v="Athens"/>
    <n v="59"/>
    <s v="Female"/>
    <s v="maria.papadopoulos23@email.gr"/>
    <s v="+30-713-456-7890"/>
    <d v="2022-08-22T00:00:00"/>
    <d v="2024-01-11T00:00:00"/>
    <n v="62900.4"/>
    <n v="37600.25"/>
    <n v="705"/>
    <n v="104000"/>
    <x v="0"/>
    <x v="0"/>
    <n v="0"/>
    <s v="Active"/>
    <n v="0.36154086538461538"/>
    <n v="4"/>
    <x v="0"/>
    <x v="4"/>
    <x v="0"/>
  </r>
  <r>
    <s v="James Wilson"/>
    <s v="j_wilson23"/>
    <x v="3"/>
    <x v="26"/>
    <s v="Melbourne"/>
    <n v="62"/>
    <s v="Male"/>
    <s v="james.wilson23@email.au"/>
    <s v="+61-445-678-901"/>
    <d v="2021-03-22T00:00:00"/>
    <d v="2024-01-10T00:00:00"/>
    <n v="109100.75"/>
    <n v="58700.800000000003"/>
    <n v="730"/>
    <n v="170000"/>
    <x v="0"/>
    <x v="0"/>
    <n v="0"/>
    <s v="Active"/>
    <n v="0.34529882352941177"/>
    <n v="5"/>
    <x v="0"/>
    <x v="4"/>
    <x v="2"/>
  </r>
  <r>
    <s v="Fatima Zahra"/>
    <s v="f_zahra23"/>
    <x v="1"/>
    <x v="25"/>
    <s v="Lahore"/>
    <n v="47"/>
    <s v="Female"/>
    <s v="fatima.zahra23@mail.pk"/>
    <s v="+92-343-7654321"/>
    <d v="2024-06-28T00:00:00"/>
    <d v="2024-01-15T00:00:00"/>
    <n v="16200.9"/>
    <n v="9500.75"/>
    <n v="685"/>
    <n v="57000"/>
    <x v="0"/>
    <x v="1"/>
    <n v="0"/>
    <s v="Active"/>
    <n v="0.16667982456140351"/>
    <n v="0"/>
    <x v="0"/>
    <x v="2"/>
    <x v="1"/>
  </r>
  <r>
    <s v="Kenji Yamada"/>
    <s v="kenji_y23"/>
    <x v="0"/>
    <x v="1"/>
    <s v="Tokyo"/>
    <n v="79"/>
    <s v="Male"/>
    <s v="kenji.yamada23@mail.jp"/>
    <s v="+81-80-3456-7890"/>
    <d v="2018-06-22T00:00:00"/>
    <d v="2024-01-08T00:00:00"/>
    <n v="300600.25"/>
    <n v="103000.4"/>
    <n v="840"/>
    <n v="311000"/>
    <x v="1"/>
    <x v="0"/>
    <n v="0"/>
    <s v="Active"/>
    <n v="0.33119099678456587"/>
    <n v="7"/>
    <x v="1"/>
    <x v="4"/>
    <x v="3"/>
  </r>
  <r>
    <s v="Ngozi Eze"/>
    <s v="ngozi_e23"/>
    <x v="2"/>
    <x v="6"/>
    <s v="Lagos"/>
    <n v="71"/>
    <s v="Female"/>
    <s v="ngozi.eze23@company.ng"/>
    <s v="+234-835-678-9012"/>
    <d v="2019-11-22T00:00:00"/>
    <d v="2024-01-09T00:00:00"/>
    <n v="181000.4"/>
    <n v="103000.75"/>
    <n v="650"/>
    <n v="206000"/>
    <x v="2"/>
    <x v="0"/>
    <n v="0"/>
    <s v="Active"/>
    <n v="0.50000364077669901"/>
    <n v="6"/>
    <x v="3"/>
    <x v="4"/>
    <x v="3"/>
  </r>
  <r>
    <s v="Thomas Schmidt"/>
    <s v="thomas_s23"/>
    <x v="3"/>
    <x v="7"/>
    <s v="Berlin"/>
    <n v="58"/>
    <s v="Male"/>
    <s v="thomas.schmidt23@email.de"/>
    <s v="+49-197-8901234"/>
    <d v="2023-03-22T00:00:00"/>
    <d v="2024-01-12T00:00:00"/>
    <n v="97600.4"/>
    <n v="52900.25"/>
    <n v="745"/>
    <n v="150000"/>
    <x v="0"/>
    <x v="0"/>
    <n v="0"/>
    <s v="Active"/>
    <n v="0.35266833333333331"/>
    <n v="3"/>
    <x v="0"/>
    <x v="4"/>
    <x v="2"/>
  </r>
  <r>
    <s v="Lina Chen"/>
    <s v="lina_c23"/>
    <x v="5"/>
    <x v="4"/>
    <s v="Beijing"/>
    <n v="53"/>
    <s v="Female"/>
    <s v="lina.chen23@mail.cn"/>
    <s v="+86-137-8901-2345"/>
    <d v="2023-09-22T00:00:00"/>
    <d v="2024-01-11T00:00:00"/>
    <n v="37600.800000000003"/>
    <n v="14800.9"/>
    <n v="765"/>
    <n v="82000"/>
    <x v="1"/>
    <x v="0"/>
    <n v="0"/>
    <s v="Active"/>
    <n v="0.18049878048780488"/>
    <n v="4"/>
    <x v="2"/>
    <x v="2"/>
    <x v="0"/>
  </r>
  <r>
    <s v="Ahmed Hassan"/>
    <s v="ahmed_h23"/>
    <x v="4"/>
    <x v="20"/>
    <s v="Alexandria"/>
    <n v="66"/>
    <s v="Male"/>
    <s v="ahmed.hassan23@email.eg"/>
    <s v="+20-122-876-5432"/>
    <d v="2021-09-22T00:00:00"/>
    <d v="2024-01-10T00:00:00"/>
    <n v="70900.75"/>
    <n v="44000.4"/>
    <n v="675"/>
    <n v="122000"/>
    <x v="0"/>
    <x v="0"/>
    <n v="0"/>
    <s v="Active"/>
    <n v="0.36065901639344261"/>
    <n v="5"/>
    <x v="0"/>
    <x v="4"/>
    <x v="0"/>
  </r>
  <r>
    <s v="Sophie Martin"/>
    <s v="sophie_m23"/>
    <x v="6"/>
    <x v="10"/>
    <s v="Paris"/>
    <n v="45"/>
    <s v="Female"/>
    <s v="sophie.martin23@edu.fr"/>
    <s v="+33-6-5678-9012"/>
    <d v="2024-07-12T00:00:00"/>
    <d v="2024-01-13T00:00:00"/>
    <n v="4300.25"/>
    <n v="14600.6"/>
    <n v="615"/>
    <n v="42000"/>
    <x v="2"/>
    <x v="1"/>
    <n v="0"/>
    <s v="Active"/>
    <n v="0.34763333333333335"/>
    <n v="2"/>
    <x v="3"/>
    <x v="2"/>
    <x v="1"/>
  </r>
  <r>
    <s v="Raj Kumar"/>
    <s v="raj_kumar23"/>
    <x v="2"/>
    <x v="2"/>
    <s v="Mumbai"/>
    <n v="73"/>
    <s v="Male"/>
    <s v="raj.kumar23@company.in"/>
    <s v="+91-987-654-3210"/>
    <d v="2019-10-22T00:00:00"/>
    <d v="2024-01-08T00:00:00"/>
    <n v="215600.8"/>
    <n v="116000.25"/>
    <n v="660"/>
    <n v="241000"/>
    <x v="2"/>
    <x v="0"/>
    <n v="0"/>
    <s v="Active"/>
    <n v="0.48132883817427385"/>
    <n v="7"/>
    <x v="3"/>
    <x v="4"/>
    <x v="3"/>
  </r>
  <r>
    <s v="Maria Gonzalez"/>
    <s v="maria_g24"/>
    <x v="3"/>
    <x v="13"/>
    <s v="Guadalajara"/>
    <n v="60"/>
    <s v="Female"/>
    <s v="maria.gonzalez24@email.mx"/>
    <s v="+52-33-6789-0123"/>
    <d v="2022-02-22T00:00:00"/>
    <d v="2024-01-11T00:00:00"/>
    <n v="92000.9"/>
    <n v="49800.75"/>
    <n v="730"/>
    <n v="145000"/>
    <x v="0"/>
    <x v="0"/>
    <n v="0"/>
    <s v="Active"/>
    <n v="0.34345344827586205"/>
    <n v="4"/>
    <x v="0"/>
    <x v="4"/>
    <x v="2"/>
  </r>
  <r>
    <s v="Yuki Kobayashi"/>
    <s v="yuki_k23"/>
    <x v="1"/>
    <x v="1"/>
    <s v="Osaka"/>
    <n v="49"/>
    <s v="Female"/>
    <s v="yuki.kobayashi23@mail.jp"/>
    <s v="+81-90-4567-8901"/>
    <d v="2024-07-08T00:00:00"/>
    <d v="2024-01-14T00:00:00"/>
    <n v="17300.400000000001"/>
    <n v="9600.25"/>
    <n v="705"/>
    <n v="59000"/>
    <x v="0"/>
    <x v="1"/>
    <n v="0"/>
    <s v="Active"/>
    <n v="0.16271610169491527"/>
    <n v="1"/>
    <x v="0"/>
    <x v="2"/>
    <x v="1"/>
  </r>
  <r>
    <s v="Kwame Asante"/>
    <s v="kwame_a23"/>
    <x v="5"/>
    <x v="15"/>
    <s v="Accra"/>
    <n v="54"/>
    <s v="Male"/>
    <s v="kwame.asante23@email.gh"/>
    <s v="+233-76-789-0123"/>
    <d v="2023-08-22T00:00:00"/>
    <d v="2024-01-12T00:00:00"/>
    <n v="36500.6"/>
    <n v="14200.8"/>
    <n v="710"/>
    <n v="75000"/>
    <x v="1"/>
    <x v="0"/>
    <n v="0"/>
    <s v="Active"/>
    <n v="0.18934399999999998"/>
    <n v="3"/>
    <x v="0"/>
    <x v="2"/>
    <x v="0"/>
  </r>
  <r>
    <s v="Anna Petrova"/>
    <s v="anna_p23"/>
    <x v="4"/>
    <x v="12"/>
    <s v="St. Petersburg"/>
    <n v="61"/>
    <s v="Female"/>
    <s v="anna.petrova23@email.ru"/>
    <s v="+7-921-654-32-10"/>
    <d v="2021-09-22T00:00:00"/>
    <d v="2024-01-10T00:00:00"/>
    <n v="67800.25"/>
    <n v="40900.9"/>
    <n v="695"/>
    <n v="110000"/>
    <x v="0"/>
    <x v="0"/>
    <n v="0"/>
    <s v="Active"/>
    <n v="0.37182636363636368"/>
    <n v="5"/>
    <x v="0"/>
    <x v="4"/>
    <x v="0"/>
  </r>
  <r>
    <s v="Liam O'Brien"/>
    <s v="liam_obrien23"/>
    <x v="2"/>
    <x v="11"/>
    <s v="Cork"/>
    <n v="69"/>
    <s v="Male"/>
    <s v="liam.obrien23@company.ie"/>
    <s v="+353-08-678-9012"/>
    <d v="2020-03-22T00:00:00"/>
    <d v="2024-01-09T00:00:00"/>
    <n v="147800.4"/>
    <n v="90000.6"/>
    <n v="670"/>
    <n v="177000"/>
    <x v="2"/>
    <x v="0"/>
    <n v="0"/>
    <s v="Active"/>
    <n v="0.50847796610169493"/>
    <n v="6"/>
    <x v="0"/>
    <x v="4"/>
    <x v="2"/>
  </r>
  <r>
    <s v="Ying Wang"/>
    <s v="ying_w23"/>
    <x v="0"/>
    <x v="4"/>
    <s v="Shanghai"/>
    <n v="77"/>
    <s v="Female"/>
    <s v="ying.wang23@mail.cn"/>
    <s v="+86-139-5678-9012"/>
    <d v="2019-01-22T00:00:00"/>
    <d v="2024-01-08T00:00:00"/>
    <n v="314700.75"/>
    <n v="107000.8"/>
    <n v="835"/>
    <n v="322000"/>
    <x v="1"/>
    <x v="0"/>
    <n v="0"/>
    <s v="Active"/>
    <n v="0.33230062111801245"/>
    <n v="7"/>
    <x v="1"/>
    <x v="4"/>
    <x v="3"/>
  </r>
  <r>
    <s v="Adeola Yusuf"/>
    <s v="adeola_y23"/>
    <x v="4"/>
    <x v="6"/>
    <s v="Port Harcourt"/>
    <n v="64"/>
    <s v="Female"/>
    <s v="adeola.yusuf23@email.ng"/>
    <s v="+234-836-789-0123"/>
    <d v="2021-08-22T00:00:00"/>
    <d v="2024-01-11T00:00:00"/>
    <n v="76500.600000000006"/>
    <n v="46500.25"/>
    <n v="665"/>
    <n v="130000"/>
    <x v="0"/>
    <x v="0"/>
    <n v="0"/>
    <s v="Active"/>
    <n v="0.35769423076923079"/>
    <n v="4"/>
    <x v="3"/>
    <x v="4"/>
    <x v="2"/>
  </r>
  <r>
    <s v="Marco Bianchi"/>
    <s v="marco_b23"/>
    <x v="3"/>
    <x v="18"/>
    <s v="Rome"/>
    <n v="56"/>
    <s v="Male"/>
    <s v="marco.bianchi23@email.it"/>
    <s v="+39-370-456-7890"/>
    <d v="2023-05-22T00:00:00"/>
    <d v="2024-01-12T00:00:00"/>
    <n v="99800.8"/>
    <n v="54000.4"/>
    <n v="750"/>
    <n v="156000"/>
    <x v="0"/>
    <x v="0"/>
    <n v="0"/>
    <s v="Active"/>
    <n v="0.34615641025641025"/>
    <n v="3"/>
    <x v="2"/>
    <x v="4"/>
    <x v="2"/>
  </r>
  <r>
    <s v="Jennifer Kim"/>
    <s v="jennifer_k23"/>
    <x v="5"/>
    <x v="0"/>
    <s v="San Francisco"/>
    <n v="52"/>
    <s v="Female"/>
    <s v="jennifer.kim23@email.com"/>
    <s v="+1-415-555-0194"/>
    <d v="2023-11-22T00:00:00"/>
    <d v="2024-01-14T00:00:00"/>
    <n v="38700.9"/>
    <n v="15200.75"/>
    <n v="770"/>
    <n v="87000"/>
    <x v="1"/>
    <x v="0"/>
    <n v="0"/>
    <s v="Active"/>
    <n v="0.1747212643678161"/>
    <n v="1"/>
    <x v="2"/>
    <x v="2"/>
    <x v="0"/>
  </r>
  <r>
    <s v="Rahman Hussain"/>
    <s v="rahman_h23"/>
    <x v="2"/>
    <x v="25"/>
    <s v="Islamabad"/>
    <n v="75"/>
    <s v="Male"/>
    <s v="rahman.hussain23@company.pk"/>
    <s v="+92-322-7654321"/>
    <d v="2019-07-22T00:00:00"/>
    <d v="2024-01-08T00:00:00"/>
    <n v="200900.25"/>
    <n v="111000.8"/>
    <n v="645"/>
    <n v="227000"/>
    <x v="2"/>
    <x v="0"/>
    <n v="0"/>
    <s v="Active"/>
    <n v="0.48899030837004409"/>
    <n v="7"/>
    <x v="3"/>
    <x v="4"/>
    <x v="3"/>
  </r>
  <r>
    <s v="Sofia Martinez"/>
    <s v="sofia_m23"/>
    <x v="1"/>
    <x v="14"/>
    <s v="Barcelona"/>
    <n v="48"/>
    <s v="Female"/>
    <s v="sofia.martinez23@mail.es"/>
    <s v="+34-645-678-901"/>
    <d v="2024-07-12T00:00:00"/>
    <d v="2024-01-15T00:00:00"/>
    <n v="32200.5"/>
    <n v="14800.4"/>
    <n v="720"/>
    <n v="64000"/>
    <x v="1"/>
    <x v="0"/>
    <n v="0"/>
    <s v="Active"/>
    <n v="0.23125625"/>
    <n v="0"/>
    <x v="0"/>
    <x v="2"/>
    <x v="1"/>
  </r>
  <r>
    <s v="Kenji Sato"/>
    <s v="kenji_sato24"/>
    <x v="6"/>
    <x v="1"/>
    <s v="Tokyo"/>
    <n v="44"/>
    <s v="Male"/>
    <s v="kenji.sato24@edu.jp"/>
    <s v="+81-90-7890-1234"/>
    <d v="2024-07-15T00:00:00"/>
    <d v="2024-01-13T00:00:00"/>
    <n v="4050.8"/>
    <n v="13000.25"/>
    <n v="605"/>
    <n v="40000"/>
    <x v="2"/>
    <x v="1"/>
    <n v="0"/>
    <s v="Active"/>
    <n v="0.32500625"/>
    <n v="2"/>
    <x v="3"/>
    <x v="0"/>
    <x v="1"/>
  </r>
  <r>
    <s v="Fatoumata Bello"/>
    <s v="fatou_b23"/>
    <x v="3"/>
    <x v="19"/>
    <s v="Dakar"/>
    <n v="58"/>
    <s v="Female"/>
    <s v="fatoumata.bello23@email.sn"/>
    <s v="+221-00-456-7890"/>
    <d v="2023-01-22T00:00:00"/>
    <d v="2024-01-11T00:00:00"/>
    <n v="86500.4"/>
    <n v="48700.75"/>
    <n v="710"/>
    <n v="138000"/>
    <x v="0"/>
    <x v="0"/>
    <n v="0"/>
    <s v="Active"/>
    <n v="0.35290398550724639"/>
    <n v="4"/>
    <x v="0"/>
    <x v="4"/>
    <x v="2"/>
  </r>
  <r>
    <s v="David Wilson"/>
    <s v="david_w23"/>
    <x v="2"/>
    <x v="3"/>
    <s v="London"/>
    <n v="72"/>
    <s v="Male"/>
    <s v="david.wilson23@company.co.uk"/>
    <s v="+44-79-7890-1234"/>
    <d v="2019-12-22T00:00:00"/>
    <d v="2024-01-09T00:00:00"/>
    <n v="181100.6"/>
    <n v="104000.25"/>
    <n v="675"/>
    <n v="207000"/>
    <x v="2"/>
    <x v="0"/>
    <n v="0"/>
    <s v="Active"/>
    <n v="0.50241666666666662"/>
    <n v="6"/>
    <x v="0"/>
    <x v="4"/>
    <x v="3"/>
  </r>
  <r>
    <s v="Lina Park"/>
    <s v="lina_park23"/>
    <x v="4"/>
    <x v="17"/>
    <s v="Busan"/>
    <n v="57"/>
    <s v="Female"/>
    <s v="lina.park23@email.kr"/>
    <s v="+82-10-6789-0123"/>
    <d v="2022-06-22T00:00:00"/>
    <d v="2024-01-10T00:00:00"/>
    <n v="62900.75"/>
    <n v="39800.800000000003"/>
    <n v="725"/>
    <n v="104000"/>
    <x v="0"/>
    <x v="0"/>
    <n v="0"/>
    <s v="Active"/>
    <n v="0.38270000000000004"/>
    <n v="5"/>
    <x v="0"/>
    <x v="4"/>
    <x v="0"/>
  </r>
  <r>
    <s v="Ahmed Al-Mansoori"/>
    <s v="ahmed_alm23"/>
    <x v="5"/>
    <x v="8"/>
    <s v="Abu Dhabi"/>
    <n v="55"/>
    <s v="Male"/>
    <s v="ahmed.almansoori23@email.ae"/>
    <s v="+971-50-890-1234"/>
    <d v="2023-09-22T00:00:00"/>
    <d v="2024-01-12T00:00:00"/>
    <n v="40900.400000000001"/>
    <n v="16000.9"/>
    <n v="740"/>
    <n v="90000"/>
    <x v="1"/>
    <x v="0"/>
    <n v="0"/>
    <s v="Active"/>
    <n v="0.17778777777777777"/>
    <n v="3"/>
    <x v="0"/>
    <x v="4"/>
    <x v="0"/>
  </r>
  <r>
    <s v="Maria Costa"/>
    <s v="maria_costa23"/>
    <x v="0"/>
    <x v="5"/>
    <s v="Rio de Janeiro"/>
    <n v="78"/>
    <s v="Female"/>
    <s v="maria.costa23@mail.com.br"/>
    <s v="+55-21-99990-1234"/>
    <d v="2018-09-22T00:00:00"/>
    <d v="2024-01-08T00:00:00"/>
    <n v="270000.90000000002"/>
    <n v="94000.6"/>
    <n v="830"/>
    <n v="302000"/>
    <x v="1"/>
    <x v="0"/>
    <n v="0"/>
    <s v="Active"/>
    <n v="0.31126026490066228"/>
    <n v="7"/>
    <x v="1"/>
    <x v="4"/>
    <x v="3"/>
  </r>
  <r>
    <s v="Chinedu Nwankwo"/>
    <s v="chinedu_n23"/>
    <x v="2"/>
    <x v="6"/>
    <s v="Abuja"/>
    <n v="70"/>
    <s v="Male"/>
    <s v="chinedu.nwankwo23@company.ng"/>
    <s v="+234-837-890-1234"/>
    <d v="2020-05-12T00:00:00"/>
    <d v="2024-01-09T00:00:00"/>
    <n v="158900.25"/>
    <n v="96000.4"/>
    <n v="655"/>
    <n v="192000"/>
    <x v="2"/>
    <x v="0"/>
    <n v="0"/>
    <s v="Active"/>
    <n v="0.50000208333333329"/>
    <n v="6"/>
    <x v="3"/>
    <x v="4"/>
    <x v="3"/>
  </r>
  <r>
    <s v="Isabelle Moreau"/>
    <s v="isabelle_m23"/>
    <x v="3"/>
    <x v="9"/>
    <s v="Vancouver"/>
    <n v="59"/>
    <s v="Female"/>
    <s v="isabelle.moreau23@email.ca"/>
    <s v="+1-604-555-0198"/>
    <d v="2022-10-22T00:00:00"/>
    <d v="2024-01-11T00:00:00"/>
    <n v="105400.6"/>
    <n v="56700.75"/>
    <n v="760"/>
    <n v="161000"/>
    <x v="0"/>
    <x v="0"/>
    <n v="0"/>
    <s v="Active"/>
    <n v="0.35217857142857145"/>
    <n v="4"/>
    <x v="2"/>
    <x v="4"/>
    <x v="2"/>
  </r>
  <r>
    <s v="Rahman Ali"/>
    <s v="rahman_ali24"/>
    <x v="1"/>
    <x v="36"/>
    <s v="Surabaya"/>
    <n v="50"/>
    <s v="Male"/>
    <s v="rahman.ali24@mail.id"/>
    <s v="+62-834-5678-9012"/>
    <d v="2024-07-08T00:00:00"/>
    <d v="2024-01-15T00:00:00"/>
    <n v="19400.25"/>
    <n v="11500.8"/>
    <n v="695"/>
    <n v="61000"/>
    <x v="0"/>
    <x v="1"/>
    <n v="0"/>
    <s v="Active"/>
    <n v="0.18853770491803276"/>
    <n v="0"/>
    <x v="0"/>
    <x v="2"/>
    <x v="1"/>
  </r>
  <r>
    <s v="Sarah Johnson"/>
    <s v="sarah_j23"/>
    <x v="5"/>
    <x v="0"/>
    <s v="New York"/>
    <n v="53"/>
    <s v="Female"/>
    <s v="sarah.johnson23@email.com"/>
    <s v="+1-646-555-0198"/>
    <d v="2023-07-22T00:00:00"/>
    <d v="2024-01-12T00:00:00"/>
    <n v="39800.9"/>
    <n v="15600.25"/>
    <n v="755"/>
    <n v="83000"/>
    <x v="1"/>
    <x v="0"/>
    <n v="0"/>
    <s v="Active"/>
    <n v="0.18795481927710844"/>
    <n v="3"/>
    <x v="2"/>
    <x v="2"/>
    <x v="0"/>
  </r>
  <r>
    <s v="Wei Zhang"/>
    <s v="wei_zhang23"/>
    <x v="2"/>
    <x v="4"/>
    <s v="Beijing"/>
    <n v="71"/>
    <s v="Male"/>
    <s v="wei.zhang23@company.cn"/>
    <s v="+86-138-9012-3456"/>
    <d v="2020-02-22T00:00:00"/>
    <d v="2024-01-09T00:00:00"/>
    <n v="191800.4"/>
    <n v="109000.75"/>
    <n v="685"/>
    <n v="217000"/>
    <x v="2"/>
    <x v="0"/>
    <n v="0"/>
    <s v="Active"/>
    <n v="0.50230760368663596"/>
    <n v="6"/>
    <x v="0"/>
    <x v="4"/>
    <x v="3"/>
  </r>
  <r>
    <s v="Anna Kowalski"/>
    <s v="anna_k24"/>
    <x v="4"/>
    <x v="37"/>
    <s v="Warsaw"/>
    <n v="62"/>
    <s v="Female"/>
    <s v="anna.kowalski24@email.pl"/>
    <s v="+48-722-456-789"/>
    <d v="2021-11-22T00:00:00"/>
    <d v="2024-01-10T00:00:00"/>
    <n v="69800.800000000003"/>
    <n v="42900.6"/>
    <n v="715"/>
    <n v="116000"/>
    <x v="0"/>
    <x v="0"/>
    <n v="0"/>
    <s v="Active"/>
    <n v="0.36983275862068965"/>
    <n v="5"/>
    <x v="0"/>
    <x v="4"/>
    <x v="0"/>
  </r>
  <r>
    <s v="Mohammed Rahman"/>
    <s v="m_rahman24"/>
    <x v="3"/>
    <x v="29"/>
    <s v="Chittagong"/>
    <n v="65"/>
    <s v="Male"/>
    <s v="mohammed.rahman24@email.bd"/>
    <s v="+880-1812-678901"/>
    <d v="2021-08-22T00:00:00"/>
    <d v="2024-01-11T00:00:00"/>
    <n v="97600.25"/>
    <n v="52900.4"/>
    <n v="680"/>
    <n v="145000"/>
    <x v="0"/>
    <x v="0"/>
    <n v="0"/>
    <s v="Active"/>
    <n v="0.36483034482758619"/>
    <n v="4"/>
    <x v="0"/>
    <x v="4"/>
    <x v="2"/>
  </r>
  <r>
    <s v="Yumi Tanaka"/>
    <s v="yumi_tanaka23"/>
    <x v="6"/>
    <x v="1"/>
    <s v="Osaka"/>
    <n v="45"/>
    <s v="Female"/>
    <s v="yumi.tanaka23@edu.jp"/>
    <s v="+81-90-8901-2345"/>
    <d v="2024-07-22T00:00:00"/>
    <d v="2024-01-13T00:00:00"/>
    <n v="4150.3999999999996"/>
    <n v="13600.75"/>
    <n v="610"/>
    <n v="41000"/>
    <x v="2"/>
    <x v="1"/>
    <n v="0"/>
    <s v="Active"/>
    <n v="0.33172560975609755"/>
    <n v="2"/>
    <x v="3"/>
    <x v="2"/>
    <x v="1"/>
  </r>
  <r>
    <s v="Carlos Mendez"/>
    <s v="carlos_m23"/>
    <x v="0"/>
    <x v="13"/>
    <s v="Mexico City"/>
    <n v="77"/>
    <s v="Male"/>
    <s v="carlos.mendez23@mail.mx"/>
    <s v="+52-55-6789-0123"/>
    <d v="2019-04-22T00:00:00"/>
    <d v="2024-01-08T00:00:00"/>
    <n v="289800.8"/>
    <n v="100000.25"/>
    <n v="825"/>
    <n v="297000"/>
    <x v="1"/>
    <x v="0"/>
    <n v="0"/>
    <s v="Active"/>
    <n v="0.33670117845117847"/>
    <n v="7"/>
    <x v="1"/>
    <x v="4"/>
    <x v="3"/>
  </r>
  <r>
    <s v="Aisha Mohammed"/>
    <s v="aisha_m24"/>
    <x v="5"/>
    <x v="16"/>
    <s v="Mombasa"/>
    <n v="52"/>
    <s v="Female"/>
    <s v="aisha.mohammed24@email.ke"/>
    <s v="+254-746-789-012"/>
    <d v="2024-01-22T00:00:00"/>
    <d v="2024-01-14T00:00:00"/>
    <n v="36500.75"/>
    <n v="14000.4"/>
    <n v="725"/>
    <n v="73000"/>
    <x v="1"/>
    <x v="0"/>
    <n v="0"/>
    <s v="Active"/>
    <n v="0.19178630136986302"/>
    <n v="1"/>
    <x v="0"/>
    <x v="2"/>
    <x v="1"/>
  </r>
  <r>
    <s v="David Chen"/>
    <s v="david_chen24"/>
    <x v="2"/>
    <x v="23"/>
    <s v="Singapore"/>
    <n v="69"/>
    <s v="Male"/>
    <s v="david.chen24@company.sg"/>
    <s v="+65-0590-1234"/>
    <d v="2020-08-12T00:00:00"/>
    <d v="2024-01-09T00:00:00"/>
    <n v="170000.6"/>
    <n v="100000.9"/>
    <n v="675"/>
    <n v="197000"/>
    <x v="2"/>
    <x v="0"/>
    <n v="0"/>
    <s v="Active"/>
    <n v="0.50761878172588826"/>
    <n v="6"/>
    <x v="0"/>
    <x v="4"/>
    <x v="3"/>
  </r>
  <r>
    <s v="Maria Papadopoulos"/>
    <s v="maria_p24"/>
    <x v="4"/>
    <x v="38"/>
    <s v="Athens"/>
    <n v="60"/>
    <s v="Female"/>
    <s v="maria.papadopoulos24@email.gr"/>
    <s v="+30-714-567-8901"/>
    <d v="2022-09-22T00:00:00"/>
    <d v="2024-01-11T00:00:00"/>
    <n v="64000.4"/>
    <n v="38700.25"/>
    <n v="705"/>
    <n v="105000"/>
    <x v="0"/>
    <x v="0"/>
    <n v="0"/>
    <s v="Active"/>
    <n v="0.36857380952380953"/>
    <n v="4"/>
    <x v="0"/>
    <x v="4"/>
    <x v="0"/>
  </r>
  <r>
    <s v="James Wilson"/>
    <s v="j_wilson24"/>
    <x v="3"/>
    <x v="26"/>
    <s v="Melbourne"/>
    <n v="63"/>
    <s v="Male"/>
    <s v="james.wilson24@email.au"/>
    <s v="+61-446-789-012"/>
    <d v="2021-04-22T00:00:00"/>
    <d v="2024-01-10T00:00:00"/>
    <n v="110100.75"/>
    <n v="59800.800000000003"/>
    <n v="730"/>
    <n v="171000"/>
    <x v="0"/>
    <x v="0"/>
    <n v="0"/>
    <s v="Active"/>
    <n v="0.34971228070175442"/>
    <n v="5"/>
    <x v="0"/>
    <x v="4"/>
    <x v="2"/>
  </r>
  <r>
    <s v="Fatima Zahra"/>
    <s v="f_zahra24"/>
    <x v="1"/>
    <x v="25"/>
    <s v="Karachi"/>
    <n v="48"/>
    <s v="Female"/>
    <s v="fatima.zahra24@mail.pk"/>
    <s v="+92-344-6543210"/>
    <d v="2024-07-15T00:00:00"/>
    <d v="2024-01-15T00:00:00"/>
    <n v="16600.900000000001"/>
    <n v="9700.75"/>
    <n v="685"/>
    <n v="58000"/>
    <x v="0"/>
    <x v="1"/>
    <n v="0"/>
    <s v="Active"/>
    <n v="0.16725431034482757"/>
    <n v="0"/>
    <x v="0"/>
    <x v="2"/>
    <x v="1"/>
  </r>
  <r>
    <s v="Kenji Yamada"/>
    <s v="kenji_y24"/>
    <x v="0"/>
    <x v="1"/>
    <s v="Tokyo"/>
    <n v="80"/>
    <s v="Male"/>
    <s v="kenji.yamada24@mail.jp"/>
    <s v="+81-80-4567-8901"/>
    <d v="2018-07-22T00:00:00"/>
    <d v="2024-01-08T00:00:00"/>
    <n v="300700.25"/>
    <n v="104000.4"/>
    <n v="840"/>
    <n v="312000"/>
    <x v="1"/>
    <x v="0"/>
    <n v="0"/>
    <s v="Active"/>
    <n v="0.33333461538461534"/>
    <n v="7"/>
    <x v="1"/>
    <x v="4"/>
    <x v="3"/>
  </r>
  <r>
    <s v="Ngozi Eze"/>
    <s v="ngozi_e24"/>
    <x v="2"/>
    <x v="6"/>
    <s v="Lagos"/>
    <n v="72"/>
    <s v="Female"/>
    <s v="ngozi.eze24@company.ng"/>
    <s v="+234-836-789-0123"/>
    <d v="2019-12-22T00:00:00"/>
    <d v="2024-01-09T00:00:00"/>
    <n v="181100.4"/>
    <n v="104000.75"/>
    <n v="650"/>
    <n v="207000"/>
    <x v="2"/>
    <x v="0"/>
    <n v="0"/>
    <s v="Active"/>
    <n v="0.50241908212560382"/>
    <n v="6"/>
    <x v="3"/>
    <x v="4"/>
    <x v="3"/>
  </r>
  <r>
    <s v="Thomas Schmidt"/>
    <s v="thomas_s24"/>
    <x v="3"/>
    <x v="7"/>
    <s v="Hamburg"/>
    <n v="59"/>
    <s v="Male"/>
    <s v="thomas.schmidt24@email.de"/>
    <s v="+49-198-9012345"/>
    <d v="2023-04-22T00:00:00"/>
    <d v="2024-01-12T00:00:00"/>
    <n v="98700.4"/>
    <n v="54000.25"/>
    <n v="745"/>
    <n v="151000"/>
    <x v="0"/>
    <x v="0"/>
    <n v="0"/>
    <s v="Active"/>
    <n v="0.35761754966887416"/>
    <n v="3"/>
    <x v="0"/>
    <x v="4"/>
    <x v="2"/>
  </r>
  <r>
    <s v="Lina Chen"/>
    <s v="lina_c24"/>
    <x v="5"/>
    <x v="4"/>
    <s v="Shanghai"/>
    <n v="54"/>
    <s v="Female"/>
    <s v="lina.chen24@mail.cn"/>
    <s v="+86-137-9012-3456"/>
    <d v="2023-10-22T00:00:00"/>
    <d v="2024-01-11T00:00:00"/>
    <n v="38700.800000000003"/>
    <n v="15200.9"/>
    <n v="765"/>
    <n v="83000"/>
    <x v="1"/>
    <x v="0"/>
    <n v="0"/>
    <s v="Active"/>
    <n v="0.18314337349397589"/>
    <n v="4"/>
    <x v="2"/>
    <x v="2"/>
    <x v="0"/>
  </r>
  <r>
    <s v="Ahmed Hassan"/>
    <s v="ahmed_h24"/>
    <x v="4"/>
    <x v="20"/>
    <s v="Cairo"/>
    <n v="67"/>
    <s v="Male"/>
    <s v="ahmed.hassan24@email.eg"/>
    <s v="+20-122-765-4321"/>
    <d v="2021-10-22T00:00:00"/>
    <d v="2024-01-10T00:00:00"/>
    <n v="72000.75"/>
    <n v="45100.4"/>
    <n v="675"/>
    <n v="123000"/>
    <x v="0"/>
    <x v="0"/>
    <n v="0"/>
    <s v="Active"/>
    <n v="0.36666991869918703"/>
    <n v="5"/>
    <x v="0"/>
    <x v="4"/>
    <x v="0"/>
  </r>
  <r>
    <s v="Sophie Martin"/>
    <s v="sophie_m24"/>
    <x v="6"/>
    <x v="10"/>
    <s v="Lyon"/>
    <n v="46"/>
    <s v="Female"/>
    <s v="sophie.martin24@edu.fr"/>
    <s v="+33-6-6789-0123"/>
    <d v="2024-07-28T00:00:00"/>
    <d v="2024-01-13T00:00:00"/>
    <n v="4400.25"/>
    <n v="14800.6"/>
    <n v="615"/>
    <n v="43000"/>
    <x v="2"/>
    <x v="1"/>
    <n v="0"/>
    <s v="Active"/>
    <n v="0.34420000000000001"/>
    <n v="2"/>
    <x v="3"/>
    <x v="2"/>
    <x v="1"/>
  </r>
  <r>
    <s v="Raj Kumar"/>
    <s v="raj_kumar24"/>
    <x v="2"/>
    <x v="2"/>
    <s v="Delhi"/>
    <n v="74"/>
    <s v="Male"/>
    <s v="raj.kumar24@company.in"/>
    <s v="+91-987-654-3210"/>
    <d v="2019-11-22T00:00:00"/>
    <d v="2024-01-08T00:00:00"/>
    <n v="215700.8"/>
    <n v="117000.25"/>
    <n v="660"/>
    <n v="242000"/>
    <x v="2"/>
    <x v="0"/>
    <n v="0"/>
    <s v="Active"/>
    <n v="0.48347210743801655"/>
    <n v="7"/>
    <x v="3"/>
    <x v="4"/>
    <x v="3"/>
  </r>
  <r>
    <s v="Maria Gonzalez"/>
    <s v="maria_g25"/>
    <x v="3"/>
    <x v="13"/>
    <s v="Mexico City"/>
    <n v="61"/>
    <s v="Female"/>
    <s v="maria.gonzalez25@email.mx"/>
    <s v="+52-55-7890-0123"/>
    <d v="2022-03-22T00:00:00"/>
    <d v="2024-01-11T00:00:00"/>
    <n v="93100.9"/>
    <n v="50900.75"/>
    <n v="730"/>
    <n v="146000"/>
    <x v="0"/>
    <x v="0"/>
    <n v="0"/>
    <s v="Active"/>
    <n v="0.34863527397260274"/>
    <n v="4"/>
    <x v="0"/>
    <x v="4"/>
    <x v="2"/>
  </r>
  <r>
    <s v="Yuki Kobayashi"/>
    <s v="yuki_k24"/>
    <x v="1"/>
    <x v="1"/>
    <s v="Osaka"/>
    <n v="50"/>
    <s v="Female"/>
    <s v="yuki.kobayashi24@mail.jp"/>
    <s v="+81-90-5678-9012"/>
    <d v="2024-07-22T00:00:00"/>
    <d v="2024-01-14T00:00:00"/>
    <n v="17700.400000000001"/>
    <n v="9800.25"/>
    <n v="705"/>
    <n v="60000"/>
    <x v="0"/>
    <x v="1"/>
    <n v="0"/>
    <s v="Active"/>
    <n v="0.1633375"/>
    <n v="1"/>
    <x v="0"/>
    <x v="2"/>
    <x v="1"/>
  </r>
  <r>
    <s v="Kwame Asante"/>
    <s v="kwame_a24"/>
    <x v="5"/>
    <x v="15"/>
    <s v="Accra"/>
    <n v="55"/>
    <s v="Male"/>
    <s v="kwame.asante24@email.gh"/>
    <s v="+233-77-890-1234"/>
    <d v="2023-09-22T00:00:00"/>
    <d v="2024-01-12T00:00:00"/>
    <n v="37600.6"/>
    <n v="14600.8"/>
    <n v="710"/>
    <n v="76000"/>
    <x v="1"/>
    <x v="0"/>
    <n v="0"/>
    <s v="Active"/>
    <n v="0.19211578947368421"/>
    <n v="3"/>
    <x v="0"/>
    <x v="4"/>
    <x v="0"/>
  </r>
  <r>
    <s v="Anna Petrova"/>
    <s v="anna_p24"/>
    <x v="4"/>
    <x v="12"/>
    <s v="Moscow"/>
    <n v="62"/>
    <s v="Female"/>
    <s v="anna.petrova24@email.ru"/>
    <s v="+7-921-543-21-09"/>
    <d v="2021-10-22T00:00:00"/>
    <d v="2024-01-10T00:00:00"/>
    <n v="68900.25"/>
    <n v="42000.9"/>
    <n v="695"/>
    <n v="111000"/>
    <x v="0"/>
    <x v="0"/>
    <n v="0"/>
    <s v="Active"/>
    <n v="0.37838648648648648"/>
    <n v="5"/>
    <x v="0"/>
    <x v="4"/>
    <x v="0"/>
  </r>
  <r>
    <s v="Liam O'Brien"/>
    <s v="liam_obrien24"/>
    <x v="2"/>
    <x v="11"/>
    <s v="Dublin"/>
    <n v="70"/>
    <s v="Male"/>
    <s v="liam.obrien24@company.ie"/>
    <s v="+353-09-789-0123"/>
    <d v="2020-04-22T00:00:00"/>
    <d v="2024-01-09T00:00:00"/>
    <n v="147900.4"/>
    <n v="91000.6"/>
    <n v="670"/>
    <n v="178000"/>
    <x v="2"/>
    <x v="0"/>
    <n v="0"/>
    <s v="Active"/>
    <n v="0.51123932584269671"/>
    <n v="6"/>
    <x v="0"/>
    <x v="4"/>
    <x v="2"/>
  </r>
  <r>
    <s v="Ying Wang"/>
    <s v="ying_w24"/>
    <x v="0"/>
    <x v="4"/>
    <s v="Beijing"/>
    <n v="78"/>
    <s v="Female"/>
    <s v="ying.wang24@mail.cn"/>
    <s v="+86-139-6789-0123"/>
    <d v="2019-02-22T00:00:00"/>
    <d v="2024-01-08T00:00:00"/>
    <n v="314800.75"/>
    <n v="108000.8"/>
    <n v="835"/>
    <n v="323000"/>
    <x v="1"/>
    <x v="0"/>
    <n v="0"/>
    <s v="Active"/>
    <n v="0.33436780185758513"/>
    <n v="7"/>
    <x v="1"/>
    <x v="4"/>
    <x v="3"/>
  </r>
  <r>
    <s v="Adeola Yusuf"/>
    <s v="adeola_y24"/>
    <x v="4"/>
    <x v="6"/>
    <s v="Abuja"/>
    <n v="65"/>
    <s v="Female"/>
    <s v="adeola.yusuf24@email.ng"/>
    <s v="+234-837-890-1234"/>
    <d v="2021-09-22T00:00:00"/>
    <d v="2024-01-11T00:00:00"/>
    <n v="77600.600000000006"/>
    <n v="47600.25"/>
    <n v="665"/>
    <n v="131000"/>
    <x v="0"/>
    <x v="0"/>
    <n v="0"/>
    <s v="Active"/>
    <n v="0.36336068702290075"/>
    <n v="4"/>
    <x v="3"/>
    <x v="4"/>
    <x v="2"/>
  </r>
  <r>
    <s v="Marco Bianchi"/>
    <s v="marco_b24"/>
    <x v="3"/>
    <x v="18"/>
    <s v="Milan"/>
    <n v="57"/>
    <s v="Male"/>
    <s v="marco.bianchi24@email.it"/>
    <s v="+39-371-567-8901"/>
    <d v="2023-06-22T00:00:00"/>
    <d v="2024-01-12T00:00:00"/>
    <n v="100900.8"/>
    <n v="55100.4"/>
    <n v="750"/>
    <n v="157000"/>
    <x v="0"/>
    <x v="0"/>
    <n v="0"/>
    <s v="Active"/>
    <n v="0.35095796178343952"/>
    <n v="3"/>
    <x v="2"/>
    <x v="4"/>
    <x v="2"/>
  </r>
  <r>
    <s v="Jennifer Kim"/>
    <s v="jennifer_k24"/>
    <x v="5"/>
    <x v="0"/>
    <s v="Seattle"/>
    <n v="53"/>
    <s v="Female"/>
    <s v="jennifer.kim24@email.com"/>
    <s v="+1-206-555-0198"/>
    <d v="2023-12-22T00:00:00"/>
    <d v="2024-01-14T00:00:00"/>
    <n v="39800.9"/>
    <n v="15600.75"/>
    <n v="770"/>
    <n v="88000"/>
    <x v="1"/>
    <x v="0"/>
    <n v="0"/>
    <s v="Active"/>
    <n v="0.17728125"/>
    <n v="1"/>
    <x v="2"/>
    <x v="2"/>
    <x v="0"/>
  </r>
  <r>
    <s v="Rahman Hussain"/>
    <s v="rahman_h24"/>
    <x v="2"/>
    <x v="25"/>
    <s v="Lahore"/>
    <n v="76"/>
    <s v="Male"/>
    <s v="rahman.hussain24@company.pk"/>
    <s v="+92-323-6543210"/>
    <d v="2019-08-22T00:00:00"/>
    <d v="2024-01-08T00:00:00"/>
    <n v="201000.25"/>
    <n v="112000.8"/>
    <n v="645"/>
    <n v="228000"/>
    <x v="2"/>
    <x v="0"/>
    <n v="0"/>
    <s v="Active"/>
    <n v="0.49123157894736841"/>
    <n v="7"/>
    <x v="3"/>
    <x v="4"/>
    <x v="3"/>
  </r>
  <r>
    <s v="Sofia Martinez"/>
    <s v="sofia_m24"/>
    <x v="1"/>
    <x v="14"/>
    <s v="Madrid"/>
    <n v="49"/>
    <s v="Female"/>
    <s v="sofia.martinez24@mail.es"/>
    <s v="+34-646-789-012"/>
    <d v="2024-07-28T00:00:00"/>
    <d v="2024-01-15T00:00:00"/>
    <n v="33200.5"/>
    <n v="15200.4"/>
    <n v="720"/>
    <n v="65000"/>
    <x v="1"/>
    <x v="0"/>
    <n v="0"/>
    <s v="Active"/>
    <n v="0.23385230769230769"/>
    <n v="0"/>
    <x v="0"/>
    <x v="2"/>
    <x v="1"/>
  </r>
  <r>
    <s v="Kenji Sato"/>
    <s v="kenji_sato25"/>
    <x v="6"/>
    <x v="1"/>
    <s v="Tokyo"/>
    <n v="45"/>
    <s v="Male"/>
    <s v="kenji.sato25@edu.jp"/>
    <s v="+81-90-8901-2345"/>
    <d v="2024-07-28T00:00:00"/>
    <d v="2024-01-13T00:00:00"/>
    <n v="4150.8"/>
    <n v="13200.25"/>
    <n v="605"/>
    <n v="41000"/>
    <x v="2"/>
    <x v="1"/>
    <n v="0"/>
    <s v="Active"/>
    <n v="0.32195731707317071"/>
    <n v="2"/>
    <x v="3"/>
    <x v="2"/>
    <x v="1"/>
  </r>
  <r>
    <s v="Fatoumata Bello"/>
    <s v="fatou_b24"/>
    <x v="3"/>
    <x v="19"/>
    <s v="Dakar"/>
    <n v="59"/>
    <s v="Female"/>
    <s v="fatoumata.bello24@email.sn"/>
    <s v="+221-01-567-8901"/>
    <d v="2023-02-22T00:00:00"/>
    <d v="2024-01-11T00:00:00"/>
    <n v="87600.4"/>
    <n v="49800.75"/>
    <n v="710"/>
    <n v="139000"/>
    <x v="0"/>
    <x v="0"/>
    <n v="0"/>
    <s v="Active"/>
    <n v="0.35827877697841726"/>
    <n v="4"/>
    <x v="0"/>
    <x v="4"/>
    <x v="2"/>
  </r>
  <r>
    <s v="David Wilson"/>
    <s v="david_w24"/>
    <x v="2"/>
    <x v="3"/>
    <s v="Manchester"/>
    <n v="73"/>
    <s v="Male"/>
    <s v="david.wilson24@company.co.uk"/>
    <s v="+44-79-8901-2345"/>
    <d v="2020-01-22T00:00:00"/>
    <d v="2024-01-09T00:00:00"/>
    <n v="181200.6"/>
    <n v="105000.25"/>
    <n v="675"/>
    <n v="208000"/>
    <x v="2"/>
    <x v="0"/>
    <n v="0"/>
    <s v="Active"/>
    <n v="0.50480889423076925"/>
    <n v="6"/>
    <x v="0"/>
    <x v="4"/>
    <x v="3"/>
  </r>
  <r>
    <s v="Lina Park"/>
    <s v="lina_park24"/>
    <x v="4"/>
    <x v="17"/>
    <s v="Seoul"/>
    <n v="58"/>
    <s v="Female"/>
    <s v="lina.park24@email.kr"/>
    <s v="+82-10-7890-1234"/>
    <d v="2022-07-22T00:00:00"/>
    <d v="2024-01-10T00:00:00"/>
    <n v="64000.75"/>
    <n v="40900.800000000003"/>
    <n v="725"/>
    <n v="105000"/>
    <x v="0"/>
    <x v="0"/>
    <n v="0"/>
    <s v="Active"/>
    <n v="0.38953142857142858"/>
    <n v="5"/>
    <x v="0"/>
    <x v="4"/>
    <x v="0"/>
  </r>
  <r>
    <s v="Ahmed Al-Mansoori"/>
    <s v="ahmed_alm24"/>
    <x v="5"/>
    <x v="8"/>
    <s v="Dubai"/>
    <n v="56"/>
    <s v="Male"/>
    <s v="ahmed.almansoori24@email.ae"/>
    <s v="+971-50-901-2345"/>
    <d v="2023-10-22T00:00:00"/>
    <d v="2024-01-12T00:00:00"/>
    <n v="42000.4"/>
    <n v="16400.900000000001"/>
    <n v="740"/>
    <n v="91000"/>
    <x v="1"/>
    <x v="0"/>
    <n v="0"/>
    <s v="Active"/>
    <n v="0.18022967032967036"/>
    <n v="3"/>
    <x v="0"/>
    <x v="4"/>
    <x v="0"/>
  </r>
  <r>
    <s v="Maria Costa"/>
    <s v="maria_costa24"/>
    <x v="0"/>
    <x v="5"/>
    <s v="São Paulo"/>
    <n v="79"/>
    <s v="Female"/>
    <s v="maria.costa24@mail.com.br"/>
    <s v="+55-11-99901-2345"/>
    <d v="2018-10-22T00:00:00"/>
    <d v="2024-01-08T00:00:00"/>
    <n v="270100.90000000002"/>
    <n v="95000.6"/>
    <n v="830"/>
    <n v="303000"/>
    <x v="1"/>
    <x v="0"/>
    <n v="0"/>
    <s v="Active"/>
    <n v="0.31353333333333333"/>
    <n v="7"/>
    <x v="1"/>
    <x v="4"/>
    <x v="3"/>
  </r>
  <r>
    <s v="Chinedu Nwankwo"/>
    <s v="chinedu_n24"/>
    <x v="2"/>
    <x v="6"/>
    <s v="Port Harcourt"/>
    <n v="71"/>
    <s v="Male"/>
    <s v="chinedu.nwankwo24@company.ng"/>
    <s v="+234-838-901-2345"/>
    <d v="2020-06-12T00:00:00"/>
    <d v="2024-01-09T00:00:00"/>
    <n v="159000.25"/>
    <n v="97000.4"/>
    <n v="655"/>
    <n v="193000"/>
    <x v="2"/>
    <x v="0"/>
    <n v="0"/>
    <s v="Active"/>
    <n v="0.50259274611398963"/>
    <n v="6"/>
    <x v="3"/>
    <x v="4"/>
    <x v="3"/>
  </r>
  <r>
    <s v="Isabelle Moreau"/>
    <s v="isabelle_m24"/>
    <x v="3"/>
    <x v="9"/>
    <s v="Toronto"/>
    <n v="60"/>
    <s v="Female"/>
    <s v="isabelle.moreau24@email.ca"/>
    <s v="+1-647-555-0194"/>
    <d v="2022-11-22T00:00:00"/>
    <d v="2024-01-11T00:00:00"/>
    <n v="106500.6"/>
    <n v="57800.75"/>
    <n v="760"/>
    <n v="162000"/>
    <x v="0"/>
    <x v="0"/>
    <n v="0"/>
    <s v="Active"/>
    <n v="0.35679475308641978"/>
    <n v="4"/>
    <x v="2"/>
    <x v="4"/>
    <x v="2"/>
  </r>
  <r>
    <s v="Rahman Ali"/>
    <s v="rahman_ali25"/>
    <x v="1"/>
    <x v="36"/>
    <s v="Jakarta"/>
    <n v="51"/>
    <s v="Male"/>
    <s v="rahman.ali25@mail.id"/>
    <s v="+62-835-6789-0123"/>
    <d v="2024-07-28T00:00:00"/>
    <d v="2024-01-15T00:00:00"/>
    <n v="19900.25"/>
    <n v="11800.8"/>
    <n v="695"/>
    <n v="62000"/>
    <x v="0"/>
    <x v="1"/>
    <n v="0"/>
    <s v="Active"/>
    <n v="0.19033548387096774"/>
    <n v="0"/>
    <x v="0"/>
    <x v="2"/>
    <x v="1"/>
  </r>
  <r>
    <s v="Sarah Johnson"/>
    <s v="sarah_j24"/>
    <x v="5"/>
    <x v="0"/>
    <s v="Chicago"/>
    <n v="54"/>
    <s v="Female"/>
    <s v="sarah.johnson24@email.com"/>
    <s v="+1-773-555-0198"/>
    <d v="2023-08-22T00:00:00"/>
    <d v="2024-01-12T00:00:00"/>
    <n v="40900.9"/>
    <n v="16000.25"/>
    <n v="755"/>
    <n v="84000"/>
    <x v="1"/>
    <x v="0"/>
    <n v="0"/>
    <s v="Active"/>
    <n v="0.19047916666666667"/>
    <n v="3"/>
    <x v="2"/>
    <x v="2"/>
    <x v="0"/>
  </r>
  <r>
    <s v="Wei Zhang"/>
    <s v="wei_zhang24"/>
    <x v="2"/>
    <x v="4"/>
    <s v="Beijing"/>
    <n v="72"/>
    <s v="Male"/>
    <s v="wei.zhang24@company.cn"/>
    <s v="+86-138-0123-4567"/>
    <d v="2020-03-22T00:00:00"/>
    <d v="2024-01-09T00:00:00"/>
    <n v="191900.4"/>
    <n v="110000.75"/>
    <n v="685"/>
    <n v="218000"/>
    <x v="2"/>
    <x v="0"/>
    <n v="0"/>
    <s v="Active"/>
    <n v="0.50459059633027525"/>
    <n v="6"/>
    <x v="0"/>
    <x v="4"/>
    <x v="3"/>
  </r>
  <r>
    <s v="Anna Kowalski"/>
    <s v="anna_k25"/>
    <x v="4"/>
    <x v="37"/>
    <s v="Warsaw"/>
    <n v="63"/>
    <s v="Female"/>
    <s v="anna.kowalski25@email.pl"/>
    <s v="+48-723-567-890"/>
    <d v="2021-12-22T00:00:00"/>
    <d v="2024-01-10T00:00:00"/>
    <n v="70900.800000000003"/>
    <n v="44000.6"/>
    <n v="715"/>
    <n v="117000"/>
    <x v="0"/>
    <x v="0"/>
    <n v="0"/>
    <s v="Active"/>
    <n v="0.37607350427350428"/>
    <n v="5"/>
    <x v="0"/>
    <x v="4"/>
    <x v="0"/>
  </r>
  <r>
    <s v="Mohammed Rahman"/>
    <s v="m_rahman25"/>
    <x v="3"/>
    <x v="29"/>
    <s v="Chittagong"/>
    <n v="66"/>
    <s v="Male"/>
    <s v="mohammed.rahman25@email.bd"/>
    <s v="+880-1812-789012"/>
    <d v="2021-09-22T00:00:00"/>
    <d v="2024-01-11T00:00:00"/>
    <n v="98700.25"/>
    <n v="54000.4"/>
    <n v="680"/>
    <n v="146000"/>
    <x v="0"/>
    <x v="0"/>
    <n v="0"/>
    <s v="Active"/>
    <n v="0.36986575342465755"/>
    <n v="4"/>
    <x v="0"/>
    <x v="4"/>
    <x v="2"/>
  </r>
  <r>
    <s v="Yumi Tanaka"/>
    <s v="yumi_tanaka24"/>
    <x v="6"/>
    <x v="1"/>
    <s v="Osaka"/>
    <n v="46"/>
    <s v="Female"/>
    <s v="yumi.tanaka24@edu.jp"/>
    <s v="+81-90-9012-3456"/>
    <d v="2024-08-05T00:00:00"/>
    <d v="2024-01-13T00:00:00"/>
    <n v="4250.3999999999996"/>
    <n v="13800.75"/>
    <n v="610"/>
    <n v="42000"/>
    <x v="2"/>
    <x v="1"/>
    <n v="0"/>
    <s v="Active"/>
    <n v="0.32858928571428569"/>
    <n v="2"/>
    <x v="3"/>
    <x v="2"/>
    <x v="1"/>
  </r>
  <r>
    <s v="Carlos Mendez"/>
    <s v="carlos_m24"/>
    <x v="0"/>
    <x v="13"/>
    <s v="Mexico City"/>
    <n v="78"/>
    <s v="Male"/>
    <s v="carlos.mendez24@mail.mx"/>
    <s v="+52-55-7890-0123"/>
    <d v="2019-05-22T00:00:00"/>
    <d v="2024-01-08T00:00:00"/>
    <n v="289900.79999999999"/>
    <n v="101000.25"/>
    <n v="825"/>
    <n v="298000"/>
    <x v="1"/>
    <x v="0"/>
    <n v="0"/>
    <s v="Active"/>
    <n v="0.33892701342281878"/>
    <n v="7"/>
    <x v="1"/>
    <x v="4"/>
    <x v="3"/>
  </r>
  <r>
    <s v="Aisha Mohammed"/>
    <s v="aisha_m25"/>
    <x v="5"/>
    <x v="16"/>
    <s v="Nairobi"/>
    <n v="53"/>
    <s v="Female"/>
    <s v="aisha.mohammed25@email.ke"/>
    <s v="+254-747-890-123"/>
    <d v="2024-02-22T00:00:00"/>
    <d v="2024-01-14T00:00:00"/>
    <n v="37600.75"/>
    <n v="14400.4"/>
    <n v="725"/>
    <n v="74000"/>
    <x v="1"/>
    <x v="0"/>
    <n v="0"/>
    <s v="Active"/>
    <n v="0.1946"/>
    <n v="1"/>
    <x v="0"/>
    <x v="2"/>
    <x v="1"/>
  </r>
  <r>
    <s v="David Chen"/>
    <s v="david_chen25"/>
    <x v="2"/>
    <x v="23"/>
    <s v="Singapore"/>
    <n v="70"/>
    <s v="Male"/>
    <s v="david.chen25@company.sg"/>
    <s v="+65-0690-1234"/>
    <d v="2020-09-12T00:00:00"/>
    <d v="2024-01-09T00:00:00"/>
    <n v="170100.6"/>
    <n v="101000.9"/>
    <n v="675"/>
    <n v="198000"/>
    <x v="2"/>
    <x v="0"/>
    <n v="0"/>
    <s v="Active"/>
    <n v="0.51010555555555548"/>
    <n v="6"/>
    <x v="0"/>
    <x v="4"/>
    <x v="3"/>
  </r>
  <r>
    <s v="Maria Papadopoulos"/>
    <s v="maria_p25"/>
    <x v="4"/>
    <x v="38"/>
    <s v="Athens"/>
    <n v="61"/>
    <s v="Female"/>
    <s v="maria.papadopoulos25@email.gr"/>
    <s v="+30-715-678-9012"/>
    <d v="2022-10-22T00:00:00"/>
    <d v="2024-01-11T00:00:00"/>
    <n v="65100.4"/>
    <n v="39800.25"/>
    <n v="705"/>
    <n v="106000"/>
    <x v="0"/>
    <x v="0"/>
    <n v="0"/>
    <s v="Active"/>
    <n v="0.37547405660377359"/>
    <n v="4"/>
    <x v="0"/>
    <x v="4"/>
    <x v="0"/>
  </r>
  <r>
    <s v="James Wilson"/>
    <s v="j_wilson25"/>
    <x v="3"/>
    <x v="26"/>
    <s v="Sydney"/>
    <n v="64"/>
    <s v="Male"/>
    <s v="james.wilson25@email.au"/>
    <s v="+61-447-890-123"/>
    <d v="2021-05-22T00:00:00"/>
    <d v="2024-01-10T00:00:00"/>
    <n v="111100.75"/>
    <n v="60900.800000000003"/>
    <n v="730"/>
    <n v="172000"/>
    <x v="0"/>
    <x v="0"/>
    <n v="0"/>
    <s v="Active"/>
    <n v="0.35407441860465116"/>
    <n v="5"/>
    <x v="0"/>
    <x v="4"/>
    <x v="2"/>
  </r>
  <r>
    <s v="Fatima Zahra"/>
    <s v="f_zahra25"/>
    <x v="1"/>
    <x v="25"/>
    <s v="Islamabad"/>
    <n v="49"/>
    <s v="Female"/>
    <s v="fatima.zahra25@mail.pk"/>
    <s v="+92-345-5432109"/>
    <d v="2024-07-28T00:00:00"/>
    <d v="2024-01-15T00:00:00"/>
    <n v="17000.900000000001"/>
    <n v="9900.75"/>
    <n v="685"/>
    <n v="59000"/>
    <x v="0"/>
    <x v="1"/>
    <n v="0"/>
    <s v="Active"/>
    <n v="0.16780932203389831"/>
    <n v="0"/>
    <x v="0"/>
    <x v="2"/>
    <x v="1"/>
  </r>
  <r>
    <s v="Kenji Yamada"/>
    <s v="kenji_y25"/>
    <x v="0"/>
    <x v="1"/>
    <s v="Tokyo"/>
    <n v="81"/>
    <s v="Male"/>
    <s v="kenji.yamada25@mail.jp"/>
    <s v="+81-80-5678-9012"/>
    <d v="2018-08-22T00:00:00"/>
    <d v="2024-01-08T00:00:00"/>
    <n v="300800.25"/>
    <n v="105000.4"/>
    <n v="840"/>
    <n v="313000"/>
    <x v="1"/>
    <x v="0"/>
    <n v="0"/>
    <s v="Active"/>
    <n v="0.33546453674121401"/>
    <n v="7"/>
    <x v="1"/>
    <x v="4"/>
    <x v="3"/>
  </r>
  <r>
    <s v="Ngozi Eze"/>
    <s v="ngozi_e25"/>
    <x v="2"/>
    <x v="6"/>
    <s v="Lagos"/>
    <n v="73"/>
    <s v="Female"/>
    <s v="ngozi.eze25@company.ng"/>
    <s v="+234-837-890-1234"/>
    <d v="2020-01-22T00:00:00"/>
    <d v="2024-01-09T00:00:00"/>
    <n v="181200.4"/>
    <n v="105000.75"/>
    <n v="650"/>
    <n v="208000"/>
    <x v="2"/>
    <x v="0"/>
    <n v="0"/>
    <s v="Active"/>
    <n v="0.50481129807692304"/>
    <n v="6"/>
    <x v="3"/>
    <x v="4"/>
    <x v="3"/>
  </r>
  <r>
    <s v="Thomas Schmidt"/>
    <s v="thomas_s25"/>
    <x v="3"/>
    <x v="7"/>
    <s v="Munich"/>
    <n v="60"/>
    <s v="Male"/>
    <s v="thomas.schmidt25@email.de"/>
    <s v="+49-199-0123456"/>
    <d v="2023-05-22T00:00:00"/>
    <d v="2024-01-12T00:00:00"/>
    <n v="99800.4"/>
    <n v="55100.25"/>
    <n v="745"/>
    <n v="152000"/>
    <x v="0"/>
    <x v="0"/>
    <n v="0"/>
    <s v="Active"/>
    <n v="0.3625016447368421"/>
    <n v="3"/>
    <x v="0"/>
    <x v="4"/>
    <x v="2"/>
  </r>
  <r>
    <s v="Lina Chen"/>
    <s v="lina_c25"/>
    <x v="5"/>
    <x v="4"/>
    <s v="Beijing"/>
    <n v="55"/>
    <s v="Female"/>
    <s v="lina.chen25@mail.cn"/>
    <s v="+86-137-0123-4567"/>
    <d v="2023-11-22T00:00:00"/>
    <d v="2024-01-11T00:00:00"/>
    <n v="39800.800000000003"/>
    <n v="15600.9"/>
    <n v="765"/>
    <n v="84000"/>
    <x v="1"/>
    <x v="0"/>
    <n v="0"/>
    <s v="Active"/>
    <n v="0.185725"/>
    <n v="4"/>
    <x v="2"/>
    <x v="4"/>
    <x v="0"/>
  </r>
  <r>
    <s v="Ahmed Hassan"/>
    <s v="ahmed_h25"/>
    <x v="4"/>
    <x v="20"/>
    <s v="Alexandria"/>
    <n v="68"/>
    <s v="Male"/>
    <s v="ahmed.hassan25@email.eg"/>
    <s v="+20-122-654-3210"/>
    <d v="2021-11-22T00:00:00"/>
    <d v="2024-01-10T00:00:00"/>
    <n v="73100.75"/>
    <n v="46200.4"/>
    <n v="675"/>
    <n v="124000"/>
    <x v="0"/>
    <x v="0"/>
    <n v="0"/>
    <s v="Active"/>
    <n v="0.37258387096774193"/>
    <n v="5"/>
    <x v="0"/>
    <x v="4"/>
    <x v="0"/>
  </r>
  <r>
    <s v="Sophie Martin"/>
    <s v="sophie_m25"/>
    <x v="6"/>
    <x v="10"/>
    <s v="Paris"/>
    <n v="47"/>
    <s v="Female"/>
    <s v="sophie.martin25@edu.fr"/>
    <s v="+33-6-7890-1234"/>
    <d v="2024-08-12T00:00:00"/>
    <d v="2024-01-13T00:00:00"/>
    <n v="4500.25"/>
    <n v="15000.6"/>
    <n v="615"/>
    <n v="44000"/>
    <x v="2"/>
    <x v="1"/>
    <n v="0"/>
    <s v="Active"/>
    <n v="0.34092272727272727"/>
    <n v="2"/>
    <x v="3"/>
    <x v="2"/>
    <x v="1"/>
  </r>
  <r>
    <s v="Raj Kumar"/>
    <s v="raj_kumar25"/>
    <x v="2"/>
    <x v="2"/>
    <s v="Delhi"/>
    <n v="75"/>
    <s v="Male"/>
    <s v="raj.kumar25@company.in"/>
    <s v="+91-987-654-3210"/>
    <d v="2019-12-22T00:00:00"/>
    <d v="2024-01-08T00:00:00"/>
    <n v="215800.8"/>
    <n v="118000.25"/>
    <n v="660"/>
    <n v="243000"/>
    <x v="2"/>
    <x v="0"/>
    <n v="0"/>
    <s v="Active"/>
    <n v="0.48559773662551442"/>
    <n v="7"/>
    <x v="3"/>
    <x v="4"/>
    <x v="3"/>
  </r>
  <r>
    <s v="Maria Gonzalez"/>
    <s v="maria_g26"/>
    <x v="3"/>
    <x v="13"/>
    <s v="Monterrey"/>
    <n v="62"/>
    <s v="Female"/>
    <s v="maria.gonzalez26@email.mx"/>
    <s v="+52-81-8901-0123"/>
    <d v="2022-04-22T00:00:00"/>
    <d v="2024-01-11T00:00:00"/>
    <n v="94200.9"/>
    <n v="52000.75"/>
    <n v="730"/>
    <n v="147000"/>
    <x v="0"/>
    <x v="0"/>
    <n v="0"/>
    <s v="Active"/>
    <n v="0.35374659863945579"/>
    <n v="4"/>
    <x v="0"/>
    <x v="4"/>
    <x v="2"/>
  </r>
  <r>
    <s v="Yuki Kobayashi"/>
    <s v="yuki_k25"/>
    <x v="1"/>
    <x v="1"/>
    <s v="Osaka"/>
    <n v="51"/>
    <s v="Female"/>
    <s v="yuki.kobayashi25@mail.jp"/>
    <s v="+81-90-6789-0123"/>
    <d v="2024-08-08T00:00:00"/>
    <d v="2024-01-14T00:00:00"/>
    <n v="18100.400000000001"/>
    <n v="10000.25"/>
    <n v="705"/>
    <n v="61000"/>
    <x v="0"/>
    <x v="1"/>
    <n v="0"/>
    <s v="Active"/>
    <n v="0.16393852459016395"/>
    <n v="1"/>
    <x v="0"/>
    <x v="2"/>
    <x v="1"/>
  </r>
  <r>
    <s v="Kwame Asante"/>
    <s v="kwame_a25"/>
    <x v="5"/>
    <x v="15"/>
    <s v="Accra"/>
    <n v="56"/>
    <s v="Male"/>
    <s v="kwame.asante25@email.gh"/>
    <s v="+233-78-901-2345"/>
    <d v="2023-10-22T00:00:00"/>
    <d v="2024-01-12T00:00:00"/>
    <n v="38700.6"/>
    <n v="15000.8"/>
    <n v="710"/>
    <n v="77000"/>
    <x v="1"/>
    <x v="0"/>
    <n v="0"/>
    <s v="Active"/>
    <n v="0.19481558441558441"/>
    <n v="3"/>
    <x v="0"/>
    <x v="4"/>
    <x v="0"/>
  </r>
  <r>
    <s v="Anna Petrova"/>
    <s v="anna_p25"/>
    <x v="4"/>
    <x v="12"/>
    <s v="St. Petersburg"/>
    <n v="63"/>
    <s v="Female"/>
    <s v="anna.petrova25@email.ru"/>
    <s v="+7-921-432-10-98"/>
    <d v="2021-11-22T00:00:00"/>
    <d v="2024-01-10T00:00:00"/>
    <n v="70000.25"/>
    <n v="43100.9"/>
    <n v="695"/>
    <n v="112000"/>
    <x v="0"/>
    <x v="0"/>
    <n v="0"/>
    <s v="Active"/>
    <n v="0.3848294642857143"/>
    <n v="5"/>
    <x v="0"/>
    <x v="4"/>
    <x v="0"/>
  </r>
  <r>
    <s v="Liam O'Brien"/>
    <s v="liam_obrien25"/>
    <x v="2"/>
    <x v="11"/>
    <s v="Dublin"/>
    <n v="71"/>
    <s v="Male"/>
    <s v="liam.obrien25@company.ie"/>
    <s v="+353-10-890-1234"/>
    <d v="2020-05-22T00:00:00"/>
    <d v="2024-01-09T00:00:00"/>
    <n v="148000.4"/>
    <n v="92000.6"/>
    <n v="670"/>
    <n v="179000"/>
    <x v="2"/>
    <x v="0"/>
    <n v="0"/>
    <s v="Active"/>
    <n v="0.51396983240223471"/>
    <n v="6"/>
    <x v="0"/>
    <x v="4"/>
    <x v="2"/>
  </r>
  <r>
    <s v="Ying Wang"/>
    <s v="ying_w25"/>
    <x v="0"/>
    <x v="4"/>
    <s v="Shanghai"/>
    <n v="79"/>
    <s v="Female"/>
    <s v="ying.wang25@mail.cn"/>
    <s v="+86-139-7890-1234"/>
    <d v="2019-03-22T00:00:00"/>
    <d v="2024-01-08T00:00:00"/>
    <n v="314900.75"/>
    <n v="109000.8"/>
    <n v="835"/>
    <n v="324000"/>
    <x v="1"/>
    <x v="0"/>
    <n v="0"/>
    <s v="Active"/>
    <n v="0.33642222222222223"/>
    <n v="7"/>
    <x v="1"/>
    <x v="4"/>
    <x v="3"/>
  </r>
  <r>
    <s v="Adeola Yusuf"/>
    <s v="adeola_y25"/>
    <x v="4"/>
    <x v="6"/>
    <s v="Lagos"/>
    <n v="66"/>
    <s v="Female"/>
    <s v="adeola.yusuf25@email.ng"/>
    <s v="+234-838-901-2345"/>
    <d v="2021-10-22T00:00:00"/>
    <d v="2024-01-11T00:00:00"/>
    <n v="78700.600000000006"/>
    <n v="48700.25"/>
    <n v="665"/>
    <n v="132000"/>
    <x v="0"/>
    <x v="0"/>
    <n v="0"/>
    <s v="Active"/>
    <n v="0.36894128787878788"/>
    <n v="4"/>
    <x v="3"/>
    <x v="4"/>
    <x v="2"/>
  </r>
  <r>
    <s v="Marco Bianchi"/>
    <s v="marco_b25"/>
    <x v="3"/>
    <x v="18"/>
    <s v="Rome"/>
    <n v="58"/>
    <s v="Male"/>
    <s v="marco.bianchi25@email.it"/>
    <s v="+39-372-678-9012"/>
    <d v="2023-07-22T00:00:00"/>
    <d v="2024-01-12T00:00:00"/>
    <n v="102000.8"/>
    <n v="56200.4"/>
    <n v="750"/>
    <n v="158000"/>
    <x v="0"/>
    <x v="0"/>
    <n v="0"/>
    <s v="Active"/>
    <n v="0.3556987341772152"/>
    <n v="3"/>
    <x v="2"/>
    <x v="4"/>
    <x v="2"/>
  </r>
  <r>
    <s v="Jennifer Kim"/>
    <s v="jennifer_k25"/>
    <x v="5"/>
    <x v="0"/>
    <s v="Los Angeles"/>
    <n v="54"/>
    <s v="Female"/>
    <s v="jennifer.kim25@email.com"/>
    <s v="+1-310-555-0198"/>
    <d v="2024-01-22T00:00:00"/>
    <d v="2024-01-14T00:00:00"/>
    <n v="40900.9"/>
    <n v="16000.75"/>
    <n v="770"/>
    <n v="89000"/>
    <x v="1"/>
    <x v="0"/>
    <n v="0"/>
    <s v="Active"/>
    <n v="0.17978370786516853"/>
    <n v="1"/>
    <x v="2"/>
    <x v="2"/>
    <x v="0"/>
  </r>
  <r>
    <s v="Rahman Hussain"/>
    <s v="rahman_h25"/>
    <x v="2"/>
    <x v="25"/>
    <s v="Karachi"/>
    <n v="77"/>
    <s v="Male"/>
    <s v="rahman.hussain25@company.pk"/>
    <s v="+92-324-5432109"/>
    <d v="2019-09-22T00:00:00"/>
    <d v="2024-01-08T00:00:00"/>
    <n v="201100.25"/>
    <n v="113000.8"/>
    <n v="645"/>
    <n v="229000"/>
    <x v="2"/>
    <x v="0"/>
    <n v="0"/>
    <s v="Active"/>
    <n v="0.49345327510917031"/>
    <n v="7"/>
    <x v="3"/>
    <x v="4"/>
    <x v="3"/>
  </r>
  <r>
    <s v="Sofia Martinez"/>
    <s v="sofia_m25"/>
    <x v="1"/>
    <x v="14"/>
    <s v="Valencia"/>
    <n v="50"/>
    <s v="Female"/>
    <s v="sofia.martinez25@mail.es"/>
    <s v="+34-647-890-123"/>
    <d v="2024-08-12T00:00:00"/>
    <d v="2024-01-15T00:00:00"/>
    <n v="34200.5"/>
    <n v="15600.4"/>
    <n v="720"/>
    <n v="66000"/>
    <x v="1"/>
    <x v="0"/>
    <n v="0"/>
    <s v="Active"/>
    <n v="0.23636969696969695"/>
    <n v="0"/>
    <x v="0"/>
    <x v="2"/>
    <x v="1"/>
  </r>
  <r>
    <s v="Kenji Sato"/>
    <s v="kenji_sato26"/>
    <x v="6"/>
    <x v="1"/>
    <s v="Tokyo"/>
    <n v="46"/>
    <s v="Male"/>
    <s v="kenji.sato26@edu.jp"/>
    <s v="+81-90-9012-3456"/>
    <d v="2024-08-15T00:00:00"/>
    <d v="2024-01-13T00:00:00"/>
    <n v="4250.8"/>
    <n v="13400.25"/>
    <n v="605"/>
    <n v="42000"/>
    <x v="2"/>
    <x v="1"/>
    <n v="0"/>
    <s v="Active"/>
    <n v="0.31905357142857144"/>
    <n v="2"/>
    <x v="3"/>
    <x v="2"/>
    <x v="1"/>
  </r>
  <r>
    <s v="Fatoumata Bello"/>
    <s v="fatou_b25"/>
    <x v="3"/>
    <x v="19"/>
    <s v="Dakar"/>
    <n v="60"/>
    <s v="Female"/>
    <s v="fatoumata.bello25@email.sn"/>
    <s v="+221-02-678-9012"/>
    <d v="2023-03-22T00:00:00"/>
    <d v="2024-01-11T00:00:00"/>
    <n v="88700.4"/>
    <n v="50900.75"/>
    <n v="710"/>
    <n v="140000"/>
    <x v="0"/>
    <x v="0"/>
    <n v="0"/>
    <s v="Active"/>
    <n v="0.3635767857142857"/>
    <n v="4"/>
    <x v="0"/>
    <x v="4"/>
    <x v="2"/>
  </r>
  <r>
    <s v="David Wilson"/>
    <s v="david_w25"/>
    <x v="2"/>
    <x v="3"/>
    <s v="Manchester"/>
    <n v="74"/>
    <s v="Male"/>
    <s v="david.wilson25@company.co.uk"/>
    <s v="+44-79-9012-3456"/>
    <d v="2020-02-22T00:00:00"/>
    <d v="2024-01-09T00:00:00"/>
    <n v="181300.6"/>
    <n v="106000.25"/>
    <n v="675"/>
    <n v="209000"/>
    <x v="2"/>
    <x v="0"/>
    <n v="0"/>
    <s v="Active"/>
    <n v="0.50717822966507176"/>
    <n v="6"/>
    <x v="0"/>
    <x v="4"/>
    <x v="3"/>
  </r>
  <r>
    <s v="Lina Park"/>
    <s v="lina_park25"/>
    <x v="4"/>
    <x v="17"/>
    <s v="Seoul"/>
    <n v="59"/>
    <s v="Female"/>
    <s v="lina.park25@email.kr"/>
    <s v="+82-10-8901-2345"/>
    <d v="2022-08-22T00:00:00"/>
    <d v="2024-01-10T00:00:00"/>
    <n v="65100.75"/>
    <n v="42000.800000000003"/>
    <n v="725"/>
    <n v="106000"/>
    <x v="0"/>
    <x v="0"/>
    <n v="0"/>
    <s v="Active"/>
    <n v="0.39623396226415097"/>
    <n v="5"/>
    <x v="0"/>
    <x v="4"/>
    <x v="0"/>
  </r>
  <r>
    <s v="Ahmed Al-Mansoori"/>
    <s v="ahmed_alm25"/>
    <x v="5"/>
    <x v="8"/>
    <s v="Dubai"/>
    <n v="57"/>
    <s v="Male"/>
    <s v="ahmed.almansoori25@email.ae"/>
    <s v="+971-50-012-3456"/>
    <d v="2023-11-22T00:00:00"/>
    <d v="2024-01-12T00:00:00"/>
    <n v="43100.4"/>
    <n v="16800.900000000001"/>
    <n v="740"/>
    <n v="92000"/>
    <x v="1"/>
    <x v="0"/>
    <n v="0"/>
    <s v="Active"/>
    <n v="0.18261847826086958"/>
    <n v="3"/>
    <x v="0"/>
    <x v="4"/>
    <x v="0"/>
  </r>
  <r>
    <s v="Maria Costa"/>
    <s v="maria_costa25"/>
    <x v="0"/>
    <x v="5"/>
    <s v="São Paulo"/>
    <n v="80"/>
    <s v="Female"/>
    <s v="maria.costa25@mail.com.br"/>
    <s v="+55-11-99912-3456"/>
    <d v="2018-11-22T00:00:00"/>
    <d v="2024-01-08T00:00:00"/>
    <n v="270200.90000000002"/>
    <n v="96000.6"/>
    <n v="830"/>
    <n v="304000"/>
    <x v="1"/>
    <x v="0"/>
    <n v="0"/>
    <s v="Active"/>
    <n v="0.31579144736842107"/>
    <n v="7"/>
    <x v="1"/>
    <x v="4"/>
    <x v="3"/>
  </r>
  <r>
    <s v="Chinedu Nwankwo"/>
    <s v="chinedu_n25"/>
    <x v="2"/>
    <x v="6"/>
    <s v="Abuja"/>
    <n v="72"/>
    <s v="Male"/>
    <s v="chinedu.nwankwo25@company.ng"/>
    <s v="+234-839-012-3456"/>
    <d v="2020-07-12T00:00:00"/>
    <d v="2024-01-09T00:00:00"/>
    <n v="159100.25"/>
    <n v="98000.4"/>
    <n v="655"/>
    <n v="194000"/>
    <x v="2"/>
    <x v="0"/>
    <n v="0"/>
    <s v="Active"/>
    <n v="0.5051567010309278"/>
    <n v="6"/>
    <x v="3"/>
    <x v="4"/>
    <x v="3"/>
  </r>
  <r>
    <s v="Isabelle Moreau"/>
    <s v="isabelle_m25"/>
    <x v="3"/>
    <x v="9"/>
    <s v="Montreal"/>
    <n v="61"/>
    <s v="Female"/>
    <s v="isabelle.moreau25@email.ca"/>
    <s v="+1-514-555-0198"/>
    <d v="2022-12-22T00:00:00"/>
    <d v="2024-01-11T00:00:00"/>
    <n v="107600.6"/>
    <n v="58900.75"/>
    <n v="760"/>
    <n v="163000"/>
    <x v="0"/>
    <x v="0"/>
    <n v="0"/>
    <s v="Active"/>
    <n v="0.36135429447852763"/>
    <n v="4"/>
    <x v="2"/>
    <x v="4"/>
    <x v="2"/>
  </r>
  <r>
    <s v="Rahman Ali"/>
    <s v="rahman_ali26"/>
    <x v="1"/>
    <x v="36"/>
    <s v="Surabaya"/>
    <n v="52"/>
    <s v="Male"/>
    <s v="rahman.ali26@mail.id"/>
    <s v="+62-836-7890-1234"/>
    <d v="2024-08-08T00:00:00"/>
    <d v="2024-01-15T00:00:00"/>
    <n v="20400.25"/>
    <n v="12100.8"/>
    <n v="695"/>
    <n v="63000"/>
    <x v="0"/>
    <x v="1"/>
    <n v="0"/>
    <s v="Active"/>
    <n v="0.19207619047619046"/>
    <n v="0"/>
    <x v="0"/>
    <x v="2"/>
    <x v="1"/>
  </r>
  <r>
    <s v="Sarah Johnson"/>
    <s v="sarah_j25"/>
    <x v="5"/>
    <x v="0"/>
    <s v="New York"/>
    <n v="55"/>
    <s v="Female"/>
    <s v="sarah.johnson25@email.com"/>
    <s v="+1-646-555-0194"/>
    <d v="2023-09-22T00:00:00"/>
    <d v="2024-01-12T00:00:00"/>
    <n v="42000.9"/>
    <n v="16400.25"/>
    <n v="755"/>
    <n v="85000"/>
    <x v="1"/>
    <x v="0"/>
    <n v="0"/>
    <s v="Active"/>
    <n v="0.19294411764705882"/>
    <n v="3"/>
    <x v="2"/>
    <x v="4"/>
    <x v="0"/>
  </r>
  <r>
    <s v="Wei Zhang"/>
    <s v="wei_zhang25"/>
    <x v="2"/>
    <x v="4"/>
    <s v="Beijing"/>
    <n v="73"/>
    <s v="Male"/>
    <s v="wei.zhang25@company.cn"/>
    <s v="+86-138-1234-5678"/>
    <d v="2020-04-22T00:00:00"/>
    <d v="2024-01-09T00:00:00"/>
    <n v="192000.4"/>
    <n v="111000.75"/>
    <n v="685"/>
    <n v="219000"/>
    <x v="2"/>
    <x v="0"/>
    <n v="0"/>
    <s v="Active"/>
    <n v="0.5068527397260274"/>
    <n v="6"/>
    <x v="0"/>
    <x v="4"/>
    <x v="3"/>
  </r>
  <r>
    <s v="Anna Kowalski"/>
    <s v="anna_k26"/>
    <x v="4"/>
    <x v="37"/>
    <s v="Warsaw"/>
    <n v="64"/>
    <s v="Female"/>
    <s v="anna.kowalski26@email.pl"/>
    <s v="+48-724-678-901"/>
    <d v="2022-01-22T00:00:00"/>
    <d v="2024-01-10T00:00:00"/>
    <n v="72000.800000000003"/>
    <n v="45100.6"/>
    <n v="715"/>
    <n v="118000"/>
    <x v="0"/>
    <x v="0"/>
    <n v="0"/>
    <s v="Active"/>
    <n v="0.38220847457627116"/>
    <n v="5"/>
    <x v="0"/>
    <x v="4"/>
    <x v="0"/>
  </r>
  <r>
    <s v="Mohammed Rahman"/>
    <s v="m_rahman26"/>
    <x v="3"/>
    <x v="29"/>
    <s v="Dhaka"/>
    <n v="67"/>
    <s v="Male"/>
    <s v="mohammed.rahman26@email.bd"/>
    <s v="+880-1812-890123"/>
    <d v="2021-10-22T00:00:00"/>
    <d v="2024-01-11T00:00:00"/>
    <n v="99800.25"/>
    <n v="55100.4"/>
    <n v="680"/>
    <n v="147000"/>
    <x v="0"/>
    <x v="0"/>
    <n v="0"/>
    <s v="Active"/>
    <n v="0.37483265306122449"/>
    <n v="4"/>
    <x v="0"/>
    <x v="4"/>
    <x v="2"/>
  </r>
  <r>
    <s v="Yumi Tanaka"/>
    <s v="yumi_tanaka25"/>
    <x v="6"/>
    <x v="1"/>
    <s v="Osaka"/>
    <n v="47"/>
    <s v="Female"/>
    <s v="yumi.tanaka25@edu.jp"/>
    <s v="+81-90-0123-4567"/>
    <d v="2024-08-22T00:00:00"/>
    <d v="2024-01-13T00:00:00"/>
    <n v="4350.3999999999996"/>
    <n v="14000.75"/>
    <n v="610"/>
    <n v="43000"/>
    <x v="2"/>
    <x v="1"/>
    <n v="0"/>
    <s v="Active"/>
    <n v="0.32559883720930233"/>
    <n v="2"/>
    <x v="3"/>
    <x v="2"/>
    <x v="1"/>
  </r>
  <r>
    <s v="Carlos Mendez"/>
    <s v="carlos_m25"/>
    <x v="0"/>
    <x v="13"/>
    <s v="Mexico City"/>
    <n v="79"/>
    <s v="Male"/>
    <s v="carlos.mendez25@mail.mx"/>
    <s v="+52-55-8901-0123"/>
    <d v="2019-06-22T00:00:00"/>
    <d v="2024-01-08T00:00:00"/>
    <n v="290000.8"/>
    <n v="102000.25"/>
    <n v="825"/>
    <n v="299000"/>
    <x v="1"/>
    <x v="0"/>
    <n v="0"/>
    <s v="Active"/>
    <n v="0.34113795986622075"/>
    <n v="7"/>
    <x v="1"/>
    <x v="4"/>
    <x v="3"/>
  </r>
  <r>
    <s v="Aisha Mohammed"/>
    <s v="aisha_m26"/>
    <x v="5"/>
    <x v="16"/>
    <s v="Nairobi"/>
    <n v="54"/>
    <s v="Female"/>
    <s v="aisha.mohammed26@email.ke"/>
    <s v="+254-748-901-234"/>
    <d v="2024-03-22T00:00:00"/>
    <d v="2024-01-14T00:00:00"/>
    <n v="38700.75"/>
    <n v="14800.4"/>
    <n v="725"/>
    <n v="75000"/>
    <x v="1"/>
    <x v="0"/>
    <n v="0"/>
    <s v="Active"/>
    <n v="0.19733866666666666"/>
    <n v="1"/>
    <x v="0"/>
    <x v="2"/>
    <x v="0"/>
  </r>
  <r>
    <s v="David Chen"/>
    <s v="david_chen26"/>
    <x v="2"/>
    <x v="23"/>
    <s v="Singapore"/>
    <n v="71"/>
    <s v="Male"/>
    <s v="david.chen26@company.sg"/>
    <s v="+65-0790-1234"/>
    <d v="2020-10-12T00:00:00"/>
    <d v="2024-01-09T00:00:00"/>
    <n v="170200.6"/>
    <n v="102000.9"/>
    <n v="675"/>
    <n v="199000"/>
    <x v="2"/>
    <x v="0"/>
    <n v="0"/>
    <s v="Active"/>
    <n v="0.51256733668341703"/>
    <n v="6"/>
    <x v="0"/>
    <x v="4"/>
    <x v="3"/>
  </r>
  <r>
    <s v="Maria Papadopoulos"/>
    <s v="maria_p26"/>
    <x v="4"/>
    <x v="38"/>
    <s v="Athens"/>
    <n v="62"/>
    <s v="Female"/>
    <s v="maria.papadopoulos26@email.gr"/>
    <s v="+30-716-789-0123"/>
    <d v="2022-11-22T00:00:00"/>
    <d v="2024-01-11T00:00:00"/>
    <n v="66200.399999999994"/>
    <n v="40900.25"/>
    <n v="705"/>
    <n v="107000"/>
    <x v="0"/>
    <x v="0"/>
    <n v="0"/>
    <s v="Active"/>
    <n v="0.38224532710280373"/>
    <n v="4"/>
    <x v="0"/>
    <x v="4"/>
    <x v="0"/>
  </r>
  <r>
    <s v="James Wilson"/>
    <s v="j_wilson26"/>
    <x v="3"/>
    <x v="26"/>
    <s v="Sydney"/>
    <n v="65"/>
    <s v="Male"/>
    <s v="james.wilson26@email.au"/>
    <s v="+61-448-901-234"/>
    <d v="2021-06-22T00:00:00"/>
    <d v="2024-01-10T00:00:00"/>
    <n v="112100.75"/>
    <n v="62000.800000000003"/>
    <n v="730"/>
    <n v="173000"/>
    <x v="0"/>
    <x v="0"/>
    <n v="0"/>
    <s v="Active"/>
    <n v="0.35838612716763008"/>
    <n v="5"/>
    <x v="0"/>
    <x v="4"/>
    <x v="2"/>
  </r>
  <r>
    <s v="Fatima Zahra"/>
    <s v="f_zahra26"/>
    <x v="1"/>
    <x v="25"/>
    <s v="Lahore"/>
    <n v="50"/>
    <s v="Female"/>
    <s v="fatima.zahra26@mail.pk"/>
    <s v="+92-346-4321098"/>
    <d v="2024-08-15T00:00:00"/>
    <d v="2024-01-15T00:00:00"/>
    <n v="17400.900000000001"/>
    <n v="10100.75"/>
    <n v="685"/>
    <n v="60000"/>
    <x v="0"/>
    <x v="1"/>
    <n v="0"/>
    <s v="Active"/>
    <n v="0.16834583333333333"/>
    <n v="0"/>
    <x v="0"/>
    <x v="2"/>
    <x v="1"/>
  </r>
  <r>
    <s v="Kenji Yamada"/>
    <s v="kenji_y26"/>
    <x v="0"/>
    <x v="1"/>
    <s v="Tokyo"/>
    <n v="82"/>
    <s v="Male"/>
    <s v="kenji.yamada26@mail.jp"/>
    <s v="+81-80-6789-0123"/>
    <d v="2018-09-22T00:00:00"/>
    <d v="2024-01-08T00:00:00"/>
    <n v="300900.25"/>
    <n v="106000.4"/>
    <n v="840"/>
    <n v="314000"/>
    <x v="1"/>
    <x v="0"/>
    <n v="0"/>
    <s v="Active"/>
    <n v="0.3375808917197452"/>
    <n v="7"/>
    <x v="1"/>
    <x v="4"/>
    <x v="3"/>
  </r>
  <r>
    <s v="Ngozi Eze"/>
    <s v="ngozi_e26"/>
    <x v="2"/>
    <x v="6"/>
    <s v="Lagos"/>
    <n v="74"/>
    <s v="Female"/>
    <s v="ngozi.eze26@company.ng"/>
    <s v="+234-838-901-2345"/>
    <d v="2020-02-22T00:00:00"/>
    <d v="2024-01-09T00:00:00"/>
    <n v="181300.4"/>
    <n v="106000.75"/>
    <n v="650"/>
    <n v="209000"/>
    <x v="2"/>
    <x v="0"/>
    <n v="0"/>
    <s v="Active"/>
    <n v="0.50718062200956937"/>
    <n v="6"/>
    <x v="3"/>
    <x v="4"/>
    <x v="3"/>
  </r>
  <r>
    <s v="Thomas Schmidt"/>
    <s v="thomas_s26"/>
    <x v="3"/>
    <x v="7"/>
    <s v="Berlin"/>
    <n v="61"/>
    <s v="Male"/>
    <s v="thomas.schmidt26@email.de"/>
    <s v="+49-200-1234567"/>
    <d v="2023-06-22T00:00:00"/>
    <d v="2024-01-12T00:00:00"/>
    <n v="100900.4"/>
    <n v="56200.25"/>
    <n v="745"/>
    <n v="153000"/>
    <x v="0"/>
    <x v="0"/>
    <n v="0"/>
    <s v="Active"/>
    <n v="0.36732189542483662"/>
    <n v="3"/>
    <x v="0"/>
    <x v="4"/>
    <x v="2"/>
  </r>
  <r>
    <s v="Lina Chen"/>
    <s v="lina_c26"/>
    <x v="5"/>
    <x v="4"/>
    <s v="Beijing"/>
    <n v="56"/>
    <s v="Female"/>
    <s v="lina.chen26@mail.cn"/>
    <s v="+86-137-1234-5678"/>
    <d v="2023-12-22T00:00:00"/>
    <d v="2024-01-11T00:00:00"/>
    <n v="40900.800000000003"/>
    <n v="16000.9"/>
    <n v="765"/>
    <n v="85000"/>
    <x v="1"/>
    <x v="0"/>
    <n v="0"/>
    <s v="Active"/>
    <n v="0.18824588235294118"/>
    <n v="4"/>
    <x v="2"/>
    <x v="4"/>
    <x v="0"/>
  </r>
  <r>
    <s v="Ahmed Hassan"/>
    <s v="ahmed_h26"/>
    <x v="4"/>
    <x v="20"/>
    <s v="Alexandria"/>
    <n v="69"/>
    <s v="Male"/>
    <s v="ahmed.hassan26@email.eg"/>
    <s v="+20-122-543-2109"/>
    <d v="2021-12-22T00:00:00"/>
    <d v="2024-01-10T00:00:00"/>
    <n v="74200.75"/>
    <n v="47300.4"/>
    <n v="675"/>
    <n v="125000"/>
    <x v="0"/>
    <x v="0"/>
    <n v="0"/>
    <s v="Active"/>
    <n v="0.3784032"/>
    <n v="5"/>
    <x v="0"/>
    <x v="4"/>
    <x v="0"/>
  </r>
  <r>
    <s v="Sophie Martin"/>
    <s v="sophie_m26"/>
    <x v="6"/>
    <x v="10"/>
    <s v="Paris"/>
    <n v="48"/>
    <s v="Female"/>
    <s v="sophie.martin26@edu.fr"/>
    <s v="+33-6-8901-2345"/>
    <d v="2024-08-28T00:00:00"/>
    <d v="2024-01-13T00:00:00"/>
    <n v="4600.25"/>
    <n v="15200.6"/>
    <n v="615"/>
    <n v="45000"/>
    <x v="2"/>
    <x v="1"/>
    <n v="0"/>
    <s v="Active"/>
    <n v="0.3377911111111111"/>
    <n v="2"/>
    <x v="3"/>
    <x v="2"/>
    <x v="1"/>
  </r>
  <r>
    <s v="Raj Kumar"/>
    <s v="raj_kumar26"/>
    <x v="2"/>
    <x v="2"/>
    <s v="Mumbai"/>
    <n v="76"/>
    <s v="Male"/>
    <s v="raj.kumar26@company.in"/>
    <s v="+91-987-654-3210"/>
    <d v="2020-01-22T00:00:00"/>
    <d v="2024-01-08T00:00:00"/>
    <n v="215900.79999999999"/>
    <n v="119000.25"/>
    <n v="660"/>
    <n v="244000"/>
    <x v="2"/>
    <x v="0"/>
    <n v="0"/>
    <s v="Active"/>
    <n v="0.48770594262295081"/>
    <n v="7"/>
    <x v="3"/>
    <x v="4"/>
    <x v="3"/>
  </r>
  <r>
    <s v="Maria Gonzalez"/>
    <s v="maria_g27"/>
    <x v="3"/>
    <x v="13"/>
    <s v="Guadalajara"/>
    <n v="63"/>
    <s v="Female"/>
    <s v="maria.gonzalez27@email.mx"/>
    <s v="+52-33-9012-0123"/>
    <d v="2022-05-22T00:00:00"/>
    <d v="2024-01-11T00:00:00"/>
    <n v="95300.9"/>
    <n v="53100.75"/>
    <n v="730"/>
    <n v="148000"/>
    <x v="0"/>
    <x v="0"/>
    <n v="0"/>
    <s v="Active"/>
    <n v="0.35878885135135136"/>
    <n v="4"/>
    <x v="0"/>
    <x v="4"/>
    <x v="2"/>
  </r>
  <r>
    <s v="Yuki Kobayashi"/>
    <s v="yuki_k26"/>
    <x v="1"/>
    <x v="1"/>
    <s v="Osaka"/>
    <n v="52"/>
    <s v="Female"/>
    <s v="yuki.kobayashi26@mail.jp"/>
    <s v="+81-90-7890-1234"/>
    <d v="2024-08-22T00:00:00"/>
    <d v="2024-01-14T00:00:00"/>
    <n v="18500.400000000001"/>
    <n v="10200.25"/>
    <n v="705"/>
    <n v="62000"/>
    <x v="0"/>
    <x v="1"/>
    <n v="0"/>
    <s v="Active"/>
    <n v="0.16452016129032257"/>
    <n v="1"/>
    <x v="0"/>
    <x v="2"/>
    <x v="1"/>
  </r>
  <r>
    <s v="Kwame Asante"/>
    <s v="kwame_a26"/>
    <x v="5"/>
    <x v="15"/>
    <s v="Accra"/>
    <n v="57"/>
    <s v="Male"/>
    <s v="kwame.asante26@email.gh"/>
    <s v="+233-79-012-3456"/>
    <d v="2023-11-22T00:00:00"/>
    <d v="2024-01-12T00:00:00"/>
    <n v="39800.6"/>
    <n v="15400.8"/>
    <n v="710"/>
    <n v="78000"/>
    <x v="1"/>
    <x v="0"/>
    <n v="0"/>
    <s v="Active"/>
    <n v="0.19744615384615383"/>
    <n v="3"/>
    <x v="0"/>
    <x v="4"/>
    <x v="0"/>
  </r>
  <r>
    <s v="Anna Petrova"/>
    <s v="anna_p26"/>
    <x v="4"/>
    <x v="12"/>
    <s v="St. Petersburg"/>
    <n v="64"/>
    <s v="Female"/>
    <s v="anna.petrova26@email.ru"/>
    <s v="+7-921-321-09-87"/>
    <d v="2021-12-22T00:00:00"/>
    <d v="2024-01-10T00:00:00"/>
    <n v="71100.25"/>
    <n v="44200.9"/>
    <n v="695"/>
    <n v="113000"/>
    <x v="0"/>
    <x v="0"/>
    <n v="0"/>
    <s v="Active"/>
    <n v="0.39115840707964605"/>
    <n v="5"/>
    <x v="0"/>
    <x v="4"/>
    <x v="0"/>
  </r>
  <r>
    <s v="Liam O'Brien"/>
    <s v="liam_obrien26"/>
    <x v="2"/>
    <x v="11"/>
    <s v="Cork"/>
    <n v="72"/>
    <s v="Male"/>
    <s v="liam.obrien26@company.ie"/>
    <s v="+353-11-901-2345"/>
    <d v="2020-06-22T00:00:00"/>
    <d v="2024-01-09T00:00:00"/>
    <n v="148100.4"/>
    <n v="93000.6"/>
    <n v="670"/>
    <n v="180000"/>
    <x v="2"/>
    <x v="0"/>
    <n v="0"/>
    <s v="Active"/>
    <n v="0.51667000000000007"/>
    <n v="6"/>
    <x v="0"/>
    <x v="4"/>
    <x v="2"/>
  </r>
  <r>
    <s v="Ying Wang"/>
    <s v="ying_w26"/>
    <x v="0"/>
    <x v="4"/>
    <s v="Shanghai"/>
    <n v="80"/>
    <s v="Female"/>
    <s v="ying.wang26@mail.cn"/>
    <s v="+86-139-8901-2345"/>
    <d v="2019-04-22T00:00:00"/>
    <d v="2024-01-08T00:00:00"/>
    <n v="315000.75"/>
    <n v="110000.8"/>
    <n v="835"/>
    <n v="325000"/>
    <x v="1"/>
    <x v="0"/>
    <n v="0"/>
    <s v="Active"/>
    <n v="0.33846399999999999"/>
    <n v="7"/>
    <x v="1"/>
    <x v="4"/>
    <x v="3"/>
  </r>
  <r>
    <s v="Adeola Yusuf"/>
    <s v="adeola_y26"/>
    <x v="4"/>
    <x v="6"/>
    <s v="Port Harcourt"/>
    <n v="67"/>
    <s v="Female"/>
    <s v="adeola.yusuf26@email.ng"/>
    <s v="+234-839-012-3456"/>
    <d v="2021-11-22T00:00:00"/>
    <d v="2024-01-11T00:00:00"/>
    <n v="79800.600000000006"/>
    <n v="49800.25"/>
    <n v="665"/>
    <n v="133000"/>
    <x v="0"/>
    <x v="0"/>
    <n v="0"/>
    <s v="Active"/>
    <n v="0.37443796992481204"/>
    <n v="4"/>
    <x v="3"/>
    <x v="4"/>
    <x v="2"/>
  </r>
  <r>
    <s v="Marco Bianchi"/>
    <s v="marco_b26"/>
    <x v="3"/>
    <x v="18"/>
    <s v="Milan"/>
    <n v="59"/>
    <s v="Male"/>
    <s v="marco.bianchi26@email.it"/>
    <s v="+39-373-789-0123"/>
    <d v="2023-08-22T00:00:00"/>
    <d v="2024-01-12T00:00:00"/>
    <n v="103100.8"/>
    <n v="57300.4"/>
    <n v="750"/>
    <n v="159000"/>
    <x v="0"/>
    <x v="0"/>
    <n v="0"/>
    <s v="Active"/>
    <n v="0.36037987421383649"/>
    <n v="3"/>
    <x v="2"/>
    <x v="4"/>
    <x v="2"/>
  </r>
  <r>
    <s v="Jennifer Kim"/>
    <s v="jennifer_k26"/>
    <x v="5"/>
    <x v="0"/>
    <s v="San Francisco"/>
    <n v="55"/>
    <s v="Female"/>
    <s v="jennifer.kim26@email.com"/>
    <s v="+1-415-555-0194"/>
    <d v="2024-02-22T00:00:00"/>
    <d v="2024-01-14T00:00:00"/>
    <n v="42000.9"/>
    <n v="16400.75"/>
    <n v="770"/>
    <n v="90000"/>
    <x v="1"/>
    <x v="0"/>
    <n v="0"/>
    <s v="Active"/>
    <n v="0.18223055555555556"/>
    <n v="1"/>
    <x v="2"/>
    <x v="4"/>
    <x v="0"/>
  </r>
  <r>
    <s v="Rahman Hussain"/>
    <s v="rahman_h26"/>
    <x v="2"/>
    <x v="25"/>
    <s v="Islamabad"/>
    <n v="78"/>
    <s v="Male"/>
    <s v="rahman.hussain26@company.pk"/>
    <s v="+92-325-4321098"/>
    <d v="2019-10-22T00:00:00"/>
    <d v="2024-01-08T00:00:00"/>
    <n v="201200.25"/>
    <n v="114000.8"/>
    <n v="645"/>
    <n v="230000"/>
    <x v="2"/>
    <x v="0"/>
    <n v="0"/>
    <s v="Active"/>
    <n v="0.49565565217391305"/>
    <n v="7"/>
    <x v="3"/>
    <x v="4"/>
    <x v="3"/>
  </r>
  <r>
    <s v="Sofia Martinez"/>
    <s v="sofia_m26"/>
    <x v="1"/>
    <x v="14"/>
    <s v="Barcelona"/>
    <n v="51"/>
    <s v="Female"/>
    <s v="sofia.martinez26@mail.es"/>
    <s v="+34-648-901-234"/>
    <d v="2024-08-28T00:00:00"/>
    <d v="2024-01-15T00:00:00"/>
    <n v="35200.5"/>
    <n v="16000.4"/>
    <n v="720"/>
    <n v="67000"/>
    <x v="1"/>
    <x v="0"/>
    <n v="0"/>
    <s v="Active"/>
    <n v="0.23881194029850747"/>
    <n v="0"/>
    <x v="0"/>
    <x v="2"/>
    <x v="1"/>
  </r>
  <r>
    <s v="Kenji Sato"/>
    <s v="kenji_sato27"/>
    <x v="6"/>
    <x v="1"/>
    <s v="Tokyo"/>
    <n v="47"/>
    <s v="Male"/>
    <s v="kenji.sato27@edu.jp"/>
    <s v="+81-90-0123-4567"/>
    <d v="2024-08-28T00:00:00"/>
    <d v="2024-01-13T00:00:00"/>
    <n v="4350.8"/>
    <n v="13600.25"/>
    <n v="605"/>
    <n v="43000"/>
    <x v="2"/>
    <x v="1"/>
    <n v="0"/>
    <s v="Active"/>
    <n v="0.31628488372093022"/>
    <n v="2"/>
    <x v="3"/>
    <x v="2"/>
    <x v="1"/>
  </r>
  <r>
    <s v="Fatoumata Bello"/>
    <s v="fatou_b26"/>
    <x v="3"/>
    <x v="19"/>
    <s v="Dakar"/>
    <n v="61"/>
    <s v="Female"/>
    <s v="fatoumata.bello26@email.sn"/>
    <s v="+221-03-789-0123"/>
    <d v="2023-04-22T00:00:00"/>
    <d v="2024-01-11T00:00:00"/>
    <n v="89800.4"/>
    <n v="52000.75"/>
    <n v="710"/>
    <n v="141000"/>
    <x v="0"/>
    <x v="0"/>
    <n v="0"/>
    <s v="Active"/>
    <n v="0.36879964539007093"/>
    <n v="4"/>
    <x v="0"/>
    <x v="4"/>
    <x v="2"/>
  </r>
  <r>
    <s v="David Wilson"/>
    <s v="david_w26"/>
    <x v="2"/>
    <x v="3"/>
    <s v="London"/>
    <n v="75"/>
    <s v="Male"/>
    <s v="david.wilson26@company.co.uk"/>
    <s v="+44-79-0123-4567"/>
    <d v="2020-03-22T00:00:00"/>
    <d v="2024-01-09T00:00:00"/>
    <n v="181400.6"/>
    <n v="107000.25"/>
    <n v="675"/>
    <n v="210000"/>
    <x v="2"/>
    <x v="0"/>
    <n v="0"/>
    <s v="Active"/>
    <n v="0.50952500000000001"/>
    <n v="6"/>
    <x v="0"/>
    <x v="4"/>
    <x v="3"/>
  </r>
  <r>
    <s v="Lina Park"/>
    <s v="lina_park26"/>
    <x v="4"/>
    <x v="17"/>
    <s v="Busan"/>
    <n v="60"/>
    <s v="Female"/>
    <s v="lina.park26@email.kr"/>
    <s v="+82-10-9012-3456"/>
    <d v="2022-09-22T00:00:00"/>
    <d v="2024-01-10T00:00:00"/>
    <n v="66200.75"/>
    <n v="43100.800000000003"/>
    <n v="725"/>
    <n v="107000"/>
    <x v="0"/>
    <x v="0"/>
    <n v="0"/>
    <s v="Active"/>
    <n v="0.40281121495327105"/>
    <n v="5"/>
    <x v="0"/>
    <x v="4"/>
    <x v="0"/>
  </r>
  <r>
    <s v="Ahmed Al-Mansoori"/>
    <s v="ahmed_alm26"/>
    <x v="5"/>
    <x v="8"/>
    <s v="Abu Dhabi"/>
    <n v="58"/>
    <s v="Male"/>
    <s v="ahmed.almansoori26@email.ae"/>
    <s v="+971-50-123-4567"/>
    <d v="2023-12-22T00:00:00"/>
    <d v="2024-01-12T00:00:00"/>
    <n v="44200.4"/>
    <n v="17200.900000000001"/>
    <n v="740"/>
    <n v="93000"/>
    <x v="1"/>
    <x v="0"/>
    <n v="0"/>
    <s v="Active"/>
    <n v="0.18495591397849465"/>
    <n v="3"/>
    <x v="0"/>
    <x v="4"/>
    <x v="0"/>
  </r>
  <r>
    <s v="Maria Costa"/>
    <s v="maria_costa26"/>
    <x v="0"/>
    <x v="5"/>
    <s v="Rio de Janeiro"/>
    <n v="81"/>
    <s v="Female"/>
    <s v="maria.costa26@mail.com.br"/>
    <s v="+55-21-99923-4567"/>
    <d v="2018-12-22T00:00:00"/>
    <d v="2024-01-08T00:00:00"/>
    <n v="270300.90000000002"/>
    <n v="97000.6"/>
    <n v="830"/>
    <n v="305000"/>
    <x v="1"/>
    <x v="0"/>
    <n v="0"/>
    <s v="Active"/>
    <n v="0.31803475409836068"/>
    <n v="7"/>
    <x v="1"/>
    <x v="4"/>
    <x v="3"/>
  </r>
  <r>
    <s v="Chinedu Nwankwo"/>
    <s v="chinedu_n26"/>
    <x v="2"/>
    <x v="6"/>
    <s v="Abuja"/>
    <n v="73"/>
    <s v="Male"/>
    <s v="chinedu.nwankwo26@company.ng"/>
    <s v="+234-840-123-4567"/>
    <d v="2020-08-12T00:00:00"/>
    <d v="2024-01-09T00:00:00"/>
    <n v="159200.25"/>
    <n v="99000.4"/>
    <n v="655"/>
    <n v="195000"/>
    <x v="2"/>
    <x v="0"/>
    <n v="0"/>
    <s v="Active"/>
    <n v="0.50769435897435899"/>
    <n v="6"/>
    <x v="3"/>
    <x v="4"/>
    <x v="3"/>
  </r>
  <r>
    <s v="Isabelle Moreau"/>
    <s v="isabelle_m26"/>
    <x v="3"/>
    <x v="9"/>
    <s v="Vancouver"/>
    <n v="62"/>
    <s v="Female"/>
    <s v="isabelle.moreau26@email.ca"/>
    <s v="+1-604-555-0198"/>
    <d v="2023-01-22T00:00:00"/>
    <d v="2024-01-11T00:00:00"/>
    <n v="108700.6"/>
    <n v="60000.75"/>
    <n v="760"/>
    <n v="164000"/>
    <x v="0"/>
    <x v="0"/>
    <n v="0"/>
    <s v="Active"/>
    <n v="0.36585823170731707"/>
    <n v="4"/>
    <x v="2"/>
    <x v="4"/>
    <x v="2"/>
  </r>
  <r>
    <s v="Rahman Ali"/>
    <s v="rahman_ali27"/>
    <x v="1"/>
    <x v="36"/>
    <s v="Jakarta"/>
    <n v="53"/>
    <s v="Male"/>
    <s v="rahman.ali27@mail.id"/>
    <s v="+62-837-8901-2345"/>
    <d v="2024-08-28T00:00:00"/>
    <d v="2024-01-15T00:00:00"/>
    <n v="20900.25"/>
    <n v="12400.8"/>
    <n v="695"/>
    <n v="64000"/>
    <x v="0"/>
    <x v="1"/>
    <n v="0"/>
    <s v="Active"/>
    <n v="0.19376249999999998"/>
    <n v="0"/>
    <x v="0"/>
    <x v="2"/>
    <x v="1"/>
  </r>
  <r>
    <s v="Sarah Johnson"/>
    <s v="sarah_j26"/>
    <x v="5"/>
    <x v="0"/>
    <s v="Chicago"/>
    <n v="56"/>
    <s v="Female"/>
    <s v="sarah.johnson26@email.com"/>
    <s v="+1-773-555-0194"/>
    <d v="2023-10-22T00:00:00"/>
    <d v="2024-01-12T00:00:00"/>
    <n v="43100.9"/>
    <n v="16800.25"/>
    <n v="755"/>
    <n v="86000"/>
    <x v="1"/>
    <x v="0"/>
    <n v="0"/>
    <s v="Active"/>
    <n v="0.19535174418604651"/>
    <n v="3"/>
    <x v="2"/>
    <x v="4"/>
    <x v="0"/>
  </r>
  <r>
    <s v="Wei Zhang"/>
    <s v="wei_zhang26"/>
    <x v="2"/>
    <x v="4"/>
    <s v="Beijing"/>
    <n v="74"/>
    <s v="Male"/>
    <s v="wei.zhang26@company.cn"/>
    <s v="+86-138-2345-6789"/>
    <d v="2020-05-22T00:00:00"/>
    <d v="2024-01-09T00:00:00"/>
    <n v="192100.4"/>
    <n v="112000.75"/>
    <n v="685"/>
    <n v="220000"/>
    <x v="2"/>
    <x v="0"/>
    <n v="0"/>
    <s v="Active"/>
    <n v="0.50909431818181816"/>
    <n v="6"/>
    <x v="0"/>
    <x v="4"/>
    <x v="3"/>
  </r>
  <r>
    <s v="Anna Kowalski"/>
    <s v="anna_k27"/>
    <x v="4"/>
    <x v="37"/>
    <s v="Warsaw"/>
    <n v="65"/>
    <s v="Female"/>
    <s v="anna.kowalski27@email.pl"/>
    <s v="+48-725-789-012"/>
    <d v="2022-02-22T00:00:00"/>
    <d v="2024-01-10T00:00:00"/>
    <n v="73100.800000000003"/>
    <n v="46200.6"/>
    <n v="715"/>
    <n v="119000"/>
    <x v="0"/>
    <x v="0"/>
    <n v="0"/>
    <s v="Active"/>
    <n v="0.38824033613445375"/>
    <n v="5"/>
    <x v="0"/>
    <x v="4"/>
    <x v="0"/>
  </r>
  <r>
    <s v="Mohammed Rahman"/>
    <s v="m_rahman27"/>
    <x v="3"/>
    <x v="29"/>
    <s v="Chittagong"/>
    <n v="68"/>
    <s v="Male"/>
    <s v="mohammed.rahman27@email.bd"/>
    <s v="+880-1812-901234"/>
    <d v="2021-11-22T00:00:00"/>
    <d v="2024-01-11T00:00:00"/>
    <n v="100900.25"/>
    <n v="56200.4"/>
    <n v="680"/>
    <n v="148000"/>
    <x v="0"/>
    <x v="0"/>
    <n v="0"/>
    <s v="Active"/>
    <n v="0.37973243243243243"/>
    <n v="4"/>
    <x v="0"/>
    <x v="4"/>
    <x v="2"/>
  </r>
  <r>
    <s v="Yumi Tanaka"/>
    <s v="yumi_tanaka26"/>
    <x v="6"/>
    <x v="1"/>
    <s v="Osaka"/>
    <n v="48"/>
    <s v="Female"/>
    <s v="yumi.tanaka26@edu.jp"/>
    <s v="+81-90-1234-5678"/>
    <d v="2024-09-05T00:00:00"/>
    <d v="2024-01-13T00:00:00"/>
    <n v="4450.3999999999996"/>
    <n v="14200.75"/>
    <n v="610"/>
    <n v="44000"/>
    <x v="2"/>
    <x v="1"/>
    <n v="0"/>
    <s v="Active"/>
    <n v="0.3227443181818182"/>
    <n v="2"/>
    <x v="3"/>
    <x v="2"/>
    <x v="1"/>
  </r>
  <r>
    <s v="Carlos Mendez"/>
    <s v="carlos_m26"/>
    <x v="0"/>
    <x v="13"/>
    <s v="Mexico City"/>
    <n v="80"/>
    <s v="Male"/>
    <s v="carlos.mendez26@mail.mx"/>
    <s v="+52-55-9012-0123"/>
    <d v="2019-07-22T00:00:00"/>
    <d v="2024-01-08T00:00:00"/>
    <n v="290100.8"/>
    <n v="103000.25"/>
    <n v="825"/>
    <n v="300000"/>
    <x v="1"/>
    <x v="0"/>
    <n v="0"/>
    <s v="Active"/>
    <n v="0.34333416666666666"/>
    <n v="7"/>
    <x v="1"/>
    <x v="4"/>
    <x v="3"/>
  </r>
  <r>
    <s v="Aisha Mohammed"/>
    <s v="aisha_m27"/>
    <x v="5"/>
    <x v="16"/>
    <s v="Mombasa"/>
    <n v="55"/>
    <s v="Female"/>
    <s v="aisha.mohammed27@email.ke"/>
    <s v="+254-749-012-345"/>
    <d v="2024-04-22T00:00:00"/>
    <d v="2024-01-14T00:00:00"/>
    <n v="39800.75"/>
    <n v="15200.4"/>
    <n v="725"/>
    <n v="76000"/>
    <x v="1"/>
    <x v="0"/>
    <n v="0"/>
    <s v="Active"/>
    <n v="0.20000526315789474"/>
    <n v="1"/>
    <x v="0"/>
    <x v="4"/>
    <x v="0"/>
  </r>
  <r>
    <s v="David Chen"/>
    <s v="david_chen27"/>
    <x v="2"/>
    <x v="23"/>
    <s v="Singapore"/>
    <n v="72"/>
    <s v="Male"/>
    <s v="david.chen27@company.sg"/>
    <s v="+65-0890-1234"/>
    <d v="2020-11-12T00:00:00"/>
    <d v="2024-01-09T00:00:00"/>
    <n v="170300.6"/>
    <n v="103000.9"/>
    <n v="675"/>
    <n v="200000"/>
    <x v="2"/>
    <x v="0"/>
    <n v="0"/>
    <s v="Active"/>
    <n v="0.51500449999999998"/>
    <n v="6"/>
    <x v="0"/>
    <x v="4"/>
    <x v="3"/>
  </r>
  <r>
    <s v="Maria Papadopoulos"/>
    <s v="maria_p27"/>
    <x v="4"/>
    <x v="38"/>
    <s v="Athens"/>
    <n v="63"/>
    <s v="Female"/>
    <s v="maria.papadopoulos27@email.gr"/>
    <s v="+30-717-890-1234"/>
    <d v="2022-12-22T00:00:00"/>
    <d v="2024-01-11T00:00:00"/>
    <n v="67300.399999999994"/>
    <n v="42000.25"/>
    <n v="705"/>
    <n v="108000"/>
    <x v="0"/>
    <x v="0"/>
    <n v="0"/>
    <s v="Active"/>
    <n v="0.38889120370370373"/>
    <n v="4"/>
    <x v="0"/>
    <x v="4"/>
    <x v="0"/>
  </r>
  <r>
    <s v="James Wilson"/>
    <s v="j_wilson27"/>
    <x v="3"/>
    <x v="26"/>
    <s v="Melbourne"/>
    <n v="66"/>
    <s v="Male"/>
    <s v="james.wilson27@email.au"/>
    <s v="+61-449-012-345"/>
    <d v="2021-07-22T00:00:00"/>
    <d v="2024-01-10T00:00:00"/>
    <n v="113100.75"/>
    <n v="63100.800000000003"/>
    <n v="730"/>
    <n v="174000"/>
    <x v="0"/>
    <x v="0"/>
    <n v="0"/>
    <s v="Active"/>
    <n v="0.36264827586206899"/>
    <n v="5"/>
    <x v="0"/>
    <x v="4"/>
    <x v="2"/>
  </r>
  <r>
    <s v="Fatima Zahra"/>
    <s v="f_zahra27"/>
    <x v="1"/>
    <x v="25"/>
    <s v="Karachi"/>
    <n v="51"/>
    <s v="Female"/>
    <s v="fatima.zahra27@mail.pk"/>
    <s v="+92-347-3210987"/>
    <d v="2024-08-28T00:00:00"/>
    <d v="2024-01-15T00:00:00"/>
    <n v="17800.900000000001"/>
    <n v="10300.75"/>
    <n v="685"/>
    <n v="61000"/>
    <x v="0"/>
    <x v="1"/>
    <n v="0"/>
    <s v="Active"/>
    <n v="0.16886475409836066"/>
    <n v="0"/>
    <x v="0"/>
    <x v="2"/>
    <x v="1"/>
  </r>
  <r>
    <s v="Kenji Yamada"/>
    <s v="kenji_y27"/>
    <x v="0"/>
    <x v="1"/>
    <s v="Tokyo"/>
    <n v="83"/>
    <s v="Male"/>
    <s v="kenji.yamada27@mail.jp"/>
    <s v="+81-80-7890-1234"/>
    <d v="2018-10-22T00:00:00"/>
    <d v="2024-01-08T00:00:00"/>
    <n v="301000.25"/>
    <n v="107000.4"/>
    <n v="840"/>
    <n v="315000"/>
    <x v="1"/>
    <x v="0"/>
    <n v="0"/>
    <s v="Active"/>
    <n v="0.3396838095238095"/>
    <n v="7"/>
    <x v="1"/>
    <x v="4"/>
    <x v="3"/>
  </r>
  <r>
    <s v="Ngozi Eze"/>
    <s v="ngozi_e27"/>
    <x v="2"/>
    <x v="6"/>
    <s v="Lagos"/>
    <n v="75"/>
    <s v="Female"/>
    <s v="ngozi.eze27@company.ng"/>
    <s v="+234-839-012-3456"/>
    <d v="2020-03-22T00:00:00"/>
    <d v="2024-01-09T00:00:00"/>
    <n v="181400.4"/>
    <n v="107000.75"/>
    <n v="650"/>
    <n v="210000"/>
    <x v="2"/>
    <x v="0"/>
    <n v="0"/>
    <s v="Active"/>
    <n v="0.50952738095238093"/>
    <n v="6"/>
    <x v="3"/>
    <x v="4"/>
    <x v="3"/>
  </r>
  <r>
    <s v="Thomas Schmidt"/>
    <s v="thomas_s27"/>
    <x v="3"/>
    <x v="7"/>
    <s v="Hamburg"/>
    <n v="62"/>
    <s v="Male"/>
    <s v="thomas.schmidt27@email.de"/>
    <s v="+49-201-2345678"/>
    <d v="2023-07-22T00:00:00"/>
    <d v="2024-01-12T00:00:00"/>
    <n v="101900.4"/>
    <n v="57300.25"/>
    <n v="745"/>
    <n v="154000"/>
    <x v="0"/>
    <x v="0"/>
    <n v="0"/>
    <s v="Active"/>
    <n v="0.37207954545454547"/>
    <n v="3"/>
    <x v="0"/>
    <x v="4"/>
    <x v="2"/>
  </r>
  <r>
    <s v="Lina Chen"/>
    <s v="lina_c27"/>
    <x v="5"/>
    <x v="4"/>
    <s v="Shanghai"/>
    <n v="57"/>
    <s v="Female"/>
    <s v="lina.chen27@mail.cn"/>
    <s v="+86-137-2345-6789"/>
    <d v="2024-01-22T00:00:00"/>
    <d v="2024-01-11T00:00:00"/>
    <n v="42000.800000000003"/>
    <n v="16400.900000000001"/>
    <n v="765"/>
    <n v="86000"/>
    <x v="1"/>
    <x v="0"/>
    <n v="0"/>
    <s v="Active"/>
    <n v="0.19070813953488375"/>
    <n v="4"/>
    <x v="2"/>
    <x v="4"/>
    <x v="0"/>
  </r>
  <r>
    <s v="Ahmed Hassan"/>
    <s v="ahmed_h27"/>
    <x v="4"/>
    <x v="20"/>
    <s v="Cairo"/>
    <n v="70"/>
    <s v="Male"/>
    <s v="ahmed.hassan27@email.eg"/>
    <s v="+20-122-432-1098"/>
    <d v="2022-01-22T00:00:00"/>
    <d v="2024-01-10T00:00:00"/>
    <n v="75300.75"/>
    <n v="48400.4"/>
    <n v="675"/>
    <n v="126000"/>
    <x v="0"/>
    <x v="0"/>
    <n v="0"/>
    <s v="Active"/>
    <n v="0.38413015873015877"/>
    <n v="5"/>
    <x v="0"/>
    <x v="4"/>
    <x v="0"/>
  </r>
  <r>
    <s v="Sophie Martin"/>
    <s v="sophie_m27"/>
    <x v="6"/>
    <x v="10"/>
    <s v="Lyon"/>
    <n v="49"/>
    <s v="Female"/>
    <s v="sophie.martin27@edu.fr"/>
    <s v="+33-6-9012-3456"/>
    <d v="2024-09-12T00:00:00"/>
    <d v="2024-01-13T00:00:00"/>
    <n v="4700.25"/>
    <n v="15400.6"/>
    <n v="615"/>
    <n v="46000"/>
    <x v="2"/>
    <x v="1"/>
    <n v="0"/>
    <s v="Active"/>
    <n v="0.33479565217391305"/>
    <n v="2"/>
    <x v="3"/>
    <x v="2"/>
    <x v="1"/>
  </r>
  <r>
    <s v="Raj Kumar"/>
    <s v="raj_kumar27"/>
    <x v="2"/>
    <x v="2"/>
    <s v="Delhi"/>
    <n v="77"/>
    <s v="Male"/>
    <s v="raj.kumar27@company.in"/>
    <s v="+91-987-654-3210"/>
    <d v="2020-02-22T00:00:00"/>
    <d v="2024-01-08T00:00:00"/>
    <n v="216000.8"/>
    <n v="120000.25"/>
    <n v="660"/>
    <n v="245000"/>
    <x v="2"/>
    <x v="0"/>
    <n v="0"/>
    <s v="Active"/>
    <n v="0.48979693877551023"/>
    <n v="7"/>
    <x v="3"/>
    <x v="4"/>
    <x v="3"/>
  </r>
  <r>
    <s v="Maria Gonzalez"/>
    <s v="maria_g28"/>
    <x v="3"/>
    <x v="13"/>
    <s v="Mexico City"/>
    <n v="64"/>
    <s v="Female"/>
    <s v="maria.gonzalez28@email.mx"/>
    <s v="+52-55-0123-0123"/>
    <d v="2022-06-22T00:00:00"/>
    <d v="2024-01-11T00:00:00"/>
    <n v="96400.9"/>
    <n v="54200.75"/>
    <n v="730"/>
    <n v="149000"/>
    <x v="0"/>
    <x v="0"/>
    <n v="0"/>
    <s v="Active"/>
    <n v="0.36376342281879193"/>
    <n v="4"/>
    <x v="0"/>
    <x v="4"/>
    <x v="2"/>
  </r>
  <r>
    <s v="Yuki Kobayashi"/>
    <s v="yuki_k27"/>
    <x v="1"/>
    <x v="1"/>
    <s v="Osaka"/>
    <n v="53"/>
    <s v="Female"/>
    <s v="yuki.kobayashi27@mail.jp"/>
    <s v="+81-90-8901-2345"/>
    <d v="2024-09-08T00:00:00"/>
    <d v="2024-01-14T00:00:00"/>
    <n v="18900.400000000001"/>
    <n v="10400.25"/>
    <n v="705"/>
    <n v="63000"/>
    <x v="0"/>
    <x v="1"/>
    <n v="0"/>
    <s v="Active"/>
    <n v="0.16508333333333333"/>
    <n v="1"/>
    <x v="0"/>
    <x v="2"/>
    <x v="1"/>
  </r>
  <r>
    <s v="Kwame Asante"/>
    <s v="kwame_a27"/>
    <x v="5"/>
    <x v="15"/>
    <s v="Accra"/>
    <n v="58"/>
    <s v="Male"/>
    <s v="kwame.asante27@email.gh"/>
    <s v="+233-80-123-4567"/>
    <d v="2023-12-22T00:00:00"/>
    <d v="2024-01-12T00:00:00"/>
    <n v="40900.6"/>
    <n v="15800.8"/>
    <n v="710"/>
    <n v="79000"/>
    <x v="1"/>
    <x v="0"/>
    <n v="0"/>
    <s v="Active"/>
    <n v="0.20001012658227846"/>
    <n v="3"/>
    <x v="0"/>
    <x v="4"/>
    <x v="0"/>
  </r>
  <r>
    <s v="Anna Petrova"/>
    <s v="anna_p27"/>
    <x v="4"/>
    <x v="12"/>
    <s v="Moscow"/>
    <n v="65"/>
    <s v="Female"/>
    <s v="anna.petrova27@email.ru"/>
    <s v="+7-921-210-98-76"/>
    <d v="2022-01-22T00:00:00"/>
    <d v="2024-01-10T00:00:00"/>
    <n v="72200.25"/>
    <n v="45300.9"/>
    <n v="695"/>
    <n v="114000"/>
    <x v="0"/>
    <x v="0"/>
    <n v="0"/>
    <s v="Active"/>
    <n v="0.39737631578947369"/>
    <n v="5"/>
    <x v="0"/>
    <x v="4"/>
    <x v="0"/>
  </r>
  <r>
    <s v="Liam O'Brien"/>
    <s v="liam_obrien27"/>
    <x v="2"/>
    <x v="11"/>
    <s v="Dublin"/>
    <n v="73"/>
    <s v="Male"/>
    <s v="liam.obrien27@company.ie"/>
    <s v="+353-12-012-3456"/>
    <d v="2020-07-22T00:00:00"/>
    <d v="2024-01-09T00:00:00"/>
    <n v="148200.4"/>
    <n v="94000.6"/>
    <n v="670"/>
    <n v="181000"/>
    <x v="2"/>
    <x v="0"/>
    <n v="0"/>
    <s v="Active"/>
    <n v="0.51934033149171277"/>
    <n v="6"/>
    <x v="0"/>
    <x v="4"/>
    <x v="2"/>
  </r>
  <r>
    <s v="Ying Wang"/>
    <s v="ying_w27"/>
    <x v="0"/>
    <x v="4"/>
    <s v="Beijing"/>
    <n v="81"/>
    <s v="Female"/>
    <s v="ying.wang27@mail.cn"/>
    <s v="+86-139-9012-3456"/>
    <d v="2019-05-22T00:00:00"/>
    <d v="2024-01-08T00:00:00"/>
    <n v="315100.75"/>
    <n v="111000.8"/>
    <n v="835"/>
    <n v="326000"/>
    <x v="1"/>
    <x v="0"/>
    <n v="0"/>
    <s v="Active"/>
    <n v="0.34049325153374232"/>
    <n v="7"/>
    <x v="1"/>
    <x v="4"/>
    <x v="3"/>
  </r>
  <r>
    <s v="Adeola Yusuf"/>
    <s v="adeola_y27"/>
    <x v="4"/>
    <x v="6"/>
    <s v="Abuja"/>
    <n v="68"/>
    <s v="Female"/>
    <s v="adeola.yusuf27@email.ng"/>
    <s v="+234-840-123-4567"/>
    <d v="2021-12-22T00:00:00"/>
    <d v="2024-01-11T00:00:00"/>
    <n v="80900.600000000006"/>
    <n v="50900.25"/>
    <n v="665"/>
    <n v="134000"/>
    <x v="0"/>
    <x v="0"/>
    <n v="0"/>
    <s v="Active"/>
    <n v="0.37985261194029851"/>
    <n v="4"/>
    <x v="3"/>
    <x v="4"/>
    <x v="2"/>
  </r>
  <r>
    <s v="Marco Bianchi"/>
    <s v="marco_b27"/>
    <x v="3"/>
    <x v="18"/>
    <s v="Rome"/>
    <n v="60"/>
    <s v="Male"/>
    <s v="marco.bianchi27@email.it"/>
    <s v="+39-374-890-1234"/>
    <d v="2023-09-22T00:00:00"/>
    <d v="2024-01-12T00:00:00"/>
    <n v="104200.8"/>
    <n v="58400.4"/>
    <n v="750"/>
    <n v="160000"/>
    <x v="0"/>
    <x v="0"/>
    <n v="0"/>
    <s v="Active"/>
    <n v="0.36500250000000001"/>
    <n v="3"/>
    <x v="2"/>
    <x v="4"/>
    <x v="2"/>
  </r>
  <r>
    <s v="Jennifer Kim"/>
    <s v="jennifer_k27"/>
    <x v="5"/>
    <x v="0"/>
    <s v="Seattle"/>
    <n v="56"/>
    <s v="Female"/>
    <s v="jennifer.kim27@email.com"/>
    <s v="+1-206-555-0198"/>
    <d v="2024-03-22T00:00:00"/>
    <d v="2024-01-14T00:00:00"/>
    <n v="43100.9"/>
    <n v="16800.75"/>
    <n v="770"/>
    <n v="91000"/>
    <x v="1"/>
    <x v="0"/>
    <n v="0"/>
    <s v="Active"/>
    <n v="0.18462362637362636"/>
    <n v="1"/>
    <x v="2"/>
    <x v="4"/>
    <x v="0"/>
  </r>
  <r>
    <s v="Rahman Hussain"/>
    <s v="rahman_h27"/>
    <x v="2"/>
    <x v="25"/>
    <s v="Lahore"/>
    <n v="79"/>
    <s v="Male"/>
    <s v="rahman.hussain27@company.pk"/>
    <s v="+92-326-3210987"/>
    <d v="2019-11-22T00:00:00"/>
    <d v="2024-01-08T00:00:00"/>
    <n v="201300.25"/>
    <n v="115000.8"/>
    <n v="645"/>
    <n v="231000"/>
    <x v="2"/>
    <x v="0"/>
    <n v="0"/>
    <s v="Active"/>
    <n v="0.49783896103896103"/>
    <n v="7"/>
    <x v="3"/>
    <x v="4"/>
    <x v="3"/>
  </r>
  <r>
    <s v="Sofia Martinez"/>
    <s v="sofia_m27"/>
    <x v="1"/>
    <x v="14"/>
    <s v="Madrid"/>
    <n v="52"/>
    <s v="Female"/>
    <s v="sofia.martinez27@mail.es"/>
    <s v="+34-649-012-345"/>
    <d v="2024-09-12T00:00:00"/>
    <d v="2024-01-15T00:00:00"/>
    <n v="36200.5"/>
    <n v="16400.400000000001"/>
    <n v="720"/>
    <n v="68000"/>
    <x v="1"/>
    <x v="0"/>
    <n v="0"/>
    <s v="Active"/>
    <n v="0.24118235294117649"/>
    <n v="0"/>
    <x v="0"/>
    <x v="2"/>
    <x v="1"/>
  </r>
  <r>
    <s v="Kenji Sato"/>
    <s v="kenji_sato28"/>
    <x v="6"/>
    <x v="1"/>
    <s v="Tokyo"/>
    <n v="48"/>
    <s v="Male"/>
    <s v="kenji.sato28@edu.jp"/>
    <s v="+81-90-1234-5678"/>
    <d v="2024-09-15T00:00:00"/>
    <d v="2024-01-13T00:00:00"/>
    <n v="4450.8"/>
    <n v="13800.25"/>
    <n v="605"/>
    <n v="44000"/>
    <x v="2"/>
    <x v="1"/>
    <n v="0"/>
    <s v="Active"/>
    <n v="0.31364204545454544"/>
    <n v="2"/>
    <x v="3"/>
    <x v="2"/>
    <x v="1"/>
  </r>
  <r>
    <s v="Fatoumata Bello"/>
    <s v="fatou_b27"/>
    <x v="3"/>
    <x v="19"/>
    <s v="Dakar"/>
    <n v="62"/>
    <s v="Female"/>
    <s v="fatoumata.bello27@email.sn"/>
    <s v="+221-04-890-1234"/>
    <d v="2023-05-22T00:00:00"/>
    <d v="2024-01-11T00:00:00"/>
    <n v="90900.4"/>
    <n v="53100.75"/>
    <n v="710"/>
    <n v="142000"/>
    <x v="0"/>
    <x v="0"/>
    <n v="0"/>
    <s v="Active"/>
    <n v="0.37394894366197184"/>
    <n v="4"/>
    <x v="0"/>
    <x v="4"/>
    <x v="2"/>
  </r>
  <r>
    <s v="David Wilson"/>
    <s v="david_w27"/>
    <x v="2"/>
    <x v="3"/>
    <s v="Manchester"/>
    <n v="76"/>
    <s v="Male"/>
    <s v="david.wilson27@company.co.uk"/>
    <s v="+44-79-1234-5678"/>
    <d v="2020-04-22T00:00:00"/>
    <d v="2024-01-09T00:00:00"/>
    <n v="181500.6"/>
    <n v="108000.25"/>
    <n v="675"/>
    <n v="211000"/>
    <x v="2"/>
    <x v="0"/>
    <n v="0"/>
    <s v="Active"/>
    <n v="0.5118495260663507"/>
    <n v="6"/>
    <x v="0"/>
    <x v="4"/>
    <x v="3"/>
  </r>
  <r>
    <s v="Lina Park"/>
    <s v="lina_park27"/>
    <x v="4"/>
    <x v="17"/>
    <s v="Seoul"/>
    <n v="61"/>
    <s v="Female"/>
    <s v="lina.park27@email.kr"/>
    <s v="+82-10-0123-4567"/>
    <d v="2022-10-22T00:00:00"/>
    <d v="2024-01-10T00:00:00"/>
    <n v="67300.75"/>
    <n v="44200.800000000003"/>
    <n v="725"/>
    <n v="108000"/>
    <x v="0"/>
    <x v="0"/>
    <n v="0"/>
    <s v="Active"/>
    <n v="0.40926666666666667"/>
    <n v="5"/>
    <x v="0"/>
    <x v="4"/>
    <x v="0"/>
  </r>
  <r>
    <s v="Ahmed Al-Mansoori"/>
    <s v="ahmed_alm27"/>
    <x v="5"/>
    <x v="8"/>
    <s v="Dubai"/>
    <n v="59"/>
    <s v="Male"/>
    <s v="ahmed.almansoori27@email.ae"/>
    <s v="+971-50-234-5678"/>
    <d v="2024-01-22T00:00:00"/>
    <d v="2024-01-12T00:00:00"/>
    <n v="45300.4"/>
    <n v="17600.900000000001"/>
    <n v="740"/>
    <n v="94000"/>
    <x v="1"/>
    <x v="0"/>
    <n v="0"/>
    <s v="Active"/>
    <n v="0.18724361702127662"/>
    <n v="3"/>
    <x v="0"/>
    <x v="4"/>
    <x v="0"/>
  </r>
  <r>
    <s v="Maria Costa"/>
    <s v="maria_costa27"/>
    <x v="0"/>
    <x v="5"/>
    <s v="São Paulo"/>
    <n v="82"/>
    <s v="Female"/>
    <s v="maria.costa27@mail.com.br"/>
    <s v="+55-11-99934-5678"/>
    <d v="2019-01-22T00:00:00"/>
    <d v="2024-01-08T00:00:00"/>
    <n v="270400.90000000002"/>
    <n v="98000.6"/>
    <n v="830"/>
    <n v="306000"/>
    <x v="1"/>
    <x v="0"/>
    <n v="0"/>
    <s v="Active"/>
    <n v="0.32026339869281045"/>
    <n v="7"/>
    <x v="1"/>
    <x v="4"/>
    <x v="3"/>
  </r>
  <r>
    <s v="Chinedu Nwankwo"/>
    <s v="chinedu_n27"/>
    <x v="2"/>
    <x v="6"/>
    <s v="Port Harcourt"/>
    <n v="74"/>
    <s v="Male"/>
    <s v="chinedu.nwankwo27@company.ng"/>
    <s v="+234-841-234-5678"/>
    <d v="2020-09-12T00:00:00"/>
    <d v="2024-01-09T00:00:00"/>
    <n v="159300.25"/>
    <n v="100000.4"/>
    <n v="655"/>
    <n v="196000"/>
    <x v="2"/>
    <x v="0"/>
    <n v="0"/>
    <s v="Active"/>
    <n v="0.51020612244897956"/>
    <n v="6"/>
    <x v="3"/>
    <x v="4"/>
    <x v="3"/>
  </r>
  <r>
    <s v="Isabelle Moreau"/>
    <s v="isabelle_m27"/>
    <x v="3"/>
    <x v="9"/>
    <s v="Toronto"/>
    <n v="63"/>
    <s v="Female"/>
    <s v="isabelle.moreau27@email.ca"/>
    <s v="+1-647-555-0198"/>
    <d v="2023-02-22T00:00:00"/>
    <d v="2024-01-11T00:00:00"/>
    <n v="109800.6"/>
    <n v="61100.75"/>
    <n v="760"/>
    <n v="165000"/>
    <x v="0"/>
    <x v="0"/>
    <n v="0"/>
    <s v="Active"/>
    <n v="0.37030757575757578"/>
    <n v="4"/>
    <x v="2"/>
    <x v="4"/>
    <x v="2"/>
  </r>
  <r>
    <s v="Rahman Ali"/>
    <s v="rahman_ali28"/>
    <x v="1"/>
    <x v="36"/>
    <s v="Surabaya"/>
    <n v="54"/>
    <s v="Male"/>
    <s v="rahman.ali28@mail.id"/>
    <s v="+62-838-9012-3456"/>
    <d v="2024-09-08T00:00:00"/>
    <d v="2024-01-15T00:00:00"/>
    <n v="21400.25"/>
    <n v="12700.8"/>
    <n v="695"/>
    <n v="65000"/>
    <x v="0"/>
    <x v="1"/>
    <n v="0"/>
    <s v="Active"/>
    <n v="0.19539692307692308"/>
    <n v="0"/>
    <x v="0"/>
    <x v="2"/>
    <x v="1"/>
  </r>
  <r>
    <s v="Sarah Johnson"/>
    <s v="sarah_j27"/>
    <x v="5"/>
    <x v="0"/>
    <s v="New York"/>
    <n v="57"/>
    <s v="Female"/>
    <s v="sarah.johnson27@email.com"/>
    <s v="+1-646-555-0198"/>
    <d v="2023-11-22T00:00:00"/>
    <d v="2024-01-12T00:00:00"/>
    <n v="44200.9"/>
    <n v="17200.25"/>
    <n v="755"/>
    <n v="87000"/>
    <x v="1"/>
    <x v="0"/>
    <n v="0"/>
    <s v="Active"/>
    <n v="0.19770402298850576"/>
    <n v="3"/>
    <x v="2"/>
    <x v="4"/>
    <x v="0"/>
  </r>
  <r>
    <s v="Wei Zhang"/>
    <s v="wei_zhang27"/>
    <x v="2"/>
    <x v="4"/>
    <s v="Beijing"/>
    <n v="75"/>
    <s v="Male"/>
    <s v="wei.zhang27@company.cn"/>
    <s v="+86-138-3456-7890"/>
    <d v="2020-06-22T00:00:00"/>
    <d v="2024-01-09T00:00:00"/>
    <n v="192200.4"/>
    <n v="113000.75"/>
    <n v="685"/>
    <n v="221000"/>
    <x v="2"/>
    <x v="0"/>
    <n v="0"/>
    <s v="Active"/>
    <n v="0.51131561085972854"/>
    <n v="6"/>
    <x v="0"/>
    <x v="4"/>
    <x v="3"/>
  </r>
  <r>
    <s v="Anna Kowalski"/>
    <s v="anna_k28"/>
    <x v="4"/>
    <x v="37"/>
    <s v="Warsaw"/>
    <n v="66"/>
    <s v="Female"/>
    <s v="anna.kowalski28@email.pl"/>
    <s v="+48-726-890-123"/>
    <d v="2022-03-22T00:00:00"/>
    <d v="2024-01-10T00:00:00"/>
    <n v="74200.800000000003"/>
    <n v="47300.6"/>
    <n v="715"/>
    <n v="120000"/>
    <x v="0"/>
    <x v="0"/>
    <n v="0"/>
    <s v="Active"/>
    <n v="0.39417166666666664"/>
    <n v="5"/>
    <x v="0"/>
    <x v="4"/>
    <x v="0"/>
  </r>
  <r>
    <s v="Mohammed Rahman"/>
    <s v="m_rahman28"/>
    <x v="3"/>
    <x v="29"/>
    <s v="Chittagong"/>
    <n v="69"/>
    <s v="Male"/>
    <s v="mohammed.rahman28@email.bd"/>
    <s v="+880-1812-012345"/>
    <d v="2021-12-22T00:00:00"/>
    <d v="2024-01-11T00:00:00"/>
    <n v="102000.25"/>
    <n v="57300.4"/>
    <n v="680"/>
    <n v="149000"/>
    <x v="0"/>
    <x v="0"/>
    <n v="0"/>
    <s v="Active"/>
    <n v="0.38456644295302017"/>
    <n v="4"/>
    <x v="0"/>
    <x v="4"/>
    <x v="2"/>
  </r>
  <r>
    <s v="Yumi Tanaka"/>
    <s v="yumi_tanaka27"/>
    <x v="6"/>
    <x v="1"/>
    <s v="Osaka"/>
    <n v="49"/>
    <s v="Female"/>
    <s v="yumi.tanaka27@edu.jp"/>
    <s v="+81-90-2345-6789"/>
    <d v="2024-09-22T00:00:00"/>
    <d v="2024-01-13T00:00:00"/>
    <n v="4550.3999999999996"/>
    <n v="14400.75"/>
    <n v="610"/>
    <n v="45000"/>
    <x v="2"/>
    <x v="1"/>
    <n v="0"/>
    <s v="Active"/>
    <n v="0.32001666666666667"/>
    <n v="2"/>
    <x v="3"/>
    <x v="2"/>
    <x v="1"/>
  </r>
  <r>
    <s v="Carlos Mendez"/>
    <s v="carlos_m27"/>
    <x v="0"/>
    <x v="13"/>
    <s v="Mexico City"/>
    <n v="81"/>
    <s v="Male"/>
    <s v="carlos.mendez27@mail.mx"/>
    <s v="+52-55-0123-0123"/>
    <d v="2019-08-22T00:00:00"/>
    <d v="2024-01-08T00:00:00"/>
    <n v="290200.8"/>
    <n v="104000.25"/>
    <n v="825"/>
    <n v="301000"/>
    <x v="1"/>
    <x v="0"/>
    <n v="0"/>
    <s v="Active"/>
    <n v="0.345515780730897"/>
    <n v="7"/>
    <x v="1"/>
    <x v="4"/>
    <x v="3"/>
  </r>
  <r>
    <s v="Aisha Mohammed"/>
    <s v="aisha_m28"/>
    <x v="5"/>
    <x v="16"/>
    <s v="Nairobi"/>
    <n v="56"/>
    <s v="Female"/>
    <s v="aisha.mohammed28@email.ke"/>
    <s v="+254-750-123-456"/>
    <d v="2024-05-22T00:00:00"/>
    <d v="2024-01-14T00:00:00"/>
    <n v="40900.75"/>
    <n v="15600.4"/>
    <n v="725"/>
    <n v="77000"/>
    <x v="1"/>
    <x v="0"/>
    <n v="0"/>
    <s v="Active"/>
    <n v="0.2026025974025974"/>
    <n v="1"/>
    <x v="0"/>
    <x v="4"/>
    <x v="0"/>
  </r>
  <r>
    <s v="David Chen"/>
    <s v="david_chen28"/>
    <x v="2"/>
    <x v="23"/>
    <s v="Singapore"/>
    <n v="73"/>
    <s v="Male"/>
    <s v="david.chen28@company.sg"/>
    <s v="+65-0990-1234"/>
    <d v="2020-12-12T00:00:00"/>
    <d v="2024-01-09T00:00:00"/>
    <n v="170400.6"/>
    <n v="104000.9"/>
    <n v="675"/>
    <n v="201000"/>
    <x v="2"/>
    <x v="0"/>
    <n v="0"/>
    <s v="Active"/>
    <n v="0.5174174129353234"/>
    <n v="6"/>
    <x v="0"/>
    <x v="4"/>
    <x v="3"/>
  </r>
  <r>
    <s v="Maria Papadopoulos"/>
    <s v="maria_p28"/>
    <x v="4"/>
    <x v="38"/>
    <s v="Athens"/>
    <n v="64"/>
    <s v="Female"/>
    <s v="maria.papadopoulos28@email.gr"/>
    <s v="+30-718-901-2345"/>
    <d v="2023-01-22T00:00:00"/>
    <d v="2024-01-11T00:00:00"/>
    <n v="68400.399999999994"/>
    <n v="43100.25"/>
    <n v="705"/>
    <n v="109000"/>
    <x v="0"/>
    <x v="0"/>
    <n v="0"/>
    <s v="Active"/>
    <n v="0.39541513761467889"/>
    <n v="4"/>
    <x v="0"/>
    <x v="4"/>
    <x v="0"/>
  </r>
  <r>
    <s v="James Wilson"/>
    <s v="j_wilson28"/>
    <x v="3"/>
    <x v="26"/>
    <s v="Sydney"/>
    <n v="67"/>
    <s v="Male"/>
    <s v="james.wilson28@email.au"/>
    <s v="+61-450-123-456"/>
    <d v="2021-08-22T00:00:00"/>
    <d v="2024-01-10T00:00:00"/>
    <n v="114100.75"/>
    <n v="64200.800000000003"/>
    <n v="730"/>
    <n v="175000"/>
    <x v="0"/>
    <x v="0"/>
    <n v="0"/>
    <s v="Active"/>
    <n v="0.36686171428571429"/>
    <n v="5"/>
    <x v="0"/>
    <x v="4"/>
    <x v="2"/>
  </r>
  <r>
    <s v="Fatima Zahra"/>
    <s v="f_zahra28"/>
    <x v="1"/>
    <x v="25"/>
    <s v="Islamabad"/>
    <n v="52"/>
    <s v="Female"/>
    <s v="fatima.zahra28@mail.pk"/>
    <s v="+92-348-2109876"/>
    <d v="2024-09-15T00:00:00"/>
    <d v="2024-01-15T00:00:00"/>
    <n v="18200.900000000001"/>
    <n v="10500.75"/>
    <n v="685"/>
    <n v="62000"/>
    <x v="0"/>
    <x v="1"/>
    <n v="0"/>
    <s v="Active"/>
    <n v="0.16936693548387097"/>
    <n v="0"/>
    <x v="0"/>
    <x v="2"/>
    <x v="1"/>
  </r>
  <r>
    <s v="Kenji Yamada"/>
    <s v="kenji_y28"/>
    <x v="0"/>
    <x v="1"/>
    <s v="Tokyo"/>
    <n v="84"/>
    <s v="Male"/>
    <s v="kenji.yamada28@mail.jp"/>
    <s v="+81-80-8901-2345"/>
    <d v="2018-11-22T00:00:00"/>
    <d v="2024-01-08T00:00:00"/>
    <n v="301100.25"/>
    <n v="108000.4"/>
    <n v="840"/>
    <n v="316000"/>
    <x v="1"/>
    <x v="0"/>
    <n v="0"/>
    <s v="Active"/>
    <n v="0.34177341772151898"/>
    <n v="7"/>
    <x v="1"/>
    <x v="4"/>
    <x v="3"/>
  </r>
  <r>
    <s v="Ngozi Eze"/>
    <s v="ngozi_e28"/>
    <x v="2"/>
    <x v="6"/>
    <s v="Lagos"/>
    <n v="76"/>
    <s v="Female"/>
    <s v="ngozi.eze28@company.ng"/>
    <s v="+234-840-123-4567"/>
    <d v="2020-04-22T00:00:00"/>
    <d v="2024-01-09T00:00:00"/>
    <n v="181500.4"/>
    <n v="108000.75"/>
    <n v="650"/>
    <n v="211000"/>
    <x v="2"/>
    <x v="0"/>
    <n v="0"/>
    <s v="Active"/>
    <n v="0.51185189573459711"/>
    <n v="6"/>
    <x v="3"/>
    <x v="4"/>
    <x v="3"/>
  </r>
  <r>
    <s v="Thomas Schmidt"/>
    <s v="thomas_s28"/>
    <x v="3"/>
    <x v="7"/>
    <s v="Munich"/>
    <n v="63"/>
    <s v="Male"/>
    <s v="thomas.schmidt28@email.de"/>
    <s v="+49-202-3456789"/>
    <d v="2023-08-22T00:00:00"/>
    <d v="2024-01-12T00:00:00"/>
    <n v="102900.4"/>
    <n v="58400.25"/>
    <n v="745"/>
    <n v="155000"/>
    <x v="0"/>
    <x v="0"/>
    <n v="0"/>
    <s v="Active"/>
    <n v="0.3767758064516129"/>
    <n v="3"/>
    <x v="0"/>
    <x v="4"/>
    <x v="2"/>
  </r>
  <r>
    <s v="Lina Chen"/>
    <s v="lina_c28"/>
    <x v="5"/>
    <x v="4"/>
    <s v="Shanghai"/>
    <n v="58"/>
    <s v="Female"/>
    <s v="lina.chen28@mail.cn"/>
    <s v="+86-137-3456-7890"/>
    <d v="2024-02-22T00:00:00"/>
    <d v="2024-01-11T00:00:00"/>
    <n v="43100.800000000003"/>
    <n v="16800.900000000001"/>
    <n v="765"/>
    <n v="87000"/>
    <x v="1"/>
    <x v="0"/>
    <n v="0"/>
    <s v="Active"/>
    <n v="0.19311379310344828"/>
    <n v="4"/>
    <x v="2"/>
    <x v="4"/>
    <x v="0"/>
  </r>
  <r>
    <s v="Ahmed Hassan"/>
    <s v="ahmed_h28"/>
    <x v="4"/>
    <x v="20"/>
    <s v="Alexandria"/>
    <n v="71"/>
    <s v="Male"/>
    <s v="ahmed.hassan28@email.eg"/>
    <s v="+20-122-321-0987"/>
    <d v="2022-02-22T00:00:00"/>
    <d v="2024-01-10T00:00:00"/>
    <n v="76400.75"/>
    <n v="49500.4"/>
    <n v="675"/>
    <n v="127000"/>
    <x v="0"/>
    <x v="0"/>
    <n v="0"/>
    <s v="Active"/>
    <n v="0.3897669291338583"/>
    <n v="5"/>
    <x v="0"/>
    <x v="4"/>
    <x v="2"/>
  </r>
  <r>
    <s v="Sophie Martin"/>
    <s v="sophie_m28"/>
    <x v="6"/>
    <x v="10"/>
    <s v="Paris"/>
    <n v="50"/>
    <s v="Female"/>
    <s v="sophie.martin28@edu.fr"/>
    <s v="+33-6-0123-4567"/>
    <d v="2024-09-28T00:00:00"/>
    <d v="2024-01-13T00:00:00"/>
    <n v="4800.25"/>
    <n v="15600.6"/>
    <n v="615"/>
    <n v="47000"/>
    <x v="2"/>
    <x v="1"/>
    <n v="0"/>
    <s v="Active"/>
    <n v="0.33192765957446807"/>
    <n v="2"/>
    <x v="3"/>
    <x v="2"/>
    <x v="1"/>
  </r>
  <r>
    <s v="Raj Kumar"/>
    <s v="raj_kumar28"/>
    <x v="2"/>
    <x v="2"/>
    <s v="Delhi"/>
    <n v="78"/>
    <s v="Male"/>
    <s v="raj.kumar28@company.in"/>
    <s v="+91-987-654-3210"/>
    <d v="2020-03-22T00:00:00"/>
    <d v="2024-01-08T00:00:00"/>
    <n v="216100.8"/>
    <n v="121000.25"/>
    <n v="660"/>
    <n v="246000"/>
    <x v="2"/>
    <x v="0"/>
    <n v="0"/>
    <s v="Active"/>
    <n v="0.49187093495934958"/>
    <n v="7"/>
    <x v="3"/>
    <x v="4"/>
    <x v="3"/>
  </r>
  <r>
    <s v="Maria Gonzalez"/>
    <s v="maria_g29"/>
    <x v="3"/>
    <x v="13"/>
    <s v="Monterrey"/>
    <n v="65"/>
    <s v="Female"/>
    <s v="maria.gonzalez29@email.mx"/>
    <s v="+52-81-1234-0123"/>
    <d v="2022-07-22T00:00:00"/>
    <d v="2024-01-11T00:00:00"/>
    <n v="97500.9"/>
    <n v="55300.75"/>
    <n v="730"/>
    <n v="150000"/>
    <x v="0"/>
    <x v="0"/>
    <n v="0"/>
    <s v="Active"/>
    <n v="0.36867166666666668"/>
    <n v="4"/>
    <x v="0"/>
    <x v="4"/>
    <x v="2"/>
  </r>
  <r>
    <s v="Yuki Kobayashi"/>
    <s v="yuki_k28"/>
    <x v="1"/>
    <x v="1"/>
    <s v="Osaka"/>
    <n v="54"/>
    <s v="Female"/>
    <s v="yuki.kobayashi28@mail.jp"/>
    <s v="+81-90-9012-3456"/>
    <d v="2024-09-22T00:00:00"/>
    <d v="2024-01-14T00:00:00"/>
    <n v="19300.400000000001"/>
    <n v="10600.25"/>
    <n v="705"/>
    <n v="64000"/>
    <x v="0"/>
    <x v="1"/>
    <n v="0"/>
    <s v="Active"/>
    <n v="0.16562890625000001"/>
    <n v="1"/>
    <x v="0"/>
    <x v="2"/>
    <x v="1"/>
  </r>
  <r>
    <s v="Kwame Asante"/>
    <s v="kwame_a28"/>
    <x v="5"/>
    <x v="15"/>
    <s v="Accra"/>
    <n v="59"/>
    <s v="Male"/>
    <s v="kwame.asante28@email.gh"/>
    <s v="+233-81-234-5678"/>
    <d v="2024-01-22T00:00:00"/>
    <d v="2024-01-12T00:00:00"/>
    <n v="42000.6"/>
    <n v="16200.8"/>
    <n v="710"/>
    <n v="80000"/>
    <x v="1"/>
    <x v="0"/>
    <n v="0"/>
    <s v="Active"/>
    <n v="0.20251"/>
    <n v="3"/>
    <x v="0"/>
    <x v="4"/>
    <x v="0"/>
  </r>
  <r>
    <s v="Anna Petrova"/>
    <s v="anna_p28"/>
    <x v="4"/>
    <x v="12"/>
    <s v="St. Petersburg"/>
    <n v="66"/>
    <s v="Female"/>
    <s v="anna.petrova28@email.ru"/>
    <s v="+7-921-098-76-54"/>
    <d v="2022-02-22T00:00:00"/>
    <d v="2024-01-10T00:00:00"/>
    <n v="73300.25"/>
    <n v="46400.9"/>
    <n v="695"/>
    <n v="115000"/>
    <x v="0"/>
    <x v="0"/>
    <n v="0"/>
    <s v="Active"/>
    <n v="0.40348608695652177"/>
    <n v="5"/>
    <x v="0"/>
    <x v="4"/>
    <x v="0"/>
  </r>
  <r>
    <s v="Liam O'Brien"/>
    <s v="liam_obrien28"/>
    <x v="2"/>
    <x v="11"/>
    <s v="Dublin"/>
    <n v="74"/>
    <s v="Male"/>
    <s v="liam.obrien28@company.ie"/>
    <s v="+353-13-123-4567"/>
    <d v="2020-08-22T00:00:00"/>
    <d v="2024-01-09T00:00:00"/>
    <n v="148300.4"/>
    <n v="95000.6"/>
    <n v="670"/>
    <n v="182000"/>
    <x v="2"/>
    <x v="0"/>
    <n v="0"/>
    <s v="Active"/>
    <n v="0.5219813186813187"/>
    <n v="6"/>
    <x v="0"/>
    <x v="4"/>
    <x v="2"/>
  </r>
  <r>
    <s v="Ying Wang"/>
    <s v="ying_w28"/>
    <x v="0"/>
    <x v="4"/>
    <s v="Shanghai"/>
    <n v="82"/>
    <s v="Female"/>
    <s v="ying.wang28@mail.cn"/>
    <s v="+86-139-0123-4567"/>
    <d v="2019-06-22T00:00:00"/>
    <d v="2024-01-08T00:00:00"/>
    <n v="315200.75"/>
    <n v="112000.8"/>
    <n v="835"/>
    <n v="327000"/>
    <x v="1"/>
    <x v="0"/>
    <n v="0"/>
    <s v="Active"/>
    <n v="0.34251009174311925"/>
    <n v="7"/>
    <x v="1"/>
    <x v="4"/>
    <x v="3"/>
  </r>
  <r>
    <s v="Adeola Yusuf"/>
    <s v="adeola_y28"/>
    <x v="4"/>
    <x v="6"/>
    <s v="Lagos"/>
    <n v="69"/>
    <s v="Female"/>
    <s v="adeola.yusuf28@email.ng"/>
    <s v="+234-841-234-5678"/>
    <d v="2022-01-22T00:00:00"/>
    <d v="2024-01-11T00:00:00"/>
    <n v="82000.600000000006"/>
    <n v="52000.25"/>
    <n v="665"/>
    <n v="135000"/>
    <x v="0"/>
    <x v="0"/>
    <n v="0"/>
    <s v="Active"/>
    <n v="0.38518703703703705"/>
    <n v="4"/>
    <x v="3"/>
    <x v="4"/>
    <x v="2"/>
  </r>
  <r>
    <s v="Marco Bianchi"/>
    <s v="marco_b28"/>
    <x v="3"/>
    <x v="18"/>
    <s v="Rome"/>
    <n v="61"/>
    <s v="Male"/>
    <s v="marco.bianchi28@email.it"/>
    <s v="+39-375-901-2345"/>
    <d v="2023-10-22T00:00:00"/>
    <d v="2024-01-12T00:00:00"/>
    <n v="105300.8"/>
    <n v="59500.4"/>
    <n v="750"/>
    <n v="161000"/>
    <x v="0"/>
    <x v="0"/>
    <n v="0"/>
    <s v="Active"/>
    <n v="0.36956770186335403"/>
    <n v="3"/>
    <x v="2"/>
    <x v="4"/>
    <x v="2"/>
  </r>
  <r>
    <s v="Jennifer Kim"/>
    <s v="jennifer_k28"/>
    <x v="5"/>
    <x v="0"/>
    <s v="Los Angeles"/>
    <n v="57"/>
    <s v="Female"/>
    <s v="jennifer.kim28@email.com"/>
    <s v="+1-310-555-0194"/>
    <d v="2024-04-22T00:00:00"/>
    <d v="2024-01-14T00:00:00"/>
    <n v="44200.9"/>
    <n v="17200.75"/>
    <n v="770"/>
    <n v="92000"/>
    <x v="1"/>
    <x v="0"/>
    <n v="0"/>
    <s v="Active"/>
    <n v="0.18696467391304347"/>
    <n v="1"/>
    <x v="2"/>
    <x v="4"/>
    <x v="0"/>
  </r>
  <r>
    <s v="Rahman Hussain"/>
    <s v="rahman_h28"/>
    <x v="2"/>
    <x v="25"/>
    <s v="Karachi"/>
    <n v="80"/>
    <s v="Male"/>
    <s v="rahman.hussain28@company.pk"/>
    <s v="+92-327-2109876"/>
    <d v="2019-12-22T00:00:00"/>
    <d v="2024-01-08T00:00:00"/>
    <n v="201400.25"/>
    <n v="116000.8"/>
    <n v="645"/>
    <n v="232000"/>
    <x v="2"/>
    <x v="0"/>
    <n v="0"/>
    <s v="Active"/>
    <n v="0.50000344827586207"/>
    <n v="7"/>
    <x v="3"/>
    <x v="4"/>
    <x v="3"/>
  </r>
  <r>
    <s v="Sofia Martinez"/>
    <s v="sofia_m28"/>
    <x v="1"/>
    <x v="14"/>
    <s v="Valencia"/>
    <n v="53"/>
    <s v="Female"/>
    <s v="sofia.martinez28@mail.es"/>
    <s v="+34-650-123-456"/>
    <d v="2024-09-28T00:00:00"/>
    <d v="2024-01-15T00:00:00"/>
    <n v="37200.5"/>
    <n v="16800.400000000001"/>
    <n v="720"/>
    <n v="69000"/>
    <x v="1"/>
    <x v="0"/>
    <n v="0"/>
    <s v="Active"/>
    <n v="0.24348405797101452"/>
    <n v="0"/>
    <x v="0"/>
    <x v="2"/>
    <x v="1"/>
  </r>
  <r>
    <s v="Kenji Sato"/>
    <s v="kenji_sato29"/>
    <x v="6"/>
    <x v="1"/>
    <s v="Tokyo"/>
    <n v="49"/>
    <s v="Male"/>
    <s v="kenji.sato29@edu.jp"/>
    <s v="+81-90-2345-6789"/>
    <d v="2024-09-28T00:00:00"/>
    <d v="2024-01-13T00:00:00"/>
    <n v="4550.8"/>
    <n v="14000.25"/>
    <n v="605"/>
    <n v="45000"/>
    <x v="2"/>
    <x v="1"/>
    <n v="0"/>
    <s v="Active"/>
    <n v="0.31111666666666665"/>
    <n v="2"/>
    <x v="3"/>
    <x v="2"/>
    <x v="1"/>
  </r>
  <r>
    <s v="Fatoumata Bello"/>
    <s v="fatou_b28"/>
    <x v="3"/>
    <x v="19"/>
    <s v="Dakar"/>
    <n v="63"/>
    <s v="Female"/>
    <s v="fatoumata.bello28@email.sn"/>
    <s v="+221-05-901-2345"/>
    <d v="2023-06-22T00:00:00"/>
    <d v="2024-01-11T00:00:00"/>
    <n v="92000.4"/>
    <n v="54200.75"/>
    <n v="710"/>
    <n v="143000"/>
    <x v="0"/>
    <x v="0"/>
    <n v="0"/>
    <s v="Active"/>
    <n v="0.3790262237762238"/>
    <n v="4"/>
    <x v="0"/>
    <x v="4"/>
    <x v="2"/>
  </r>
  <r>
    <s v="David Wilson"/>
    <s v="david_w28"/>
    <x v="2"/>
    <x v="3"/>
    <s v="Manchester"/>
    <n v="77"/>
    <s v="Male"/>
    <s v="david.wilson28@company.co.uk"/>
    <s v="+44-79-2345-6789"/>
    <d v="2020-05-22T00:00:00"/>
    <d v="2024-01-09T00:00:00"/>
    <n v="181600.6"/>
    <n v="109000.25"/>
    <n v="675"/>
    <n v="212000"/>
    <x v="2"/>
    <x v="0"/>
    <n v="0"/>
    <s v="Active"/>
    <n v="0.51415212264150945"/>
    <n v="6"/>
    <x v="0"/>
    <x v="4"/>
    <x v="3"/>
  </r>
  <r>
    <s v="Lina Park"/>
    <s v="lina_park28"/>
    <x v="4"/>
    <x v="17"/>
    <s v="Seoul"/>
    <n v="62"/>
    <s v="Female"/>
    <s v="lina.park28@email.kr"/>
    <s v="+82-10-1234-5678"/>
    <d v="2022-11-22T00:00:00"/>
    <d v="2024-01-10T00:00:00"/>
    <n v="68400.75"/>
    <n v="45300.800000000003"/>
    <n v="725"/>
    <n v="109000"/>
    <x v="0"/>
    <x v="0"/>
    <n v="0"/>
    <s v="Active"/>
    <n v="0.41560366972477064"/>
    <n v="5"/>
    <x v="0"/>
    <x v="4"/>
    <x v="0"/>
  </r>
  <r>
    <s v="Ahmed Al-Mansoori"/>
    <s v="ahmed_alm28"/>
    <x v="5"/>
    <x v="8"/>
    <s v="Dubai"/>
    <n v="60"/>
    <s v="Male"/>
    <s v="ahmed.almansoori28@email.ae"/>
    <s v="+971-50-345-6789"/>
    <d v="2024-02-22T00:00:00"/>
    <d v="2024-01-12T00:00:00"/>
    <n v="46400.4"/>
    <n v="18000.900000000001"/>
    <n v="740"/>
    <n v="95000"/>
    <x v="1"/>
    <x v="0"/>
    <n v="0"/>
    <s v="Active"/>
    <n v="0.18948315789473685"/>
    <n v="3"/>
    <x v="0"/>
    <x v="4"/>
    <x v="0"/>
  </r>
  <r>
    <s v="Maria Costa"/>
    <s v="maria_costa28"/>
    <x v="0"/>
    <x v="5"/>
    <s v="São Paulo"/>
    <n v="83"/>
    <s v="Female"/>
    <s v="maria.costa28@mail.com.br"/>
    <s v="+55-11-99945-6789"/>
    <d v="2019-02-22T00:00:00"/>
    <d v="2024-01-08T00:00:00"/>
    <n v="270500.90000000002"/>
    <n v="99000.6"/>
    <n v="830"/>
    <n v="307000"/>
    <x v="1"/>
    <x v="0"/>
    <n v="0"/>
    <s v="Active"/>
    <n v="0.32247752442996747"/>
    <n v="7"/>
    <x v="1"/>
    <x v="4"/>
    <x v="3"/>
  </r>
  <r>
    <s v="Chinedu Nwankwo"/>
    <s v="chinedu_n28"/>
    <x v="2"/>
    <x v="6"/>
    <s v="Abuja"/>
    <n v="75"/>
    <s v="Male"/>
    <s v="chinedu.nwankwo28@company.ng"/>
    <s v="+234-842-345-6789"/>
    <d v="2020-10-12T00:00:00"/>
    <d v="2024-01-09T00:00:00"/>
    <n v="159400.25"/>
    <n v="101000.4"/>
    <n v="655"/>
    <n v="197000"/>
    <x v="2"/>
    <x v="0"/>
    <n v="0"/>
    <s v="Active"/>
    <n v="0.51269238578680199"/>
    <n v="6"/>
    <x v="3"/>
    <x v="4"/>
    <x v="3"/>
  </r>
  <r>
    <s v="Isabelle Moreau"/>
    <s v="isabelle_m28"/>
    <x v="3"/>
    <x v="9"/>
    <s v="Montreal"/>
    <n v="64"/>
    <s v="Female"/>
    <s v="isabelle.moreau28@email.ca"/>
    <s v="+1-514-555-0194"/>
    <d v="2023-03-22T00:00:00"/>
    <d v="2024-01-11T00:00:00"/>
    <n v="110900.6"/>
    <n v="62200.75"/>
    <n v="760"/>
    <n v="166000"/>
    <x v="0"/>
    <x v="0"/>
    <n v="0"/>
    <s v="Active"/>
    <n v="0.37470331325301204"/>
    <n v="4"/>
    <x v="2"/>
    <x v="4"/>
    <x v="2"/>
  </r>
  <r>
    <s v="Rahman Ali"/>
    <s v="rahman_ali29"/>
    <x v="1"/>
    <x v="36"/>
    <s v="Jakarta"/>
    <n v="55"/>
    <s v="Male"/>
    <s v="rahman.ali29@mail.id"/>
    <s v="+62-839-0123-4567"/>
    <d v="2024-09-28T00:00:00"/>
    <d v="2024-01-15T00:00:00"/>
    <n v="21900.25"/>
    <n v="13000.8"/>
    <n v="695"/>
    <n v="66000"/>
    <x v="0"/>
    <x v="1"/>
    <n v="0"/>
    <s v="Active"/>
    <n v="0.19698181818181817"/>
    <n v="0"/>
    <x v="0"/>
    <x v="4"/>
    <x v="1"/>
  </r>
  <r>
    <s v="Sarah Johnson"/>
    <s v="sarah_j28"/>
    <x v="5"/>
    <x v="0"/>
    <s v="Chicago"/>
    <n v="58"/>
    <s v="Female"/>
    <s v="sarah.johnson28@email.com"/>
    <s v="+1-773-555-0198"/>
    <d v="2023-12-22T00:00:00"/>
    <d v="2024-01-12T00:00:00"/>
    <n v="45300.9"/>
    <n v="17600.25"/>
    <n v="755"/>
    <n v="88000"/>
    <x v="1"/>
    <x v="0"/>
    <n v="0"/>
    <s v="Active"/>
    <n v="0.2000028409090909"/>
    <n v="3"/>
    <x v="2"/>
    <x v="4"/>
    <x v="0"/>
  </r>
  <r>
    <s v="Wei Zhang"/>
    <s v="wei_zhang28"/>
    <x v="2"/>
    <x v="4"/>
    <s v="Beijing"/>
    <n v="76"/>
    <s v="Male"/>
    <s v="wei.zhang28@company.cn"/>
    <s v="+86-138-4567-8901"/>
    <d v="2020-07-22T00:00:00"/>
    <d v="2024-01-09T00:00:00"/>
    <n v="192300.4"/>
    <n v="114000.75"/>
    <n v="685"/>
    <n v="222000"/>
    <x v="2"/>
    <x v="0"/>
    <n v="0"/>
    <s v="Active"/>
    <n v="0.51351689189189187"/>
    <n v="6"/>
    <x v="0"/>
    <x v="4"/>
    <x v="3"/>
  </r>
  <r>
    <s v="Anna Kowalski"/>
    <s v="anna_k29"/>
    <x v="4"/>
    <x v="37"/>
    <s v="Warsaw"/>
    <n v="67"/>
    <s v="Female"/>
    <s v="anna.kowalski29@email.pl"/>
    <s v="+48-727-901-234"/>
    <d v="2022-04-22T00:00:00"/>
    <d v="2024-01-10T00:00:00"/>
    <n v="75300.800000000003"/>
    <n v="48400.6"/>
    <n v="715"/>
    <n v="121000"/>
    <x v="0"/>
    <x v="0"/>
    <n v="0"/>
    <s v="Active"/>
    <n v="0.40000495867768593"/>
    <n v="5"/>
    <x v="0"/>
    <x v="4"/>
    <x v="0"/>
  </r>
  <r>
    <s v="Mohammed Rahman"/>
    <s v="m_rahman29"/>
    <x v="3"/>
    <x v="29"/>
    <s v="Dhaka"/>
    <n v="70"/>
    <s v="Male"/>
    <s v="mohammed.rahman29@email.bd"/>
    <s v="+880-1812-123456"/>
    <d v="2022-01-22T00:00:00"/>
    <d v="2024-01-11T00:00:00"/>
    <n v="103100.25"/>
    <n v="58400.4"/>
    <n v="680"/>
    <n v="150000"/>
    <x v="0"/>
    <x v="0"/>
    <n v="0"/>
    <s v="Active"/>
    <n v="0.38933600000000002"/>
    <n v="4"/>
    <x v="0"/>
    <x v="4"/>
    <x v="2"/>
  </r>
  <r>
    <s v="Yumi Tanaka"/>
    <s v="yumi_tanaka28"/>
    <x v="6"/>
    <x v="1"/>
    <s v="Osaka"/>
    <n v="50"/>
    <s v="Female"/>
    <s v="yumi.tanaka28@edu.jp"/>
    <s v="+81-90-3456-7890"/>
    <d v="2024-10-05T00:00:00"/>
    <d v="2024-01-13T00:00:00"/>
    <n v="4650.3999999999996"/>
    <n v="14600.75"/>
    <n v="610"/>
    <n v="46000"/>
    <x v="2"/>
    <x v="1"/>
    <n v="0"/>
    <s v="Active"/>
    <n v="0.31740760869565215"/>
    <n v="2"/>
    <x v="3"/>
    <x v="2"/>
    <x v="1"/>
  </r>
  <r>
    <s v="Carlos Mendez"/>
    <s v="carlos_m28"/>
    <x v="0"/>
    <x v="13"/>
    <s v="Mexico City"/>
    <n v="82"/>
    <s v="Male"/>
    <s v="carlos.mendez28@mail.mx"/>
    <s v="+52-55-1234-0123"/>
    <d v="2019-09-22T00:00:00"/>
    <d v="2024-01-08T00:00:00"/>
    <n v="290300.79999999999"/>
    <n v="105000.25"/>
    <n v="825"/>
    <n v="302000"/>
    <x v="1"/>
    <x v="0"/>
    <n v="0"/>
    <s v="Active"/>
    <n v="0.34768294701986757"/>
    <n v="7"/>
    <x v="1"/>
    <x v="4"/>
    <x v="3"/>
  </r>
  <r>
    <s v="Aisha Mohammed"/>
    <s v="aisha_m29"/>
    <x v="5"/>
    <x v="16"/>
    <s v="Nairobi"/>
    <n v="57"/>
    <s v="Female"/>
    <s v="aisha.mohammed29@email.ke"/>
    <s v="+254-751-234-567"/>
    <d v="2024-06-22T00:00:00"/>
    <d v="2024-01-14T00:00:00"/>
    <n v="42000.75"/>
    <n v="16000.4"/>
    <n v="725"/>
    <n v="78000"/>
    <x v="1"/>
    <x v="0"/>
    <n v="0"/>
    <s v="Active"/>
    <n v="0.20513333333333333"/>
    <n v="1"/>
    <x v="0"/>
    <x v="4"/>
    <x v="0"/>
  </r>
  <r>
    <s v="David Chen"/>
    <s v="david_chen29"/>
    <x v="2"/>
    <x v="23"/>
    <s v="Singapore"/>
    <n v="74"/>
    <s v="Male"/>
    <s v="david.chen29@company.sg"/>
    <s v="+65-1090-1234"/>
    <d v="2021-01-12T00:00:00"/>
    <d v="2024-01-09T00:00:00"/>
    <n v="170500.6"/>
    <n v="105000.9"/>
    <n v="675"/>
    <n v="202000"/>
    <x v="2"/>
    <x v="0"/>
    <n v="0"/>
    <s v="Active"/>
    <n v="0.51980643564356432"/>
    <n v="6"/>
    <x v="0"/>
    <x v="4"/>
    <x v="3"/>
  </r>
  <r>
    <s v="Maria Papadopoulos"/>
    <s v="maria_p29"/>
    <x v="4"/>
    <x v="38"/>
    <s v="Athens"/>
    <n v="65"/>
    <s v="Female"/>
    <s v="maria.papadopoulos29@email.gr"/>
    <s v="+30-719-012-3456"/>
    <d v="2023-02-22T00:00:00"/>
    <d v="2024-01-11T00:00:00"/>
    <n v="69500.399999999994"/>
    <n v="44200.25"/>
    <n v="705"/>
    <n v="110000"/>
    <x v="0"/>
    <x v="0"/>
    <n v="0"/>
    <s v="Active"/>
    <n v="0.40182045454545456"/>
    <n v="4"/>
    <x v="0"/>
    <x v="4"/>
    <x v="0"/>
  </r>
  <r>
    <s v="James Wilson"/>
    <s v="j_wilson29"/>
    <x v="3"/>
    <x v="26"/>
    <s v="Sydney"/>
    <n v="68"/>
    <s v="Male"/>
    <s v="james.wilson29@email.au"/>
    <s v="+61-451-234-567"/>
    <d v="2021-09-22T00:00:00"/>
    <d v="2024-01-10T00:00:00"/>
    <n v="115100.75"/>
    <n v="65300.800000000003"/>
    <n v="730"/>
    <n v="176000"/>
    <x v="0"/>
    <x v="0"/>
    <n v="0"/>
    <s v="Active"/>
    <n v="0.37102727272727276"/>
    <n v="5"/>
    <x v="0"/>
    <x v="4"/>
    <x v="2"/>
  </r>
  <r>
    <s v="Fatima Zahra"/>
    <s v="f_zahra29"/>
    <x v="1"/>
    <x v="25"/>
    <s v="Lahore"/>
    <n v="53"/>
    <s v="Female"/>
    <s v="fatima.zahra29@mail.pk"/>
    <s v="+92-349-1098765"/>
    <d v="2024-09-28T00:00:00"/>
    <d v="2024-01-15T00:00:00"/>
    <n v="18600.900000000001"/>
    <n v="10700.75"/>
    <n v="685"/>
    <n v="63000"/>
    <x v="0"/>
    <x v="1"/>
    <n v="0"/>
    <s v="Active"/>
    <n v="0.16985317460317462"/>
    <n v="0"/>
    <x v="0"/>
    <x v="2"/>
    <x v="1"/>
  </r>
  <r>
    <s v="Kenji Yamada"/>
    <s v="kenji_y29"/>
    <x v="0"/>
    <x v="1"/>
    <s v="Tokyo"/>
    <n v="85"/>
    <s v="Male"/>
    <s v="kenji.yamada29@mail.jp"/>
    <s v="+81-80-9012-3456"/>
    <d v="2018-12-22T00:00:00"/>
    <d v="2024-01-08T00:00:00"/>
    <n v="301200.25"/>
    <n v="109000.4"/>
    <n v="840"/>
    <n v="317000"/>
    <x v="1"/>
    <x v="0"/>
    <n v="0"/>
    <s v="Active"/>
    <n v="0.34384984227129334"/>
    <n v="7"/>
    <x v="1"/>
    <x v="4"/>
    <x v="3"/>
  </r>
  <r>
    <s v="Ngozi Eze"/>
    <s v="ngozi_e29"/>
    <x v="2"/>
    <x v="6"/>
    <s v="Lagos"/>
    <n v="77"/>
    <s v="Female"/>
    <s v="ngozi.eze29@company.ng"/>
    <s v="+234-841-234-5678"/>
    <d v="2020-05-22T00:00:00"/>
    <d v="2024-01-09T00:00:00"/>
    <n v="181600.4"/>
    <n v="109000.75"/>
    <n v="650"/>
    <n v="212000"/>
    <x v="2"/>
    <x v="0"/>
    <n v="0"/>
    <s v="Active"/>
    <n v="0.51415448113207551"/>
    <n v="6"/>
    <x v="3"/>
    <x v="4"/>
    <x v="3"/>
  </r>
  <r>
    <s v="Thomas Schmidt"/>
    <s v="thomas_s29"/>
    <x v="3"/>
    <x v="7"/>
    <s v="Berlin"/>
    <n v="64"/>
    <s v="Male"/>
    <s v="thomas.schmidt29@email.de"/>
    <s v="+49-203-4567890"/>
    <d v="2023-09-22T00:00:00"/>
    <d v="2024-01-12T00:00:00"/>
    <n v="103900.4"/>
    <n v="59500.25"/>
    <n v="745"/>
    <n v="156000"/>
    <x v="0"/>
    <x v="0"/>
    <n v="0"/>
    <s v="Active"/>
    <n v="0.38141185897435897"/>
    <n v="3"/>
    <x v="0"/>
    <x v="4"/>
    <x v="2"/>
  </r>
  <r>
    <s v="Lina Chen"/>
    <s v="lina_c29"/>
    <x v="5"/>
    <x v="4"/>
    <s v="Beijing"/>
    <n v="59"/>
    <s v="Female"/>
    <s v="lina.chen29@mail.cn"/>
    <s v="+86-137-4567-8901"/>
    <d v="2024-03-22T00:00:00"/>
    <d v="2024-01-11T00:00:00"/>
    <n v="44200.800000000003"/>
    <n v="17200.900000000001"/>
    <n v="765"/>
    <n v="88000"/>
    <x v="1"/>
    <x v="0"/>
    <n v="0"/>
    <s v="Active"/>
    <n v="0.19546477272727275"/>
    <n v="4"/>
    <x v="2"/>
    <x v="4"/>
    <x v="0"/>
  </r>
  <r>
    <s v="Ahmed Hassan"/>
    <s v="ahmed_h29"/>
    <x v="4"/>
    <x v="20"/>
    <s v="Alexandria"/>
    <n v="72"/>
    <s v="Male"/>
    <s v="ahmed.hassan29@email.eg"/>
    <s v="+20-122-210-9876"/>
    <d v="2022-03-22T00:00:00"/>
    <d v="2024-01-10T00:00:00"/>
    <n v="77500.75"/>
    <n v="50600.4"/>
    <n v="675"/>
    <n v="128000"/>
    <x v="0"/>
    <x v="0"/>
    <n v="0"/>
    <s v="Active"/>
    <n v="0.395315625"/>
    <n v="5"/>
    <x v="0"/>
    <x v="4"/>
    <x v="2"/>
  </r>
  <r>
    <s v="Sophie Martin"/>
    <s v="sophie_m29"/>
    <x v="6"/>
    <x v="10"/>
    <s v="Paris"/>
    <n v="51"/>
    <s v="Female"/>
    <s v="sophie.martin29@edu.fr"/>
    <s v="+33-6-1234-5678"/>
    <d v="2024-10-12T00:00:00"/>
    <d v="2024-01-13T00:00:00"/>
    <n v="4900.25"/>
    <n v="15800.6"/>
    <n v="615"/>
    <n v="48000"/>
    <x v="2"/>
    <x v="1"/>
    <n v="0"/>
    <s v="Active"/>
    <n v="0.32917916666666669"/>
    <n v="2"/>
    <x v="3"/>
    <x v="2"/>
    <x v="1"/>
  </r>
  <r>
    <s v="Raj Kumar"/>
    <s v="raj_kumar29"/>
    <x v="2"/>
    <x v="2"/>
    <s v="Mumbai"/>
    <n v="79"/>
    <s v="Male"/>
    <s v="raj.kumar29@company.in"/>
    <s v="+91-987-654-3210"/>
    <d v="2020-04-22T00:00:00"/>
    <d v="2024-01-08T00:00:00"/>
    <n v="216200.8"/>
    <n v="122000.25"/>
    <n v="660"/>
    <n v="247000"/>
    <x v="2"/>
    <x v="0"/>
    <n v="0"/>
    <s v="Active"/>
    <n v="0.49392813765182186"/>
    <n v="7"/>
    <x v="3"/>
    <x v="4"/>
    <x v="3"/>
  </r>
  <r>
    <s v="Maria Gonzalez"/>
    <s v="maria_g30"/>
    <x v="3"/>
    <x v="13"/>
    <s v="Guadalajara"/>
    <n v="66"/>
    <s v="Female"/>
    <s v="maria.gonzalez30@email.mx"/>
    <s v="+52-33-2345-0123"/>
    <d v="2022-08-22T00:00:00"/>
    <d v="2024-01-11T00:00:00"/>
    <n v="98600.9"/>
    <n v="56400.75"/>
    <n v="730"/>
    <n v="151000"/>
    <x v="0"/>
    <x v="0"/>
    <n v="0"/>
    <s v="Active"/>
    <n v="0.37351490066225168"/>
    <n v="4"/>
    <x v="0"/>
    <x v="4"/>
    <x v="2"/>
  </r>
  <r>
    <s v="Yuki Kobayashi"/>
    <s v="yuki_k29"/>
    <x v="1"/>
    <x v="1"/>
    <s v="Osaka"/>
    <n v="55"/>
    <s v="Female"/>
    <s v="yuki.kobayashi29@mail.jp"/>
    <s v="+81-90-4567-8901"/>
    <d v="2024-10-08T00:00:00"/>
    <d v="2024-01-14T00:00:00"/>
    <n v="19700.400000000001"/>
    <n v="10800.25"/>
    <n v="705"/>
    <n v="65000"/>
    <x v="0"/>
    <x v="1"/>
    <n v="0"/>
    <s v="Active"/>
    <n v="0.16615769230769231"/>
    <n v="1"/>
    <x v="0"/>
    <x v="4"/>
    <x v="1"/>
  </r>
  <r>
    <s v="Kwame Asante"/>
    <s v="kwame_a29"/>
    <x v="5"/>
    <x v="15"/>
    <s v="Accra"/>
    <n v="60"/>
    <s v="Male"/>
    <s v="kwame.asante29@email.gh"/>
    <s v="+233-82-345-6789"/>
    <d v="2024-02-22T00:00:00"/>
    <d v="2024-01-12T00:00:00"/>
    <n v="43100.6"/>
    <n v="16600.8"/>
    <n v="710"/>
    <n v="81000"/>
    <x v="1"/>
    <x v="0"/>
    <n v="0"/>
    <s v="Active"/>
    <n v="0.20494814814814813"/>
    <n v="3"/>
    <x v="0"/>
    <x v="4"/>
    <x v="0"/>
  </r>
  <r>
    <s v="Anna Petrova"/>
    <s v="anna_p29"/>
    <x v="4"/>
    <x v="12"/>
    <s v="St. Petersburg"/>
    <n v="67"/>
    <s v="Female"/>
    <s v="anna.petrova29@email.ru"/>
    <s v="+7-921-987-65-43"/>
    <d v="2022-03-22T00:00:00"/>
    <d v="2024-01-10T00:00:00"/>
    <n v="74400.25"/>
    <n v="47500.9"/>
    <n v="695"/>
    <n v="116000"/>
    <x v="0"/>
    <x v="0"/>
    <n v="0"/>
    <s v="Active"/>
    <n v="0.4094905172413793"/>
    <n v="5"/>
    <x v="0"/>
    <x v="4"/>
    <x v="0"/>
  </r>
  <r>
    <s v="Liam O'Brien"/>
    <s v="liam_obrien29"/>
    <x v="2"/>
    <x v="11"/>
    <s v="Cork"/>
    <n v="75"/>
    <s v="Male"/>
    <s v="liam.obrien29@company.ie"/>
    <s v="+353-14-234-5678"/>
    <d v="2020-09-22T00:00:00"/>
    <d v="2024-01-09T00:00:00"/>
    <n v="148400.4"/>
    <n v="96000.6"/>
    <n v="670"/>
    <n v="183000"/>
    <x v="2"/>
    <x v="0"/>
    <n v="0"/>
    <s v="Active"/>
    <n v="0.52459344262295082"/>
    <n v="6"/>
    <x v="0"/>
    <x v="4"/>
    <x v="2"/>
  </r>
  <r>
    <s v="Ying Wang"/>
    <s v="ying_w29"/>
    <x v="0"/>
    <x v="4"/>
    <s v="Shanghai"/>
    <n v="83"/>
    <s v="Female"/>
    <s v="ying.wang29@mail.cn"/>
    <s v="+86-139-1234-5678"/>
    <d v="2019-07-22T00:00:00"/>
    <d v="2024-01-08T00:00:00"/>
    <n v="315300.75"/>
    <n v="113000.8"/>
    <n v="835"/>
    <n v="328000"/>
    <x v="1"/>
    <x v="0"/>
    <n v="0"/>
    <s v="Active"/>
    <n v="0.34451463414634148"/>
    <n v="7"/>
    <x v="1"/>
    <x v="4"/>
    <x v="3"/>
  </r>
  <r>
    <s v="Adeola Yusuf"/>
    <s v="adeola_y29"/>
    <x v="4"/>
    <x v="6"/>
    <s v="Port Harcourt"/>
    <n v="70"/>
    <s v="Female"/>
    <s v="adeola.yusuf29@email.ng"/>
    <s v="+234-842-345-6789"/>
    <d v="2022-02-22T00:00:00"/>
    <d v="2024-01-11T00:00:00"/>
    <n v="83100.600000000006"/>
    <n v="53100.25"/>
    <n v="665"/>
    <n v="136000"/>
    <x v="0"/>
    <x v="0"/>
    <n v="0"/>
    <s v="Active"/>
    <n v="0.39044301470588233"/>
    <n v="4"/>
    <x v="3"/>
    <x v="4"/>
    <x v="2"/>
  </r>
  <r>
    <s v="Marco Bianchi"/>
    <s v="marco_b29"/>
    <x v="3"/>
    <x v="18"/>
    <s v="Milan"/>
    <n v="62"/>
    <s v="Male"/>
    <s v="marco.bianchi29@email.it"/>
    <s v="+39-376-012-3456"/>
    <d v="2023-11-22T00:00:00"/>
    <d v="2024-01-12T00:00:00"/>
    <n v="106400.8"/>
    <n v="60600.4"/>
    <n v="750"/>
    <n v="162000"/>
    <x v="0"/>
    <x v="0"/>
    <n v="0"/>
    <s v="Active"/>
    <n v="0.37407654320987654"/>
    <n v="3"/>
    <x v="2"/>
    <x v="4"/>
    <x v="2"/>
  </r>
  <r>
    <s v="Jennifer Kim"/>
    <s v="jennifer_k29"/>
    <x v="5"/>
    <x v="0"/>
    <s v="San Francisco"/>
    <n v="58"/>
    <s v="Female"/>
    <s v="jennifer.kim29@email.com"/>
    <s v="+1-415-555-0198"/>
    <d v="2024-05-22T00:00:00"/>
    <d v="2024-01-14T00:00:00"/>
    <n v="45300.9"/>
    <n v="17600.75"/>
    <n v="770"/>
    <n v="93000"/>
    <x v="1"/>
    <x v="0"/>
    <n v="0"/>
    <s v="Active"/>
    <n v="0.18925537634408601"/>
    <n v="1"/>
    <x v="2"/>
    <x v="4"/>
    <x v="0"/>
  </r>
  <r>
    <s v="Rahman Hussain"/>
    <s v="rahman_h29"/>
    <x v="2"/>
    <x v="25"/>
    <s v="Islamabad"/>
    <n v="81"/>
    <s v="Male"/>
    <s v="rahman.hussain29@company.pk"/>
    <s v="+92-328-1098765"/>
    <d v="2020-01-22T00:00:00"/>
    <d v="2024-01-08T00:00:00"/>
    <n v="201500.25"/>
    <n v="117000.8"/>
    <n v="645"/>
    <n v="233000"/>
    <x v="2"/>
    <x v="0"/>
    <n v="0"/>
    <s v="Active"/>
    <n v="0.50214935622317602"/>
    <n v="7"/>
    <x v="3"/>
    <x v="4"/>
    <x v="3"/>
  </r>
  <r>
    <s v="Sofia Martinez"/>
    <s v="sofia_m29"/>
    <x v="1"/>
    <x v="14"/>
    <s v="Barcelona"/>
    <n v="54"/>
    <s v="Female"/>
    <s v="sofia.martinez29@mail.es"/>
    <s v="+34-651-234-567"/>
    <d v="2024-10-12T00:00:00"/>
    <d v="2024-01-15T00:00:00"/>
    <n v="38200.5"/>
    <n v="17200.400000000001"/>
    <n v="720"/>
    <n v="70000"/>
    <x v="1"/>
    <x v="0"/>
    <n v="0"/>
    <s v="Active"/>
    <n v="0.24572000000000002"/>
    <n v="0"/>
    <x v="0"/>
    <x v="2"/>
    <x v="1"/>
  </r>
  <r>
    <s v="Kenji Sato"/>
    <s v="kenji_sato30"/>
    <x v="6"/>
    <x v="1"/>
    <s v="Tokyo"/>
    <n v="50"/>
    <s v="Male"/>
    <s v="kenji.sato30@edu.jp"/>
    <s v="+81-90-4567-8901"/>
    <d v="2024-10-15T00:00:00"/>
    <d v="2024-01-13T00:00:00"/>
    <n v="4650.8"/>
    <n v="14200.25"/>
    <n v="605"/>
    <n v="46000"/>
    <x v="2"/>
    <x v="1"/>
    <n v="0"/>
    <s v="Active"/>
    <n v="0.30870108695652176"/>
    <n v="2"/>
    <x v="3"/>
    <x v="2"/>
    <x v="1"/>
  </r>
  <r>
    <s v="Fatoumata Bello"/>
    <s v="fatou_b29"/>
    <x v="3"/>
    <x v="19"/>
    <s v="Dakar"/>
    <n v="64"/>
    <s v="Female"/>
    <s v="fatoumata.bello29@email.sn"/>
    <s v="+221-06-012-3456"/>
    <d v="2023-07-22T00:00:00"/>
    <d v="2024-01-11T00:00:00"/>
    <n v="93100.4"/>
    <n v="55300.75"/>
    <n v="710"/>
    <n v="144000"/>
    <x v="0"/>
    <x v="0"/>
    <n v="0"/>
    <s v="Active"/>
    <n v="0.38403298611111109"/>
    <n v="4"/>
    <x v="0"/>
    <x v="4"/>
    <x v="2"/>
  </r>
  <r>
    <s v="David Wilson"/>
    <s v="david_w29"/>
    <x v="2"/>
    <x v="3"/>
    <s v="London"/>
    <n v="78"/>
    <s v="Male"/>
    <s v="david.wilson29@company.co.uk"/>
    <s v="+44-79-3456-7890"/>
    <d v="2020-06-22T00:00:00"/>
    <d v="2024-01-09T00:00:00"/>
    <n v="181700.6"/>
    <n v="110000.25"/>
    <n v="675"/>
    <n v="213000"/>
    <x v="2"/>
    <x v="0"/>
    <n v="0"/>
    <s v="Active"/>
    <n v="0.51643309859154929"/>
    <n v="6"/>
    <x v="0"/>
    <x v="4"/>
    <x v="3"/>
  </r>
  <r>
    <s v="Lina Park"/>
    <s v="lina_park29"/>
    <x v="4"/>
    <x v="17"/>
    <s v="Busan"/>
    <n v="63"/>
    <s v="Female"/>
    <s v="lina.park29@email.kr"/>
    <s v="+82-10-2345-6789"/>
    <d v="2022-12-22T00:00:00"/>
    <d v="2024-01-10T00:00:00"/>
    <n v="69500.75"/>
    <n v="46400.800000000003"/>
    <n v="725"/>
    <n v="110000"/>
    <x v="0"/>
    <x v="0"/>
    <n v="0"/>
    <s v="Active"/>
    <n v="0.42182545454545456"/>
    <n v="5"/>
    <x v="0"/>
    <x v="4"/>
    <x v="0"/>
  </r>
  <r>
    <s v="Ahmed Al-Mansoori"/>
    <s v="ahmed_alm29"/>
    <x v="5"/>
    <x v="8"/>
    <s v="Abu Dhabi"/>
    <n v="61"/>
    <s v="Male"/>
    <s v="ahmed.almansoori29@email.ae"/>
    <s v="+971-50-456-7890"/>
    <d v="2024-03-22T00:00:00"/>
    <d v="2024-01-12T00:00:00"/>
    <n v="47500.4"/>
    <n v="18400.900000000001"/>
    <n v="740"/>
    <n v="96000"/>
    <x v="1"/>
    <x v="0"/>
    <n v="0"/>
    <s v="Active"/>
    <n v="0.19167604166666669"/>
    <n v="3"/>
    <x v="0"/>
    <x v="4"/>
    <x v="0"/>
  </r>
  <r>
    <s v="Maria Costa"/>
    <s v="maria_costa29"/>
    <x v="0"/>
    <x v="5"/>
    <s v="Rio de Janeiro"/>
    <n v="84"/>
    <s v="Female"/>
    <s v="maria.costa29@mail.com.br"/>
    <s v="+55-21-99956-7890"/>
    <d v="2019-03-22T00:00:00"/>
    <d v="2024-01-08T00:00:00"/>
    <n v="270600.90000000002"/>
    <n v="100000.6"/>
    <n v="830"/>
    <n v="308000"/>
    <x v="1"/>
    <x v="0"/>
    <n v="0"/>
    <s v="Active"/>
    <n v="0.32467727272727276"/>
    <n v="7"/>
    <x v="1"/>
    <x v="4"/>
    <x v="3"/>
  </r>
  <r>
    <s v="Chinedu Nwankwo"/>
    <s v="chinedu_n29"/>
    <x v="2"/>
    <x v="6"/>
    <s v="Abuja"/>
    <n v="76"/>
    <s v="Male"/>
    <s v="chinedu.nwankwo29@company.ng"/>
    <s v="+234-843-456-7890"/>
    <d v="2020-11-12T00:00:00"/>
    <d v="2024-01-09T00:00:00"/>
    <n v="159500.25"/>
    <n v="102000.4"/>
    <n v="655"/>
    <n v="198000"/>
    <x v="2"/>
    <x v="0"/>
    <n v="0"/>
    <s v="Active"/>
    <n v="0.51515353535353536"/>
    <n v="6"/>
    <x v="3"/>
    <x v="4"/>
    <x v="3"/>
  </r>
  <r>
    <s v="Isabelle Moreau"/>
    <s v="isabelle_m29"/>
    <x v="3"/>
    <x v="9"/>
    <s v="Vancouver"/>
    <n v="65"/>
    <s v="Female"/>
    <s v="isabelle.moreau29@email.ca"/>
    <s v="+1-604-555-0194"/>
    <d v="2023-04-22T00:00:00"/>
    <d v="2024-01-11T00:00:00"/>
    <n v="112000.6"/>
    <n v="63300.75"/>
    <n v="760"/>
    <n v="167000"/>
    <x v="0"/>
    <x v="0"/>
    <n v="0"/>
    <s v="Active"/>
    <n v="0.37904640718562876"/>
    <n v="4"/>
    <x v="2"/>
    <x v="4"/>
    <x v="2"/>
  </r>
  <r>
    <s v="Rahman Ali"/>
    <s v="rahman_ali30"/>
    <x v="1"/>
    <x v="36"/>
    <s v="Surabaya"/>
    <n v="56"/>
    <s v="Male"/>
    <s v="rahman.ali30@mail.id"/>
    <s v="+62-840-1234-5678"/>
    <d v="2024-10-08T00:00:00"/>
    <d v="2024-01-15T00:00:00"/>
    <n v="22400.25"/>
    <n v="13300.8"/>
    <n v="695"/>
    <n v="67000"/>
    <x v="0"/>
    <x v="1"/>
    <n v="0"/>
    <s v="Active"/>
    <n v="0.19851940298507462"/>
    <n v="0"/>
    <x v="0"/>
    <x v="4"/>
    <x v="1"/>
  </r>
  <r>
    <s v="Sarah Johnson"/>
    <s v="sarah_j29"/>
    <x v="5"/>
    <x v="0"/>
    <s v="New York"/>
    <n v="59"/>
    <s v="Female"/>
    <s v="sarah.johnson29@email.com"/>
    <s v="+1-646-555-0194"/>
    <d v="2024-01-22T00:00:00"/>
    <d v="2024-01-12T00:00:00"/>
    <n v="46400.9"/>
    <n v="18000.25"/>
    <n v="755"/>
    <n v="89000"/>
    <x v="1"/>
    <x v="0"/>
    <n v="0"/>
    <s v="Active"/>
    <n v="0.20225000000000001"/>
    <n v="3"/>
    <x v="2"/>
    <x v="4"/>
    <x v="0"/>
  </r>
  <r>
    <s v="Wei Zhang"/>
    <s v="wei_zhang29"/>
    <x v="2"/>
    <x v="4"/>
    <s v="Beijing"/>
    <n v="77"/>
    <s v="Male"/>
    <s v="wei.zhang29@company.cn"/>
    <s v="+86-138-5678-9012"/>
    <d v="2020-08-22T00:00:00"/>
    <d v="2024-01-09T00:00:00"/>
    <n v="192400.4"/>
    <n v="115000.75"/>
    <n v="685"/>
    <n v="223000"/>
    <x v="2"/>
    <x v="0"/>
    <n v="0"/>
    <s v="Active"/>
    <n v="0.51569843049327357"/>
    <n v="6"/>
    <x v="0"/>
    <x v="4"/>
    <x v="3"/>
  </r>
  <r>
    <s v="Anna Kowalski"/>
    <s v="anna_k30"/>
    <x v="4"/>
    <x v="37"/>
    <s v="Warsaw"/>
    <n v="68"/>
    <s v="Female"/>
    <s v="anna.kowalski30@email.pl"/>
    <s v="+48-728-012-345"/>
    <d v="2022-05-22T00:00:00"/>
    <d v="2024-01-10T00:00:00"/>
    <n v="76400.800000000003"/>
    <n v="49500.6"/>
    <n v="715"/>
    <n v="122000"/>
    <x v="0"/>
    <x v="0"/>
    <n v="0"/>
    <s v="Active"/>
    <n v="0.40574262295081964"/>
    <n v="5"/>
    <x v="0"/>
    <x v="4"/>
    <x v="0"/>
  </r>
  <r>
    <s v="Mohammed Rahman"/>
    <s v="m_rahman30"/>
    <x v="3"/>
    <x v="29"/>
    <s v="Chittagong"/>
    <n v="71"/>
    <s v="Male"/>
    <s v="mohammed.rahman30@email.bd"/>
    <s v="+880-1812-234567"/>
    <d v="2022-02-22T00:00:00"/>
    <d v="2024-01-11T00:00:00"/>
    <n v="104200.25"/>
    <n v="59500.4"/>
    <n v="680"/>
    <n v="151000"/>
    <x v="0"/>
    <x v="0"/>
    <n v="0"/>
    <s v="Active"/>
    <n v="0.39404238410596026"/>
    <n v="4"/>
    <x v="0"/>
    <x v="4"/>
    <x v="2"/>
  </r>
  <r>
    <s v="Yumi Tanaka"/>
    <s v="yumi_tanaka29"/>
    <x v="6"/>
    <x v="1"/>
    <s v="Osaka"/>
    <n v="51"/>
    <s v="Female"/>
    <s v="yumi.tanaka29@edu.jp"/>
    <s v="+81-90-5678-9012"/>
    <d v="2024-10-22T00:00:00"/>
    <d v="2024-01-13T00:00:00"/>
    <n v="4750.3999999999996"/>
    <n v="14800.75"/>
    <n v="610"/>
    <n v="47000"/>
    <x v="2"/>
    <x v="1"/>
    <n v="0"/>
    <s v="Active"/>
    <n v="0.3149095744680851"/>
    <n v="2"/>
    <x v="3"/>
    <x v="2"/>
    <x v="1"/>
  </r>
  <r>
    <s v="Carlos Mendez"/>
    <s v="carlos_m29"/>
    <x v="0"/>
    <x v="13"/>
    <s v="Mexico City"/>
    <n v="83"/>
    <s v="Male"/>
    <s v="carlos.mendez29@mail.mx"/>
    <s v="+52-55-2345-0123"/>
    <d v="2019-10-22T00:00:00"/>
    <d v="2024-01-08T00:00:00"/>
    <n v="290400.8"/>
    <n v="106000.25"/>
    <n v="825"/>
    <n v="303000"/>
    <x v="1"/>
    <x v="0"/>
    <n v="0"/>
    <s v="Active"/>
    <n v="0.34983580858085811"/>
    <n v="7"/>
    <x v="1"/>
    <x v="4"/>
    <x v="3"/>
  </r>
  <r>
    <s v="Aisha Mohammed"/>
    <s v="aisha_m30"/>
    <x v="5"/>
    <x v="16"/>
    <s v="Mombasa"/>
    <n v="58"/>
    <s v="Female"/>
    <s v="aisha.mohammed30@email.ke"/>
    <s v="+254-752-345-678"/>
    <d v="2024-07-22T00:00:00"/>
    <d v="2024-01-14T00:00:00"/>
    <n v="43100.75"/>
    <n v="16400.400000000001"/>
    <n v="725"/>
    <n v="79000"/>
    <x v="1"/>
    <x v="0"/>
    <n v="0"/>
    <s v="Active"/>
    <n v="0.20760000000000001"/>
    <n v="1"/>
    <x v="0"/>
    <x v="4"/>
    <x v="0"/>
  </r>
  <r>
    <s v="David Chen"/>
    <s v="david_chen30"/>
    <x v="2"/>
    <x v="23"/>
    <s v="Singapore"/>
    <n v="75"/>
    <s v="Male"/>
    <s v="david.chen30@company.sg"/>
    <s v="+65-1190-1234"/>
    <d v="2021-02-12T00:00:00"/>
    <d v="2024-01-09T00:00:00"/>
    <n v="170600.6"/>
    <n v="106000.9"/>
    <n v="675"/>
    <n v="203000"/>
    <x v="2"/>
    <x v="0"/>
    <n v="0"/>
    <s v="Active"/>
    <n v="0.52217192118226596"/>
    <n v="6"/>
    <x v="0"/>
    <x v="4"/>
    <x v="3"/>
  </r>
  <r>
    <s v="Maria Papadopoulos"/>
    <s v="maria_p30"/>
    <x v="4"/>
    <x v="38"/>
    <s v="Athens"/>
    <n v="66"/>
    <s v="Female"/>
    <s v="maria.papadopoulos30@email.gr"/>
    <s v="+30-720-123-4567"/>
    <d v="2023-03-22T00:00:00"/>
    <d v="2024-01-11T00:00:00"/>
    <n v="70600.399999999994"/>
    <n v="45300.25"/>
    <n v="705"/>
    <n v="111000"/>
    <x v="0"/>
    <x v="0"/>
    <n v="0"/>
    <s v="Active"/>
    <n v="0.40811036036036036"/>
    <n v="4"/>
    <x v="0"/>
    <x v="4"/>
    <x v="0"/>
  </r>
  <r>
    <s v="James Wilson"/>
    <s v="j_wilson30"/>
    <x v="3"/>
    <x v="26"/>
    <s v="Melbourne"/>
    <n v="69"/>
    <s v="Male"/>
    <s v="james.wilson30@email.au"/>
    <s v="+61-452-345-678"/>
    <d v="2021-10-22T00:00:00"/>
    <d v="2024-01-10T00:00:00"/>
    <n v="116100.75"/>
    <n v="66400.800000000003"/>
    <n v="730"/>
    <n v="177000"/>
    <x v="0"/>
    <x v="0"/>
    <n v="0"/>
    <s v="Active"/>
    <n v="0.37514576271186445"/>
    <n v="5"/>
    <x v="0"/>
    <x v="4"/>
    <x v="2"/>
  </r>
  <r>
    <s v="Fatima Zahra"/>
    <s v="f_zahra30"/>
    <x v="1"/>
    <x v="25"/>
    <s v="Karachi"/>
    <n v="54"/>
    <s v="Female"/>
    <s v="fatima.zahra30@mail.pk"/>
    <s v="+92-350-9876543"/>
    <d v="2024-10-15T00:00:00"/>
    <d v="2024-01-15T00:00:00"/>
    <n v="19000.900000000001"/>
    <n v="10900.75"/>
    <n v="685"/>
    <n v="64000"/>
    <x v="0"/>
    <x v="1"/>
    <n v="0"/>
    <s v="Active"/>
    <n v="0.17032421875000001"/>
    <n v="0"/>
    <x v="0"/>
    <x v="2"/>
    <x v="1"/>
  </r>
  <r>
    <s v="Kenji Yamada"/>
    <s v="kenji_y30"/>
    <x v="0"/>
    <x v="1"/>
    <s v="Tokyo"/>
    <n v="86"/>
    <s v="Male"/>
    <s v="kenji.yamada30@mail.jp"/>
    <s v="+81-80-0123-4567"/>
    <d v="2019-01-22T00:00:00"/>
    <d v="2024-01-08T00:00:00"/>
    <n v="301300.25"/>
    <n v="110000.4"/>
    <n v="840"/>
    <n v="318000"/>
    <x v="1"/>
    <x v="0"/>
    <n v="0"/>
    <s v="Active"/>
    <n v="0.34591320754716981"/>
    <n v="7"/>
    <x v="1"/>
    <x v="4"/>
    <x v="3"/>
  </r>
  <r>
    <s v="Ngozi Eze"/>
    <s v="ngozi_e30"/>
    <x v="2"/>
    <x v="6"/>
    <s v="Lagos"/>
    <n v="78"/>
    <s v="Female"/>
    <s v="ngozi.eze30@company.ng"/>
    <s v="+234-842-345-6789"/>
    <d v="2020-06-22T00:00:00"/>
    <d v="2024-01-09T00:00:00"/>
    <n v="181700.4"/>
    <n v="110000.75"/>
    <n v="650"/>
    <n v="213000"/>
    <x v="2"/>
    <x v="0"/>
    <n v="0"/>
    <s v="Active"/>
    <n v="0.51643544600938962"/>
    <n v="6"/>
    <x v="3"/>
    <x v="4"/>
    <x v="3"/>
  </r>
  <r>
    <s v="Thomas Schmidt"/>
    <s v="thomas_s30"/>
    <x v="3"/>
    <x v="7"/>
    <s v="Hamburg"/>
    <n v="65"/>
    <s v="Male"/>
    <s v="thomas.schmidt30@email.de"/>
    <s v="+49-204-5678901"/>
    <d v="2023-10-22T00:00:00"/>
    <d v="2024-01-12T00:00:00"/>
    <n v="104900.4"/>
    <n v="60600.25"/>
    <n v="745"/>
    <n v="157000"/>
    <x v="0"/>
    <x v="0"/>
    <n v="0"/>
    <s v="Active"/>
    <n v="0.38598885350318474"/>
    <n v="3"/>
    <x v="0"/>
    <x v="4"/>
    <x v="2"/>
  </r>
  <r>
    <s v="Lina Chen"/>
    <s v="lina_c30"/>
    <x v="5"/>
    <x v="4"/>
    <s v="Beijing"/>
    <n v="60"/>
    <s v="Female"/>
    <s v="lina.chen30@mail.cn"/>
    <s v="+86-137-5678-9012"/>
    <d v="2024-04-22T00:00:00"/>
    <d v="2024-01-11T00:00:00"/>
    <n v="45300.800000000003"/>
    <n v="17600.900000000001"/>
    <n v="765"/>
    <n v="89000"/>
    <x v="1"/>
    <x v="0"/>
    <n v="0"/>
    <s v="Active"/>
    <n v="0.19776292134831464"/>
    <n v="4"/>
    <x v="2"/>
    <x v="4"/>
    <x v="0"/>
  </r>
  <r>
    <s v="Ahmed Hassan"/>
    <s v="ahmed_h30"/>
    <x v="4"/>
    <x v="20"/>
    <s v="Cairo"/>
    <n v="73"/>
    <s v="Male"/>
    <s v="ahmed.hassan30@email.eg"/>
    <s v="+20-122-098-7654"/>
    <d v="2022-04-22T00:00:00"/>
    <d v="2024-01-10T00:00:00"/>
    <n v="78600.75"/>
    <n v="51700.4"/>
    <n v="675"/>
    <n v="129000"/>
    <x v="0"/>
    <x v="0"/>
    <n v="0"/>
    <s v="Active"/>
    <n v="0.40077829457364345"/>
    <n v="5"/>
    <x v="0"/>
    <x v="4"/>
    <x v="2"/>
  </r>
  <r>
    <s v="Sophie Martin"/>
    <s v="sophie_m30"/>
    <x v="6"/>
    <x v="10"/>
    <s v="Lyon"/>
    <n v="52"/>
    <s v="Female"/>
    <s v="sophie.martin30@edu.fr"/>
    <s v="+33-6-2345-6789"/>
    <d v="2024-10-28T00:00:00"/>
    <d v="2024-01-13T00:00:00"/>
    <n v="5000.25"/>
    <n v="16000.6"/>
    <n v="615"/>
    <n v="49000"/>
    <x v="2"/>
    <x v="1"/>
    <n v="0"/>
    <s v="Active"/>
    <n v="0.32654285714285713"/>
    <n v="2"/>
    <x v="3"/>
    <x v="2"/>
    <x v="1"/>
  </r>
  <r>
    <s v="Raj Kumar"/>
    <s v="raj_kumar30"/>
    <x v="2"/>
    <x v="2"/>
    <s v="Delhi"/>
    <n v="80"/>
    <s v="Male"/>
    <s v="raj.kumar30@company.in"/>
    <s v="+91-987-654-3210"/>
    <d v="2020-05-22T00:00:00"/>
    <d v="2024-01-08T00:00:00"/>
    <n v="216300.79999999999"/>
    <n v="123000.25"/>
    <n v="660"/>
    <n v="248000"/>
    <x v="2"/>
    <x v="0"/>
    <n v="0"/>
    <s v="Active"/>
    <n v="0.49596875000000001"/>
    <n v="7"/>
    <x v="3"/>
    <x v="4"/>
    <x v="3"/>
  </r>
  <r>
    <s v="Maria Gonzalez"/>
    <s v="maria_g31"/>
    <x v="3"/>
    <x v="13"/>
    <s v="Mexico City"/>
    <n v="67"/>
    <s v="Female"/>
    <s v="maria.gonzalez31@email.mx"/>
    <s v="+52-55-3456-0123"/>
    <d v="2022-09-22T00:00:00"/>
    <d v="2024-01-11T00:00:00"/>
    <n v="99700.9"/>
    <n v="57500.75"/>
    <n v="730"/>
    <n v="152000"/>
    <x v="0"/>
    <x v="0"/>
    <n v="0"/>
    <s v="Active"/>
    <n v="0.37829440789473684"/>
    <n v="4"/>
    <x v="0"/>
    <x v="4"/>
    <x v="2"/>
  </r>
  <r>
    <s v="Yuki Kobayashi"/>
    <s v="yuki_k30"/>
    <x v="1"/>
    <x v="1"/>
    <s v="Osaka"/>
    <n v="56"/>
    <s v="Female"/>
    <s v="yuki.kobayashi30@mail.jp"/>
    <s v="+81-90-5678-9012"/>
    <d v="2024-10-22T00:00:00"/>
    <d v="2024-01-14T00:00:00"/>
    <n v="20100.400000000001"/>
    <n v="11000.25"/>
    <n v="705"/>
    <n v="66000"/>
    <x v="0"/>
    <x v="1"/>
    <n v="0"/>
    <s v="Active"/>
    <n v="0.16667045454545454"/>
    <n v="1"/>
    <x v="0"/>
    <x v="4"/>
    <x v="1"/>
  </r>
  <r>
    <s v="Kwame Asante"/>
    <s v="kwame_a30"/>
    <x v="5"/>
    <x v="15"/>
    <s v="Accra"/>
    <n v="61"/>
    <s v="Male"/>
    <s v="kwame.asante30@email.gh"/>
    <s v="+233-83-456-7890"/>
    <d v="2024-03-22T00:00:00"/>
    <d v="2024-01-12T00:00:00"/>
    <n v="44200.6"/>
    <n v="17000.8"/>
    <n v="710"/>
    <n v="82000"/>
    <x v="1"/>
    <x v="0"/>
    <n v="0"/>
    <s v="Active"/>
    <n v="0.20732682926829268"/>
    <n v="3"/>
    <x v="0"/>
    <x v="4"/>
    <x v="0"/>
  </r>
  <r>
    <s v="Anna Petrova"/>
    <s v="anna_p30"/>
    <x v="4"/>
    <x v="12"/>
    <s v="Moscow"/>
    <n v="68"/>
    <s v="Female"/>
    <s v="anna.petrova30@email.ru"/>
    <s v="+7-921-876-54-32"/>
    <d v="2022-04-22T00:00:00"/>
    <d v="2024-01-10T00:00:00"/>
    <n v="75500.25"/>
    <n v="48600.9"/>
    <n v="695"/>
    <n v="117000"/>
    <x v="0"/>
    <x v="0"/>
    <n v="0"/>
    <s v="Active"/>
    <n v="0.41539230769230773"/>
    <n v="5"/>
    <x v="0"/>
    <x v="4"/>
    <x v="0"/>
  </r>
  <r>
    <s v="Liam O'Brien"/>
    <s v="liam_obrien30"/>
    <x v="2"/>
    <x v="11"/>
    <s v="Dublin"/>
    <n v="76"/>
    <s v="Male"/>
    <s v="liam.obrien30@company.ie"/>
    <s v="+353-15-345-6789"/>
    <d v="2020-10-22T00:00:00"/>
    <d v="2024-01-09T00:00:00"/>
    <n v="148500.4"/>
    <n v="97000.6"/>
    <n v="670"/>
    <n v="184000"/>
    <x v="2"/>
    <x v="0"/>
    <n v="0"/>
    <s v="Active"/>
    <n v="0.52717717391304353"/>
    <n v="6"/>
    <x v="0"/>
    <x v="4"/>
    <x v="2"/>
  </r>
  <r>
    <s v="Ying Wang"/>
    <s v="ying_w30"/>
    <x v="0"/>
    <x v="4"/>
    <s v="Shanghai"/>
    <n v="84"/>
    <s v="Female"/>
    <s v="ying.wang30@mail.cn"/>
    <s v="+86-139-2345-6789"/>
    <d v="2019-08-22T00:00:00"/>
    <d v="2024-01-08T00:00:00"/>
    <n v="315400.75"/>
    <n v="114000.8"/>
    <n v="835"/>
    <n v="329000"/>
    <x v="1"/>
    <x v="0"/>
    <n v="0"/>
    <s v="Active"/>
    <n v="0.34650699088145898"/>
    <n v="7"/>
    <x v="1"/>
    <x v="4"/>
    <x v="3"/>
  </r>
  <r>
    <s v="Adeola Yusuf"/>
    <s v="adeola_y30"/>
    <x v="4"/>
    <x v="6"/>
    <s v="Abuja"/>
    <n v="71"/>
    <s v="Female"/>
    <s v="adeola.yusuf30@email.ng"/>
    <s v="+234-843-456-7890"/>
    <d v="2022-03-22T00:00:00"/>
    <d v="2024-01-11T00:00:00"/>
    <n v="84200.6"/>
    <n v="54200.25"/>
    <n v="665"/>
    <n v="137000"/>
    <x v="0"/>
    <x v="0"/>
    <n v="0"/>
    <s v="Active"/>
    <n v="0.39562226277372264"/>
    <n v="4"/>
    <x v="3"/>
    <x v="4"/>
    <x v="2"/>
  </r>
  <r>
    <s v="Marco Bianchi"/>
    <s v="marco_b30"/>
    <x v="3"/>
    <x v="18"/>
    <s v="Rome"/>
    <n v="63"/>
    <s v="Male"/>
    <s v="marco.bianchi30@email.it"/>
    <s v="+39-377-123-4567"/>
    <d v="2023-12-22T00:00:00"/>
    <d v="2024-01-12T00:00:00"/>
    <n v="107500.8"/>
    <n v="61700.4"/>
    <n v="750"/>
    <n v="163000"/>
    <x v="0"/>
    <x v="0"/>
    <n v="0"/>
    <s v="Active"/>
    <n v="0.37853006134969325"/>
    <n v="3"/>
    <x v="2"/>
    <x v="4"/>
    <x v="2"/>
  </r>
  <r>
    <s v="Jennifer Kim"/>
    <s v="jennifer_k30"/>
    <x v="5"/>
    <x v="0"/>
    <s v="Seattle"/>
    <n v="59"/>
    <s v="Female"/>
    <s v="jennifer.kim30@email.com"/>
    <s v="+1-206-555-0194"/>
    <d v="2024-06-22T00:00:00"/>
    <d v="2024-01-14T00:00:00"/>
    <n v="46400.9"/>
    <n v="18000.75"/>
    <n v="770"/>
    <n v="94000"/>
    <x v="1"/>
    <x v="0"/>
    <n v="0"/>
    <s v="Active"/>
    <n v="0.1914973404255319"/>
    <n v="1"/>
    <x v="2"/>
    <x v="4"/>
    <x v="0"/>
  </r>
  <r>
    <s v="Rahman Hussain"/>
    <s v="rahman_h30"/>
    <x v="2"/>
    <x v="25"/>
    <s v="Lahore"/>
    <n v="82"/>
    <s v="Male"/>
    <s v="rahman.hussain30@company.pk"/>
    <s v="+92-329-9876543"/>
    <d v="2020-02-22T00:00:00"/>
    <d v="2024-01-08T00:00:00"/>
    <n v="201600.25"/>
    <n v="118000.8"/>
    <n v="645"/>
    <n v="234000"/>
    <x v="2"/>
    <x v="0"/>
    <n v="0"/>
    <s v="Active"/>
    <n v="0.50427692307692307"/>
    <n v="7"/>
    <x v="3"/>
    <x v="4"/>
    <x v="3"/>
  </r>
  <r>
    <s v="Sofia Martinez"/>
    <s v="sofia_m30"/>
    <x v="1"/>
    <x v="14"/>
    <s v="Madrid"/>
    <n v="55"/>
    <s v="Female"/>
    <s v="sofia.martinez30@mail.es"/>
    <s v="+34-652-345-678"/>
    <d v="2024-10-28T00:00:00"/>
    <d v="2024-01-15T00:00:00"/>
    <n v="39200.5"/>
    <n v="17600.400000000001"/>
    <n v="720"/>
    <n v="71000"/>
    <x v="1"/>
    <x v="0"/>
    <n v="0"/>
    <s v="Active"/>
    <n v="0.2478929577464789"/>
    <n v="0"/>
    <x v="0"/>
    <x v="4"/>
    <x v="1"/>
  </r>
  <r>
    <s v="Kenji Sato"/>
    <s v="kenji_sato31"/>
    <x v="6"/>
    <x v="1"/>
    <s v="Tokyo"/>
    <n v="51"/>
    <s v="Male"/>
    <s v="kenji.sato31@edu.jp"/>
    <s v="+81-90-5678-9012"/>
    <d v="2024-10-28T00:00:00"/>
    <d v="2024-01-13T00:00:00"/>
    <n v="4750.8"/>
    <n v="14400.25"/>
    <n v="605"/>
    <n v="47000"/>
    <x v="2"/>
    <x v="1"/>
    <n v="0"/>
    <s v="Active"/>
    <n v="0.3063882978723404"/>
    <n v="2"/>
    <x v="3"/>
    <x v="2"/>
    <x v="1"/>
  </r>
  <r>
    <s v="Fatoumata Bello"/>
    <s v="fatou_b30"/>
    <x v="3"/>
    <x v="19"/>
    <s v="Dakar"/>
    <n v="65"/>
    <s v="Female"/>
    <s v="fatoumata.bello30@email.sn"/>
    <s v="+221-07-123-4567"/>
    <d v="2023-08-22T00:00:00"/>
    <d v="2024-01-11T00:00:00"/>
    <n v="94200.4"/>
    <n v="56400.75"/>
    <n v="710"/>
    <n v="145000"/>
    <x v="0"/>
    <x v="0"/>
    <n v="0"/>
    <s v="Active"/>
    <n v="0.3889706896551724"/>
    <n v="4"/>
    <x v="0"/>
    <x v="4"/>
    <x v="2"/>
  </r>
  <r>
    <s v="David Wilson"/>
    <s v="david_w30"/>
    <x v="2"/>
    <x v="3"/>
    <s v="London"/>
    <n v="79"/>
    <s v="Male"/>
    <s v="david.wilson30@company.co.uk"/>
    <s v="+44-79-4567-8901"/>
    <d v="2020-07-22T00:00:00"/>
    <d v="2024-01-09T00:00:00"/>
    <n v="181800.6"/>
    <n v="111000.25"/>
    <n v="675"/>
    <n v="214000"/>
    <x v="2"/>
    <x v="0"/>
    <n v="0"/>
    <s v="Active"/>
    <n v="0.51869275700934581"/>
    <n v="6"/>
    <x v="0"/>
    <x v="4"/>
    <x v="3"/>
  </r>
  <r>
    <s v="Lina Park"/>
    <s v="lina_park30"/>
    <x v="4"/>
    <x v="17"/>
    <s v="Seoul"/>
    <n v="64"/>
    <s v="Female"/>
    <s v="lina.park30@email.kr"/>
    <s v="+82-10-3456-7890"/>
    <d v="2023-01-22T00:00:00"/>
    <d v="2024-01-10T00:00:00"/>
    <n v="70600.75"/>
    <n v="47500.800000000003"/>
    <n v="725"/>
    <n v="111000"/>
    <x v="0"/>
    <x v="0"/>
    <n v="0"/>
    <s v="Active"/>
    <n v="0.42793513513513515"/>
    <n v="5"/>
    <x v="0"/>
    <x v="4"/>
    <x v="0"/>
  </r>
  <r>
    <s v="Ahmed Al-Mansoori"/>
    <s v="ahmed_alm30"/>
    <x v="5"/>
    <x v="8"/>
    <s v="Dubai"/>
    <n v="62"/>
    <s v="Male"/>
    <s v="ahmed.almansoori30@email.ae"/>
    <s v="+971-50-567-8901"/>
    <d v="2024-04-22T00:00:00"/>
    <d v="2024-01-12T00:00:00"/>
    <n v="48600.4"/>
    <n v="18800.900000000001"/>
    <n v="740"/>
    <n v="97000"/>
    <x v="1"/>
    <x v="0"/>
    <n v="0"/>
    <s v="Active"/>
    <n v="0.19382371134020621"/>
    <n v="3"/>
    <x v="0"/>
    <x v="4"/>
    <x v="0"/>
  </r>
  <r>
    <s v="Maria Costa"/>
    <s v="maria_costa30"/>
    <x v="0"/>
    <x v="5"/>
    <s v="São Paulo"/>
    <n v="85"/>
    <s v="Female"/>
    <s v="maria.costa30@mail.com.br"/>
    <s v="+55-11-99967-8901"/>
    <d v="2019-04-22T00:00:00"/>
    <d v="2024-01-08T00:00:00"/>
    <n v="270700.90000000002"/>
    <n v="101000.6"/>
    <n v="830"/>
    <n v="309000"/>
    <x v="1"/>
    <x v="0"/>
    <n v="0"/>
    <s v="Active"/>
    <n v="0.32686278317152107"/>
    <n v="7"/>
    <x v="1"/>
    <x v="4"/>
    <x v="3"/>
  </r>
  <r>
    <s v="Chinedu Nwankwo"/>
    <s v="chinedu_n30"/>
    <x v="2"/>
    <x v="6"/>
    <s v="Port Harcourt"/>
    <n v="77"/>
    <s v="Male"/>
    <s v="chinedu.nwankwo30@company.ng"/>
    <s v="+234-844-567-8901"/>
    <d v="2020-12-12T00:00:00"/>
    <d v="2024-01-09T00:00:00"/>
    <n v="159600.25"/>
    <n v="103000.4"/>
    <n v="655"/>
    <n v="199000"/>
    <x v="2"/>
    <x v="0"/>
    <n v="0"/>
    <s v="Active"/>
    <n v="0.51758994974874373"/>
    <n v="6"/>
    <x v="3"/>
    <x v="4"/>
    <x v="3"/>
  </r>
  <r>
    <s v="Isabelle Moreau"/>
    <s v="isabelle_m30"/>
    <x v="3"/>
    <x v="9"/>
    <s v="Toronto"/>
    <n v="66"/>
    <s v="Female"/>
    <s v="isabelle.moreau30@email.ca"/>
    <s v="+1-647-555-0198"/>
    <d v="2023-05-22T00:00:00"/>
    <d v="2024-01-11T00:00:00"/>
    <n v="113100.6"/>
    <n v="64400.75"/>
    <n v="760"/>
    <n v="168000"/>
    <x v="0"/>
    <x v="0"/>
    <n v="0"/>
    <s v="Active"/>
    <n v="0.38333779761904763"/>
    <n v="4"/>
    <x v="2"/>
    <x v="4"/>
    <x v="2"/>
  </r>
  <r>
    <s v="Rahman Ali"/>
    <s v="rahman_ali31"/>
    <x v="1"/>
    <x v="36"/>
    <s v="Jakarta"/>
    <n v="57"/>
    <s v="Male"/>
    <s v="rahman.ali31@mail.id"/>
    <s v="+62-841-2345-6789"/>
    <d v="2024-10-28T00:00:00"/>
    <d v="2024-01-15T00:00:00"/>
    <n v="22900.25"/>
    <n v="13600.8"/>
    <n v="695"/>
    <n v="68000"/>
    <x v="0"/>
    <x v="1"/>
    <n v="0"/>
    <s v="Active"/>
    <n v="0.20001176470588233"/>
    <n v="0"/>
    <x v="0"/>
    <x v="4"/>
    <x v="1"/>
  </r>
  <r>
    <s v="Sarah Johnson"/>
    <s v="sarah_j30"/>
    <x v="5"/>
    <x v="0"/>
    <s v="Chicago"/>
    <n v="60"/>
    <s v="Female"/>
    <s v="sarah.johnson30@email.com"/>
    <s v="+1-773-555-0194"/>
    <d v="2024-02-22T00:00:00"/>
    <d v="2024-01-12T00:00:00"/>
    <n v="47500.9"/>
    <n v="18400.25"/>
    <n v="755"/>
    <n v="90000"/>
    <x v="1"/>
    <x v="0"/>
    <n v="0"/>
    <s v="Active"/>
    <n v="0.20444722222222222"/>
    <n v="3"/>
    <x v="2"/>
    <x v="4"/>
    <x v="0"/>
  </r>
  <r>
    <s v="Wei Zhang"/>
    <s v="wei_zhang30"/>
    <x v="2"/>
    <x v="4"/>
    <s v="Beijing"/>
    <n v="78"/>
    <s v="Male"/>
    <s v="wei.zhang30@company.cn"/>
    <s v="+86-138-6789-0123"/>
    <d v="2020-09-22T00:00:00"/>
    <d v="2024-01-09T00:00:00"/>
    <n v="192500.4"/>
    <n v="116000.75"/>
    <n v="685"/>
    <n v="224000"/>
    <x v="2"/>
    <x v="0"/>
    <n v="0"/>
    <s v="Active"/>
    <n v="0.51786049107142862"/>
    <n v="6"/>
    <x v="0"/>
    <x v="4"/>
    <x v="3"/>
  </r>
  <r>
    <s v="Anna Kowalski"/>
    <s v="anna_k31"/>
    <x v="4"/>
    <x v="37"/>
    <s v="Warsaw"/>
    <n v="69"/>
    <s v="Female"/>
    <s v="anna.kowalski31@email.pl"/>
    <s v="+48-729-123-456"/>
    <d v="2022-06-22T00:00:00"/>
    <d v="2024-01-10T00:00:00"/>
    <n v="77500.800000000003"/>
    <n v="50600.6"/>
    <n v="715"/>
    <n v="123000"/>
    <x v="0"/>
    <x v="0"/>
    <n v="0"/>
    <s v="Active"/>
    <n v="0.41138699186991867"/>
    <n v="5"/>
    <x v="0"/>
    <x v="4"/>
    <x v="0"/>
  </r>
  <r>
    <s v="Mohammed Rahman"/>
    <s v="m_rahman31"/>
    <x v="3"/>
    <x v="29"/>
    <s v="Chittagong"/>
    <n v="72"/>
    <s v="Male"/>
    <s v="mohammed.rahman31@email.bd"/>
    <s v="+880-1812-345678"/>
    <d v="2022-03-22T00:00:00"/>
    <d v="2024-01-11T00:00:00"/>
    <n v="105300.25"/>
    <n v="60600.4"/>
    <n v="680"/>
    <n v="152000"/>
    <x v="0"/>
    <x v="0"/>
    <n v="0"/>
    <s v="Active"/>
    <n v="0.39868684210526317"/>
    <n v="4"/>
    <x v="0"/>
    <x v="4"/>
    <x v="2"/>
  </r>
  <r>
    <s v="Yumi Tanaka"/>
    <s v="yumi_tanaka30"/>
    <x v="6"/>
    <x v="1"/>
    <s v="Osaka"/>
    <n v="52"/>
    <s v="Female"/>
    <s v="yumi.tanaka30@edu.jp"/>
    <s v="+81-90-6789-0123"/>
    <d v="2024-11-05T00:00:00"/>
    <d v="2024-01-13T00:00:00"/>
    <n v="4850.3999999999996"/>
    <n v="15000.75"/>
    <n v="610"/>
    <n v="48000"/>
    <x v="2"/>
    <x v="1"/>
    <n v="0"/>
    <s v="Active"/>
    <n v="0.31251562500000002"/>
    <n v="2"/>
    <x v="3"/>
    <x v="2"/>
    <x v="1"/>
  </r>
  <r>
    <s v="Carlos Mendez"/>
    <s v="carlos_m30"/>
    <x v="0"/>
    <x v="13"/>
    <s v="Mexico City"/>
    <n v="84"/>
    <s v="Male"/>
    <s v="carlos.mendez30@mail.mx"/>
    <s v="+52-55-3456-0123"/>
    <d v="2019-11-22T00:00:00"/>
    <d v="2024-01-08T00:00:00"/>
    <n v="290500.8"/>
    <n v="107000.25"/>
    <n v="825"/>
    <n v="304000"/>
    <x v="1"/>
    <x v="0"/>
    <n v="0"/>
    <s v="Active"/>
    <n v="0.35197450657894735"/>
    <n v="7"/>
    <x v="1"/>
    <x v="4"/>
    <x v="3"/>
  </r>
  <r>
    <s v="Aisha Mohammed"/>
    <s v="aisha_m31"/>
    <x v="5"/>
    <x v="16"/>
    <s v="Nairobi"/>
    <n v="59"/>
    <s v="Female"/>
    <s v="aisha.mohammed31@email.ke"/>
    <s v="+254-753-456-789"/>
    <d v="2024-08-22T00:00:00"/>
    <d v="2024-01-14T00:00:00"/>
    <n v="44200.75"/>
    <n v="16800.400000000001"/>
    <n v="725"/>
    <n v="80000"/>
    <x v="1"/>
    <x v="0"/>
    <n v="0"/>
    <s v="Active"/>
    <n v="0.21000500000000002"/>
    <n v="1"/>
    <x v="0"/>
    <x v="4"/>
    <x v="0"/>
  </r>
  <r>
    <s v="David Chen"/>
    <s v="david_chen31"/>
    <x v="2"/>
    <x v="23"/>
    <s v="Singapore"/>
    <n v="76"/>
    <s v="Male"/>
    <s v="david.chen31@company.sg"/>
    <s v="+65-1290-1234"/>
    <d v="2021-03-12T00:00:00"/>
    <d v="2024-01-09T00:00:00"/>
    <n v="170700.6"/>
    <n v="107000.9"/>
    <n v="675"/>
    <n v="204000"/>
    <x v="2"/>
    <x v="0"/>
    <n v="0"/>
    <s v="Active"/>
    <n v="0.52451421568627443"/>
    <n v="6"/>
    <x v="0"/>
    <x v="4"/>
    <x v="3"/>
  </r>
  <r>
    <s v="Maria Papadopoulos"/>
    <s v="maria_p31"/>
    <x v="4"/>
    <x v="38"/>
    <s v="Athens"/>
    <n v="67"/>
    <s v="Female"/>
    <s v="maria.papadopoulos31@email.gr"/>
    <s v="+30-721-234-5678"/>
    <d v="2023-04-22T00:00:00"/>
    <d v="2024-01-11T00:00:00"/>
    <n v="71700.399999999994"/>
    <n v="46400.25"/>
    <n v="705"/>
    <n v="112000"/>
    <x v="0"/>
    <x v="0"/>
    <n v="0"/>
    <s v="Active"/>
    <n v="0.41428794642857142"/>
    <n v="4"/>
    <x v="0"/>
    <x v="4"/>
    <x v="0"/>
  </r>
  <r>
    <s v="James Wilson"/>
    <s v="j_wilson31"/>
    <x v="3"/>
    <x v="26"/>
    <s v="Sydney"/>
    <n v="70"/>
    <s v="Male"/>
    <s v="james.wilson31@email.au"/>
    <s v="+61-453-456-789"/>
    <d v="2021-11-22T00:00:00"/>
    <d v="2024-01-10T00:00:00"/>
    <n v="117100.75"/>
    <n v="67500.800000000003"/>
    <n v="730"/>
    <n v="178000"/>
    <x v="0"/>
    <x v="0"/>
    <n v="0"/>
    <s v="Active"/>
    <n v="0.37921797752808989"/>
    <n v="5"/>
    <x v="0"/>
    <x v="4"/>
    <x v="2"/>
  </r>
  <r>
    <s v="Fatima Zahra"/>
    <s v="f_zahra31"/>
    <x v="1"/>
    <x v="25"/>
    <s v="Islamabad"/>
    <n v="55"/>
    <s v="Female"/>
    <s v="fatima.zahra31@mail.pk"/>
    <s v="+92-351-8765432"/>
    <d v="2024-10-28T00:00:00"/>
    <d v="2024-01-15T00:00:00"/>
    <n v="19400.900000000001"/>
    <n v="11100.75"/>
    <n v="685"/>
    <n v="65000"/>
    <x v="0"/>
    <x v="1"/>
    <n v="0"/>
    <s v="Active"/>
    <n v="0.17078076923076924"/>
    <n v="0"/>
    <x v="0"/>
    <x v="4"/>
    <x v="1"/>
  </r>
  <r>
    <s v="Kenji Yamada"/>
    <s v="kenji_y31"/>
    <x v="0"/>
    <x v="1"/>
    <s v="Tokyo"/>
    <n v="87"/>
    <s v="Male"/>
    <s v="kenji.yamada31@mail.jp"/>
    <s v="+81-80-1234-5678"/>
    <d v="2019-02-22T00:00:00"/>
    <d v="2024-01-08T00:00:00"/>
    <n v="301400.25"/>
    <n v="111000.4"/>
    <n v="840"/>
    <n v="319000"/>
    <x v="1"/>
    <x v="0"/>
    <n v="0"/>
    <s v="Active"/>
    <n v="0.34796363636363636"/>
    <n v="7"/>
    <x v="1"/>
    <x v="4"/>
    <x v="3"/>
  </r>
  <r>
    <s v="Ngozi Eze"/>
    <s v="ngozi_e31"/>
    <x v="2"/>
    <x v="6"/>
    <s v="Lagos"/>
    <n v="79"/>
    <s v="Female"/>
    <s v="ngozi.eze31@company.ng"/>
    <s v="+234-843-456-7890"/>
    <d v="2020-07-22T00:00:00"/>
    <d v="2024-01-09T00:00:00"/>
    <n v="181800.4"/>
    <n v="111000.75"/>
    <n v="650"/>
    <n v="214000"/>
    <x v="2"/>
    <x v="0"/>
    <n v="0"/>
    <s v="Active"/>
    <n v="0.51869509345794396"/>
    <n v="6"/>
    <x v="3"/>
    <x v="4"/>
    <x v="3"/>
  </r>
  <r>
    <s v="Thomas Schmidt"/>
    <s v="thomas_s31"/>
    <x v="3"/>
    <x v="7"/>
    <s v="Munich"/>
    <n v="66"/>
    <s v="Male"/>
    <s v="thomas.schmidt31@email.de"/>
    <s v="+49-205-6789012"/>
    <d v="2023-11-22T00:00:00"/>
    <d v="2024-01-12T00:00:00"/>
    <n v="105900.4"/>
    <n v="61700.25"/>
    <n v="745"/>
    <n v="158000"/>
    <x v="0"/>
    <x v="0"/>
    <n v="0"/>
    <s v="Active"/>
    <n v="0.39050791139240504"/>
    <n v="3"/>
    <x v="0"/>
    <x v="4"/>
    <x v="2"/>
  </r>
  <r>
    <s v="Lina Chen"/>
    <s v="lina_c31"/>
    <x v="5"/>
    <x v="4"/>
    <s v="Shanghai"/>
    <n v="61"/>
    <s v="Female"/>
    <s v="lina.chen31@mail.cn"/>
    <s v="+86-137-6789-0123"/>
    <d v="2024-05-22T00:00:00"/>
    <d v="2024-01-11T00:00:00"/>
    <n v="46400.800000000003"/>
    <n v="18000.900000000001"/>
    <n v="765"/>
    <n v="90000"/>
    <x v="1"/>
    <x v="0"/>
    <n v="0"/>
    <s v="Active"/>
    <n v="0.20001000000000002"/>
    <n v="4"/>
    <x v="2"/>
    <x v="4"/>
    <x v="0"/>
  </r>
  <r>
    <s v="Ahmed Hassan"/>
    <s v="ahmed_h31"/>
    <x v="4"/>
    <x v="20"/>
    <s v="Alexandria"/>
    <n v="74"/>
    <s v="Male"/>
    <s v="ahmed.hassan31@email.eg"/>
    <s v="+20-122-987-6543"/>
    <d v="2022-05-22T00:00:00"/>
    <d v="2024-01-10T00:00:00"/>
    <n v="79700.75"/>
    <n v="52800.4"/>
    <n v="675"/>
    <n v="130000"/>
    <x v="0"/>
    <x v="0"/>
    <n v="0"/>
    <s v="Active"/>
    <n v="0.40615692307692308"/>
    <n v="5"/>
    <x v="0"/>
    <x v="4"/>
    <x v="2"/>
  </r>
  <r>
    <s v="Sophie Martin"/>
    <s v="sophie_m31"/>
    <x v="6"/>
    <x v="10"/>
    <s v="Paris"/>
    <n v="53"/>
    <s v="Female"/>
    <s v="sophie.martin31@edu.fr"/>
    <s v="+33-6-3456-7890"/>
    <d v="2024-11-12T00:00:00"/>
    <d v="2024-01-13T00:00:00"/>
    <n v="5100.25"/>
    <n v="16200.6"/>
    <n v="615"/>
    <n v="50000"/>
    <x v="2"/>
    <x v="1"/>
    <n v="0"/>
    <s v="Active"/>
    <n v="0.32401200000000002"/>
    <n v="2"/>
    <x v="3"/>
    <x v="2"/>
    <x v="1"/>
  </r>
  <r>
    <s v="Raj Kumar"/>
    <s v="raj_kumar31"/>
    <x v="2"/>
    <x v="2"/>
    <s v="Delhi"/>
    <n v="81"/>
    <s v="Male"/>
    <s v="raj.kumar31@company.in"/>
    <s v="+91-987-654-3210"/>
    <d v="2020-06-22T00:00:00"/>
    <d v="2024-01-08T00:00:00"/>
    <n v="216400.8"/>
    <n v="124000.25"/>
    <n v="660"/>
    <n v="249000"/>
    <x v="2"/>
    <x v="0"/>
    <n v="0"/>
    <s v="Active"/>
    <n v="0.49799297188755021"/>
    <n v="7"/>
    <x v="3"/>
    <x v="4"/>
    <x v="3"/>
  </r>
  <r>
    <s v="Maria Gonzalez"/>
    <s v="maria_g32"/>
    <x v="3"/>
    <x v="13"/>
    <s v="Monterrey"/>
    <n v="68"/>
    <s v="Female"/>
    <s v="maria.gonzalez32@email.mx"/>
    <s v="+52-81-4567-0123"/>
    <d v="2022-10-22T00:00:00"/>
    <d v="2024-01-11T00:00:00"/>
    <n v="100800.9"/>
    <n v="58600.75"/>
    <n v="730"/>
    <n v="153000"/>
    <x v="0"/>
    <x v="0"/>
    <n v="0"/>
    <s v="Active"/>
    <n v="0.38301143790849673"/>
    <n v="4"/>
    <x v="0"/>
    <x v="4"/>
    <x v="2"/>
  </r>
  <r>
    <s v="Yuki Kobayashi"/>
    <s v="yuki_k31"/>
    <x v="1"/>
    <x v="1"/>
    <s v="Osaka"/>
    <n v="57"/>
    <s v="Female"/>
    <s v="yuki.kobayashi31@mail.jp"/>
    <s v="+81-90-6789-0123"/>
    <d v="2024-11-08T00:00:00"/>
    <d v="2024-01-14T00:00:00"/>
    <n v="20500.400000000001"/>
    <n v="11200.25"/>
    <n v="705"/>
    <n v="67000"/>
    <x v="0"/>
    <x v="1"/>
    <n v="0"/>
    <s v="Active"/>
    <n v="0.16716791044776119"/>
    <n v="1"/>
    <x v="0"/>
    <x v="4"/>
    <x v="1"/>
  </r>
  <r>
    <s v="Kwame Asante"/>
    <s v="kwame_a31"/>
    <x v="5"/>
    <x v="15"/>
    <s v="Accra"/>
    <n v="62"/>
    <s v="Male"/>
    <s v="kwame.asante31@email.gh"/>
    <s v="+233-84-567-8901"/>
    <d v="2024-04-22T00:00:00"/>
    <d v="2024-01-12T00:00:00"/>
    <n v="45300.6"/>
    <n v="17400.8"/>
    <n v="710"/>
    <n v="83000"/>
    <x v="1"/>
    <x v="0"/>
    <n v="0"/>
    <s v="Active"/>
    <n v="0.20964819277108432"/>
    <n v="3"/>
    <x v="0"/>
    <x v="4"/>
    <x v="0"/>
  </r>
  <r>
    <s v="Anna Petrova"/>
    <s v="anna_p31"/>
    <x v="4"/>
    <x v="12"/>
    <s v="St. Petersburg"/>
    <n v="69"/>
    <s v="Female"/>
    <s v="anna.petrova31@email.ru"/>
    <s v="+7-921-765-43-21"/>
    <d v="2022-05-22T00:00:00"/>
    <d v="2024-01-10T00:00:00"/>
    <n v="76600.25"/>
    <n v="49700.9"/>
    <n v="695"/>
    <n v="118000"/>
    <x v="0"/>
    <x v="0"/>
    <n v="0"/>
    <s v="Active"/>
    <n v="0.42119406779661017"/>
    <n v="5"/>
    <x v="0"/>
    <x v="4"/>
    <x v="0"/>
  </r>
  <r>
    <s v="Liam O'Brien"/>
    <s v="liam_obrien31"/>
    <x v="2"/>
    <x v="11"/>
    <s v="Dublin"/>
    <n v="77"/>
    <s v="Male"/>
    <s v="liam.obrien31@company.ie"/>
    <s v="+353-16-456-7890"/>
    <d v="2020-11-22T00:00:00"/>
    <d v="2024-01-09T00:00:00"/>
    <n v="148600.4"/>
    <n v="98000.6"/>
    <n v="670"/>
    <n v="185000"/>
    <x v="2"/>
    <x v="0"/>
    <n v="0"/>
    <s v="Active"/>
    <n v="0.52973297297297306"/>
    <n v="6"/>
    <x v="0"/>
    <x v="4"/>
    <x v="2"/>
  </r>
  <r>
    <s v="Ying Wang"/>
    <s v="ying_w31"/>
    <x v="0"/>
    <x v="4"/>
    <s v="Shanghai"/>
    <n v="85"/>
    <s v="Female"/>
    <s v="ying.wang31@mail.cn"/>
    <s v="+86-139-3456-7890"/>
    <d v="2019-09-22T00:00:00"/>
    <d v="2024-01-08T00:00:00"/>
    <n v="315500.75"/>
    <n v="115000.8"/>
    <n v="835"/>
    <n v="330000"/>
    <x v="1"/>
    <x v="0"/>
    <n v="0"/>
    <s v="Active"/>
    <n v="0.34848727272727276"/>
    <n v="7"/>
    <x v="1"/>
    <x v="4"/>
    <x v="3"/>
  </r>
  <r>
    <s v="Adeola Yusuf"/>
    <s v="adeola_y31"/>
    <x v="4"/>
    <x v="6"/>
    <s v="Lagos"/>
    <n v="72"/>
    <s v="Female"/>
    <s v="adeola.yusuf31@email.ng"/>
    <s v="+234-844-567-8901"/>
    <d v="2022-04-22T00:00:00"/>
    <d v="2024-01-11T00:00:00"/>
    <n v="85300.6"/>
    <n v="55300.25"/>
    <n v="665"/>
    <n v="138000"/>
    <x v="0"/>
    <x v="0"/>
    <n v="0"/>
    <s v="Active"/>
    <n v="0.40072644927536233"/>
    <n v="4"/>
    <x v="3"/>
    <x v="4"/>
    <x v="2"/>
  </r>
  <r>
    <s v="Marco Bianchi"/>
    <s v="marco_b31"/>
    <x v="3"/>
    <x v="18"/>
    <s v="Rome"/>
    <n v="64"/>
    <s v="Male"/>
    <s v="marco.bianchi31@email.it"/>
    <s v="+39-378-234-5678"/>
    <d v="2024-01-22T00:00:00"/>
    <d v="2024-01-12T00:00:00"/>
    <n v="108600.8"/>
    <n v="62800.4"/>
    <n v="750"/>
    <n v="164000"/>
    <x v="0"/>
    <x v="0"/>
    <n v="0"/>
    <s v="Active"/>
    <n v="0.38292926829268292"/>
    <n v="3"/>
    <x v="2"/>
    <x v="4"/>
    <x v="2"/>
  </r>
  <r>
    <s v="Jennifer Kim"/>
    <s v="jennifer_k31"/>
    <x v="5"/>
    <x v="0"/>
    <s v="Los Angeles"/>
    <n v="60"/>
    <s v="Female"/>
    <s v="jennifer.kim31@email.com"/>
    <s v="+1-310-555-0198"/>
    <d v="2024-07-22T00:00:00"/>
    <d v="2024-01-14T00:00:00"/>
    <n v="47500.9"/>
    <n v="18400.75"/>
    <n v="770"/>
    <n v="95000"/>
    <x v="1"/>
    <x v="0"/>
    <n v="0"/>
    <s v="Active"/>
    <n v="0.19369210526315789"/>
    <n v="1"/>
    <x v="2"/>
    <x v="4"/>
    <x v="0"/>
  </r>
  <r>
    <s v="Rahman Hussain"/>
    <s v="rahman_h31"/>
    <x v="2"/>
    <x v="25"/>
    <s v="Karachi"/>
    <n v="83"/>
    <s v="Male"/>
    <s v="rahman.hussain31@company.pk"/>
    <s v="+92-330-8765432"/>
    <d v="2020-03-22T00:00:00"/>
    <d v="2024-01-08T00:00:00"/>
    <n v="201700.25"/>
    <n v="119000.8"/>
    <n v="645"/>
    <n v="235000"/>
    <x v="2"/>
    <x v="0"/>
    <n v="0"/>
    <s v="Active"/>
    <n v="0.5063863829787234"/>
    <n v="7"/>
    <x v="3"/>
    <x v="4"/>
    <x v="3"/>
  </r>
  <r>
    <s v="Sofia Martinez"/>
    <s v="sofia_m31"/>
    <x v="1"/>
    <x v="14"/>
    <s v="Valencia"/>
    <n v="56"/>
    <s v="Female"/>
    <s v="sofia.martinez31@mail.es"/>
    <s v="+34-653-456-789"/>
    <d v="2024-11-12T00:00:00"/>
    <d v="2024-01-15T00:00:00"/>
    <n v="40200.5"/>
    <n v="18000.400000000001"/>
    <n v="720"/>
    <n v="72000"/>
    <x v="1"/>
    <x v="0"/>
    <n v="0"/>
    <s v="Active"/>
    <n v="0.25000555555555559"/>
    <n v="0"/>
    <x v="0"/>
    <x v="4"/>
    <x v="1"/>
  </r>
  <r>
    <s v="Kenji Sato"/>
    <s v="kenji_sato32"/>
    <x v="6"/>
    <x v="1"/>
    <s v="Tokyo"/>
    <n v="52"/>
    <s v="Male"/>
    <s v="kenji.sato32@edu.jp"/>
    <s v="+81-90-6789-0123"/>
    <d v="2024-11-15T00:00:00"/>
    <d v="2024-01-13T00:00:00"/>
    <n v="4850.8"/>
    <n v="14600.25"/>
    <n v="605"/>
    <n v="48000"/>
    <x v="2"/>
    <x v="1"/>
    <n v="0"/>
    <s v="Active"/>
    <n v="0.30417187499999998"/>
    <n v="2"/>
    <x v="3"/>
    <x v="2"/>
    <x v="1"/>
  </r>
  <r>
    <s v="Fatoumata Bello"/>
    <s v="fatou_b31"/>
    <x v="3"/>
    <x v="19"/>
    <s v="Dakar"/>
    <n v="66"/>
    <s v="Female"/>
    <s v="fatoumata.bello31@email.sn"/>
    <s v="+221-08-234-5678"/>
    <d v="2023-09-22T00:00:00"/>
    <d v="2024-01-11T00:00:00"/>
    <n v="95300.4"/>
    <n v="57500.75"/>
    <n v="710"/>
    <n v="146000"/>
    <x v="0"/>
    <x v="0"/>
    <n v="0"/>
    <s v="Active"/>
    <n v="0.39384075342465752"/>
    <n v="4"/>
    <x v="0"/>
    <x v="4"/>
    <x v="2"/>
  </r>
  <r>
    <s v="David Wilson"/>
    <s v="david_w31"/>
    <x v="2"/>
    <x v="3"/>
    <s v="Manchester"/>
    <n v="80"/>
    <s v="Male"/>
    <s v="david.wilson31@company.co.uk"/>
    <s v="+44-79-5678-9012"/>
    <d v="2020-08-22T00:00:00"/>
    <d v="2024-01-09T00:00:00"/>
    <n v="181900.6"/>
    <n v="112000.25"/>
    <n v="675"/>
    <n v="215000"/>
    <x v="2"/>
    <x v="0"/>
    <n v="0"/>
    <s v="Active"/>
    <n v="0.52093139534883726"/>
    <n v="6"/>
    <x v="0"/>
    <x v="4"/>
    <x v="3"/>
  </r>
  <r>
    <s v="Lina Park"/>
    <s v="lina_park31"/>
    <x v="4"/>
    <x v="17"/>
    <s v="Seoul"/>
    <n v="65"/>
    <s v="Female"/>
    <s v="lina.park31@email.kr"/>
    <s v="+82-10-4567-8901"/>
    <d v="2023-02-22T00:00:00"/>
    <d v="2024-01-10T00:00:00"/>
    <n v="71700.75"/>
    <n v="48600.800000000003"/>
    <n v="725"/>
    <n v="112000"/>
    <x v="0"/>
    <x v="0"/>
    <n v="0"/>
    <s v="Active"/>
    <n v="0.43393571428571431"/>
    <n v="5"/>
    <x v="0"/>
    <x v="4"/>
    <x v="0"/>
  </r>
  <r>
    <s v="Ahmed Al-Mansoori"/>
    <s v="ahmed_alm31"/>
    <x v="5"/>
    <x v="8"/>
    <s v="Dubai"/>
    <n v="63"/>
    <s v="Male"/>
    <s v="ahmed.almansoori31@email.ae"/>
    <s v="+971-50-678-9012"/>
    <d v="2024-05-22T00:00:00"/>
    <d v="2024-01-12T00:00:00"/>
    <n v="49700.4"/>
    <n v="19200.900000000001"/>
    <n v="740"/>
    <n v="98000"/>
    <x v="1"/>
    <x v="0"/>
    <n v="0"/>
    <s v="Active"/>
    <n v="0.19592755102040818"/>
    <n v="3"/>
    <x v="0"/>
    <x v="4"/>
    <x v="0"/>
  </r>
  <r>
    <s v="Maria Costa"/>
    <s v="maria_costa31"/>
    <x v="0"/>
    <x v="5"/>
    <s v="São Paulo"/>
    <n v="86"/>
    <s v="Female"/>
    <s v="maria.costa31@mail.com.br"/>
    <s v="+55-11-99978-9012"/>
    <d v="2019-05-22T00:00:00"/>
    <d v="2024-01-08T00:00:00"/>
    <n v="270800.90000000002"/>
    <n v="102000.6"/>
    <n v="830"/>
    <n v="310000"/>
    <x v="1"/>
    <x v="0"/>
    <n v="0"/>
    <s v="Active"/>
    <n v="0.32903419354838709"/>
    <n v="7"/>
    <x v="1"/>
    <x v="4"/>
    <x v="3"/>
  </r>
  <r>
    <s v="Chinedu Nwankwo"/>
    <s v="chinedu_n31"/>
    <x v="2"/>
    <x v="6"/>
    <s v="Abuja"/>
    <n v="78"/>
    <s v="Male"/>
    <s v="chinedu.nwankwo31@company.ng"/>
    <s v="+234-845-678-9012"/>
    <d v="2021-01-12T00:00:00"/>
    <d v="2024-01-09T00:00:00"/>
    <n v="159700.25"/>
    <n v="104000.4"/>
    <n v="655"/>
    <n v="200000"/>
    <x v="2"/>
    <x v="0"/>
    <n v="0"/>
    <s v="Active"/>
    <n v="0.52000199999999996"/>
    <n v="6"/>
    <x v="3"/>
    <x v="4"/>
    <x v="3"/>
  </r>
  <r>
    <s v="Isabelle Moreau"/>
    <s v="isabelle_m31"/>
    <x v="3"/>
    <x v="9"/>
    <s v="Montreal"/>
    <n v="67"/>
    <s v="Female"/>
    <s v="isabelle.moreau31@email.ca"/>
    <s v="+1-514-555-0198"/>
    <d v="2023-06-22T00:00:00"/>
    <d v="2024-01-11T00:00:00"/>
    <n v="114200.6"/>
    <n v="65500.75"/>
    <n v="760"/>
    <n v="169000"/>
    <x v="0"/>
    <x v="0"/>
    <n v="0"/>
    <s v="Active"/>
    <n v="0.38757840236686392"/>
    <n v="4"/>
    <x v="2"/>
    <x v="4"/>
    <x v="2"/>
  </r>
  <r>
    <s v="Rahman Ali"/>
    <s v="rahman_ali32"/>
    <x v="1"/>
    <x v="36"/>
    <s v="Surabaya"/>
    <n v="58"/>
    <s v="Male"/>
    <s v="rahman.ali32@mail.id"/>
    <s v="+62-842-3456-7890"/>
    <d v="2024-11-08T00:00:00"/>
    <d v="2024-01-15T00:00:00"/>
    <n v="23400.25"/>
    <n v="13900.8"/>
    <n v="695"/>
    <n v="69000"/>
    <x v="0"/>
    <x v="1"/>
    <n v="0"/>
    <s v="Active"/>
    <n v="0.20146086956521739"/>
    <n v="0"/>
    <x v="0"/>
    <x v="4"/>
    <x v="1"/>
  </r>
  <r>
    <s v="Sarah Johnson"/>
    <s v="sarah_j31"/>
    <x v="5"/>
    <x v="0"/>
    <s v="New York"/>
    <n v="61"/>
    <s v="Female"/>
    <s v="sarah.johnson31@email.com"/>
    <s v="+1-646-555-0198"/>
    <d v="2024-03-22T00:00:00"/>
    <d v="2024-01-12T00:00:00"/>
    <n v="48600.9"/>
    <n v="18800.25"/>
    <n v="755"/>
    <n v="91000"/>
    <x v="1"/>
    <x v="0"/>
    <n v="0"/>
    <s v="Active"/>
    <n v="0.20659615384615385"/>
    <n v="3"/>
    <x v="2"/>
    <x v="4"/>
    <x v="0"/>
  </r>
  <r>
    <s v="Wei Zhang"/>
    <s v="wei_zhang31"/>
    <x v="2"/>
    <x v="4"/>
    <s v="Beijing"/>
    <n v="79"/>
    <s v="Male"/>
    <s v="wei.zhang31@company.cn"/>
    <s v="+86-138-7890-1234"/>
    <d v="2020-10-22T00:00:00"/>
    <d v="2024-01-09T00:00:00"/>
    <n v="192600.4"/>
    <n v="117000.75"/>
    <n v="685"/>
    <n v="225000"/>
    <x v="2"/>
    <x v="0"/>
    <n v="0"/>
    <s v="Active"/>
    <n v="0.52000333333333337"/>
    <n v="6"/>
    <x v="0"/>
    <x v="4"/>
    <x v="3"/>
  </r>
  <r>
    <s v="Anna Kowalski"/>
    <s v="anna_k32"/>
    <x v="4"/>
    <x v="37"/>
    <s v="Warsaw"/>
    <n v="70"/>
    <s v="Female"/>
    <s v="anna.kowalski32@email.pl"/>
    <s v="+48-730-234-567"/>
    <d v="2022-07-22T00:00:00"/>
    <d v="2024-01-10T00:00:00"/>
    <n v="78600.800000000003"/>
    <n v="51700.6"/>
    <n v="715"/>
    <n v="124000"/>
    <x v="0"/>
    <x v="0"/>
    <n v="0"/>
    <s v="Active"/>
    <n v="0.41694032258064517"/>
    <n v="5"/>
    <x v="0"/>
    <x v="4"/>
    <x v="0"/>
  </r>
  <r>
    <s v="Mohammed Rahman"/>
    <s v="m_rahman32"/>
    <x v="3"/>
    <x v="29"/>
    <s v="Dhaka"/>
    <n v="73"/>
    <s v="Male"/>
    <s v="mohammed.rahman32@email.bd"/>
    <s v="+880-1812-456789"/>
    <d v="2022-04-22T00:00:00"/>
    <d v="2024-01-11T00:00:00"/>
    <n v="106400.25"/>
    <n v="61700.4"/>
    <n v="680"/>
    <n v="153000"/>
    <x v="0"/>
    <x v="0"/>
    <n v="0"/>
    <s v="Active"/>
    <n v="0.4032705882352941"/>
    <n v="4"/>
    <x v="0"/>
    <x v="4"/>
    <x v="2"/>
  </r>
  <r>
    <s v="Yumi Tanaka"/>
    <s v="yumi_tanaka31"/>
    <x v="6"/>
    <x v="1"/>
    <s v="Osaka"/>
    <n v="53"/>
    <s v="Female"/>
    <s v="yumi.tanaka31@edu.jp"/>
    <s v="+81-90-7890-1234"/>
    <d v="2024-11-22T00:00:00"/>
    <d v="2024-01-13T00:00:00"/>
    <n v="4950.3999999999996"/>
    <n v="15200.75"/>
    <n v="610"/>
    <n v="49000"/>
    <x v="2"/>
    <x v="1"/>
    <n v="0"/>
    <s v="Active"/>
    <n v="0.31021938775510205"/>
    <n v="2"/>
    <x v="3"/>
    <x v="2"/>
    <x v="1"/>
  </r>
  <r>
    <s v="Carlos Mendez"/>
    <s v="carlos_m31"/>
    <x v="0"/>
    <x v="13"/>
    <s v="Mexico City"/>
    <n v="85"/>
    <s v="Male"/>
    <s v="carlos.mendez31@mail.mx"/>
    <s v="+52-55-4567-0123"/>
    <d v="2019-12-22T00:00:00"/>
    <d v="2024-01-08T00:00:00"/>
    <n v="290600.8"/>
    <n v="108000.25"/>
    <n v="825"/>
    <n v="305000"/>
    <x v="1"/>
    <x v="0"/>
    <n v="0"/>
    <s v="Active"/>
    <n v="0.35409918032786886"/>
    <n v="7"/>
    <x v="1"/>
    <x v="4"/>
    <x v="3"/>
  </r>
  <r>
    <s v="Aisha Mohammed"/>
    <s v="aisha_m32"/>
    <x v="5"/>
    <x v="16"/>
    <s v="Nairobi"/>
    <n v="60"/>
    <s v="Female"/>
    <s v="aisha.mohammed32@email.ke"/>
    <s v="+254-754-567-890"/>
    <d v="2024-09-22T00:00:00"/>
    <d v="2024-01-14T00:00:00"/>
    <n v="45300.75"/>
    <n v="17200.400000000001"/>
    <n v="725"/>
    <n v="81000"/>
    <x v="1"/>
    <x v="0"/>
    <n v="0"/>
    <s v="Active"/>
    <n v="0.21235061728395063"/>
    <n v="1"/>
    <x v="0"/>
    <x v="4"/>
    <x v="0"/>
  </r>
  <r>
    <s v="David Chen"/>
    <s v="david_chen32"/>
    <x v="2"/>
    <x v="23"/>
    <s v="Singapore"/>
    <n v="77"/>
    <s v="Male"/>
    <s v="david.chen32@company.sg"/>
    <s v="+65-1390-1234"/>
    <d v="2021-04-12T00:00:00"/>
    <d v="2024-01-09T00:00:00"/>
    <n v="170800.6"/>
    <n v="108000.9"/>
    <n v="675"/>
    <n v="205000"/>
    <x v="2"/>
    <x v="0"/>
    <n v="0"/>
    <s v="Active"/>
    <n v="0.52683365853658537"/>
    <n v="6"/>
    <x v="0"/>
    <x v="4"/>
    <x v="3"/>
  </r>
  <r>
    <s v="Maria Papadopoulos"/>
    <s v="maria_p32"/>
    <x v="4"/>
    <x v="38"/>
    <s v="Athens"/>
    <n v="68"/>
    <s v="Female"/>
    <s v="maria.papadopoulos32@email.gr"/>
    <s v="+30-722-345-6789"/>
    <d v="2023-05-22T00:00:00"/>
    <d v="2024-01-11T00:00:00"/>
    <n v="72800.399999999994"/>
    <n v="47500.25"/>
    <n v="705"/>
    <n v="113000"/>
    <x v="0"/>
    <x v="0"/>
    <n v="0"/>
    <s v="Active"/>
    <n v="0.42035619469026547"/>
    <n v="4"/>
    <x v="0"/>
    <x v="4"/>
    <x v="0"/>
  </r>
  <r>
    <s v="James Wilson"/>
    <s v="j_wilson32"/>
    <x v="3"/>
    <x v="26"/>
    <s v="Sydney"/>
    <n v="71"/>
    <s v="Male"/>
    <s v="james.wilson32@email.au"/>
    <s v="+61-454-567-890"/>
    <d v="2021-12-22T00:00:00"/>
    <d v="2024-01-10T00:00:00"/>
    <n v="118100.75"/>
    <n v="68600.800000000003"/>
    <n v="730"/>
    <n v="179000"/>
    <x v="0"/>
    <x v="0"/>
    <n v="0"/>
    <s v="Active"/>
    <n v="0.38324469273743017"/>
    <n v="5"/>
    <x v="0"/>
    <x v="4"/>
    <x v="2"/>
  </r>
  <r>
    <s v="Fatima Zahra"/>
    <s v="f_zahra32"/>
    <x v="1"/>
    <x v="25"/>
    <s v="Lahore"/>
    <n v="56"/>
    <s v="Female"/>
    <s v="fatima.zahra32@mail.pk"/>
    <s v="+92-352-7654321"/>
    <d v="2024-11-15T00:00:00"/>
    <d v="2024-01-15T00:00:00"/>
    <n v="19800.900000000001"/>
    <n v="11300.75"/>
    <n v="685"/>
    <n v="66000"/>
    <x v="0"/>
    <x v="1"/>
    <n v="0"/>
    <s v="Active"/>
    <n v="0.17122348484848485"/>
    <n v="0"/>
    <x v="0"/>
    <x v="4"/>
    <x v="1"/>
  </r>
  <r>
    <s v="Kenji Yamada"/>
    <s v="kenji_y32"/>
    <x v="0"/>
    <x v="1"/>
    <s v="Tokyo"/>
    <n v="88"/>
    <s v="Male"/>
    <s v="kenji.yamada32@mail.jp"/>
    <s v="+81-80-2345-6789"/>
    <d v="2019-03-22T00:00:00"/>
    <d v="2024-01-08T00:00:00"/>
    <n v="301500.25"/>
    <n v="112000.4"/>
    <n v="840"/>
    <n v="320000"/>
    <x v="1"/>
    <x v="0"/>
    <n v="0"/>
    <s v="Active"/>
    <n v="0.35000124999999999"/>
    <n v="7"/>
    <x v="1"/>
    <x v="4"/>
    <x v="3"/>
  </r>
  <r>
    <s v="Ngozi Eze"/>
    <s v="ngozi_e32"/>
    <x v="2"/>
    <x v="6"/>
    <s v="Lagos"/>
    <n v="80"/>
    <s v="Female"/>
    <s v="ngozi.eze32@company.ng"/>
    <s v="+234-844-567-8901"/>
    <d v="2020-08-22T00:00:00"/>
    <d v="2024-01-09T00:00:00"/>
    <n v="181900.4"/>
    <n v="112000.75"/>
    <n v="650"/>
    <n v="215000"/>
    <x v="2"/>
    <x v="0"/>
    <n v="0"/>
    <s v="Active"/>
    <n v="0.5209337209302326"/>
    <n v="6"/>
    <x v="3"/>
    <x v="4"/>
    <x v="3"/>
  </r>
  <r>
    <s v="Thomas Schmidt"/>
    <s v="thomas_s32"/>
    <x v="3"/>
    <x v="7"/>
    <s v="Berlin"/>
    <n v="67"/>
    <s v="Male"/>
    <s v="thomas.schmidt32@email.de"/>
    <s v="+49-206-7890123"/>
    <d v="2023-12-22T00:00:00"/>
    <d v="2024-01-12T00:00:00"/>
    <n v="106900.4"/>
    <n v="62800.25"/>
    <n v="745"/>
    <n v="159000"/>
    <x v="0"/>
    <x v="0"/>
    <n v="0"/>
    <s v="Active"/>
    <n v="0.39497012578616353"/>
    <n v="3"/>
    <x v="0"/>
    <x v="4"/>
    <x v="2"/>
  </r>
  <r>
    <s v="Lina Chen"/>
    <s v="lina_c32"/>
    <x v="5"/>
    <x v="4"/>
    <s v="Beijing"/>
    <n v="62"/>
    <s v="Female"/>
    <s v="lina.chen32@mail.cn"/>
    <s v="+86-137-7890-1234"/>
    <d v="2024-06-22T00:00:00"/>
    <d v="2024-01-11T00:00:00"/>
    <n v="47500.800000000003"/>
    <n v="18400.900000000001"/>
    <n v="765"/>
    <n v="91000"/>
    <x v="1"/>
    <x v="0"/>
    <n v="0"/>
    <s v="Active"/>
    <n v="0.20220769230769231"/>
    <n v="4"/>
    <x v="2"/>
    <x v="4"/>
    <x v="0"/>
  </r>
  <r>
    <s v="Ahmed Hassan"/>
    <s v="ahmed_h32"/>
    <x v="4"/>
    <x v="20"/>
    <s v="Alexandria"/>
    <n v="75"/>
    <s v="Male"/>
    <s v="ahmed.hassan32@email.eg"/>
    <s v="+20-122-876-5432"/>
    <d v="2022-06-22T00:00:00"/>
    <d v="2024-01-10T00:00:00"/>
    <n v="80800.75"/>
    <n v="53900.4"/>
    <n v="675"/>
    <n v="131000"/>
    <x v="0"/>
    <x v="0"/>
    <n v="0"/>
    <s v="Active"/>
    <n v="0.41145343511450383"/>
    <n v="5"/>
    <x v="0"/>
    <x v="4"/>
    <x v="2"/>
  </r>
  <r>
    <s v="Sophie Martin"/>
    <s v="sophie_m32"/>
    <x v="6"/>
    <x v="10"/>
    <s v="Paris"/>
    <n v="54"/>
    <s v="Female"/>
    <s v="sophie.martin32@edu.fr"/>
    <s v="+33-6-4567-8901"/>
    <d v="2024-11-28T00:00:00"/>
    <d v="2024-01-13T00:00:00"/>
    <n v="5200.25"/>
    <n v="16400.599999999999"/>
    <n v="615"/>
    <n v="51000"/>
    <x v="2"/>
    <x v="1"/>
    <n v="0"/>
    <s v="Active"/>
    <n v="0.32158039215686274"/>
    <n v="2"/>
    <x v="3"/>
    <x v="2"/>
    <x v="1"/>
  </r>
  <r>
    <s v="Raj Kumar"/>
    <s v="raj_kumar32"/>
    <x v="2"/>
    <x v="2"/>
    <s v="Mumbai"/>
    <n v="82"/>
    <s v="Male"/>
    <s v="raj.kumar32@company.in"/>
    <s v="+91-987-654-3210"/>
    <d v="2020-07-22T00:00:00"/>
    <d v="2024-01-08T00:00:00"/>
    <n v="216500.8"/>
    <n v="125000.25"/>
    <n v="660"/>
    <n v="250000"/>
    <x v="2"/>
    <x v="0"/>
    <n v="0"/>
    <s v="Active"/>
    <n v="0.50000100000000003"/>
    <n v="7"/>
    <x v="3"/>
    <x v="4"/>
    <x v="3"/>
  </r>
  <r>
    <s v="Maria Gonzalez"/>
    <s v="maria_g33"/>
    <x v="3"/>
    <x v="13"/>
    <s v="Guadalajara"/>
    <n v="69"/>
    <s v="Female"/>
    <s v="maria.gonzalez33@email.mx"/>
    <s v="+52-33-5678-0123"/>
    <d v="2022-11-22T00:00:00"/>
    <d v="2024-01-11T00:00:00"/>
    <n v="101900.9"/>
    <n v="59700.75"/>
    <n v="730"/>
    <n v="154000"/>
    <x v="0"/>
    <x v="0"/>
    <n v="0"/>
    <s v="Active"/>
    <n v="0.38766720779220781"/>
    <n v="4"/>
    <x v="0"/>
    <x v="4"/>
    <x v="2"/>
  </r>
  <r>
    <s v="Yuki Kobayashi"/>
    <s v="yuki_k32"/>
    <x v="1"/>
    <x v="1"/>
    <s v="Osaka"/>
    <n v="58"/>
    <s v="Female"/>
    <s v="yuki.kobayashi32@mail.jp"/>
    <s v="+81-90-7890-1234"/>
    <d v="2024-11-22T00:00:00"/>
    <d v="2024-01-14T00:00:00"/>
    <n v="20900.400000000001"/>
    <n v="11400.25"/>
    <n v="705"/>
    <n v="68000"/>
    <x v="0"/>
    <x v="1"/>
    <n v="0"/>
    <s v="Active"/>
    <n v="0.16765073529411764"/>
    <n v="1"/>
    <x v="0"/>
    <x v="4"/>
    <x v="1"/>
  </r>
  <r>
    <s v="Kwame Asante"/>
    <s v="kwame_a32"/>
    <x v="5"/>
    <x v="15"/>
    <s v="Accra"/>
    <n v="63"/>
    <s v="Male"/>
    <s v="kwame.asante32@email.gh"/>
    <s v="+233-85-678-9012"/>
    <d v="2024-05-22T00:00:00"/>
    <d v="2024-01-12T00:00:00"/>
    <n v="46400.6"/>
    <n v="17800.8"/>
    <n v="710"/>
    <n v="84000"/>
    <x v="1"/>
    <x v="0"/>
    <n v="0"/>
    <s v="Active"/>
    <n v="0.21191428571428569"/>
    <n v="3"/>
    <x v="0"/>
    <x v="4"/>
    <x v="0"/>
  </r>
  <r>
    <s v="Anna Petrova"/>
    <s v="anna_p32"/>
    <x v="4"/>
    <x v="12"/>
    <s v="St. Petersburg"/>
    <n v="70"/>
    <s v="Female"/>
    <s v="anna.petrova32@email.ru"/>
    <s v="+7-921-654-32-10"/>
    <d v="2022-06-22T00:00:00"/>
    <d v="2024-01-10T00:00:00"/>
    <n v="77700.25"/>
    <n v="50800.9"/>
    <n v="695"/>
    <n v="119000"/>
    <x v="0"/>
    <x v="0"/>
    <n v="0"/>
    <s v="Active"/>
    <n v="0.42689831932773109"/>
    <n v="5"/>
    <x v="0"/>
    <x v="4"/>
    <x v="0"/>
  </r>
  <r>
    <s v="Liam O'Brien"/>
    <s v="liam_obrien32"/>
    <x v="2"/>
    <x v="11"/>
    <s v="Cork"/>
    <n v="78"/>
    <s v="Male"/>
    <s v="liam.obrien32@company.ie"/>
    <s v="+353-17-567-8901"/>
    <d v="2020-12-22T00:00:00"/>
    <d v="2024-01-09T00:00:00"/>
    <n v="148700.4"/>
    <n v="99000.6"/>
    <n v="670"/>
    <n v="186000"/>
    <x v="2"/>
    <x v="0"/>
    <n v="0"/>
    <s v="Active"/>
    <n v="0.53226129032258063"/>
    <n v="6"/>
    <x v="0"/>
    <x v="4"/>
    <x v="2"/>
  </r>
  <r>
    <s v="Ying Wang"/>
    <s v="ying_w32"/>
    <x v="0"/>
    <x v="4"/>
    <s v="Shanghai"/>
    <n v="86"/>
    <s v="Female"/>
    <s v="ying.wang32@mail.cn"/>
    <s v="+86-139-4567-8901"/>
    <d v="2019-10-22T00:00:00"/>
    <d v="2024-01-08T00:00:00"/>
    <n v="315600.75"/>
    <n v="116000.8"/>
    <n v="835"/>
    <n v="331000"/>
    <x v="1"/>
    <x v="0"/>
    <n v="0"/>
    <s v="Active"/>
    <n v="0.3504555891238671"/>
    <n v="7"/>
    <x v="1"/>
    <x v="4"/>
    <x v="3"/>
  </r>
  <r>
    <s v="Adeola Yusuf"/>
    <s v="adeola_y32"/>
    <x v="4"/>
    <x v="6"/>
    <s v="Port Harcourt"/>
    <n v="73"/>
    <s v="Female"/>
    <s v="adeola.yusuf32@email.ng"/>
    <s v="+234-845-678-9012"/>
    <d v="2022-05-22T00:00:00"/>
    <d v="2024-01-11T00:00:00"/>
    <n v="86400.6"/>
    <n v="56400.25"/>
    <n v="665"/>
    <n v="139000"/>
    <x v="0"/>
    <x v="0"/>
    <n v="0"/>
    <s v="Active"/>
    <n v="0.40575719424460432"/>
    <n v="4"/>
    <x v="3"/>
    <x v="4"/>
    <x v="2"/>
  </r>
  <r>
    <s v="Marco Bianchi"/>
    <s v="marco_b32"/>
    <x v="3"/>
    <x v="18"/>
    <s v="Milan"/>
    <n v="65"/>
    <s v="Male"/>
    <s v="marco.bianchi32@email.it"/>
    <s v="+39-379-345-6789"/>
    <d v="2024-02-22T00:00:00"/>
    <d v="2024-01-12T00:00:00"/>
    <n v="109700.8"/>
    <n v="63900.4"/>
    <n v="750"/>
    <n v="165000"/>
    <x v="0"/>
    <x v="0"/>
    <n v="0"/>
    <s v="Active"/>
    <n v="0.38727515151515152"/>
    <n v="3"/>
    <x v="2"/>
    <x v="4"/>
    <x v="2"/>
  </r>
  <r>
    <s v="Jennifer Kim"/>
    <s v="jennifer_k32"/>
    <x v="5"/>
    <x v="0"/>
    <s v="San Francisco"/>
    <n v="61"/>
    <s v="Female"/>
    <s v="jennifer.kim32@email.com"/>
    <s v="+1-415-555-0194"/>
    <d v="2024-08-22T00:00:00"/>
    <d v="2024-01-14T00:00:00"/>
    <n v="48600.9"/>
    <n v="18800.75"/>
    <n v="770"/>
    <n v="96000"/>
    <x v="1"/>
    <x v="0"/>
    <n v="0"/>
    <s v="Active"/>
    <n v="0.19584114583333334"/>
    <n v="1"/>
    <x v="2"/>
    <x v="4"/>
    <x v="0"/>
  </r>
  <r>
    <s v="Rahman Hussain"/>
    <s v="rahman_h32"/>
    <x v="2"/>
    <x v="25"/>
    <s v="Islamabad"/>
    <n v="84"/>
    <s v="Male"/>
    <s v="rahman.hussain32@company.pk"/>
    <s v="+92-331-7654321"/>
    <d v="2020-04-22T00:00:00"/>
    <d v="2024-01-08T00:00:00"/>
    <n v="201800.25"/>
    <n v="120000.8"/>
    <n v="645"/>
    <n v="236000"/>
    <x v="2"/>
    <x v="0"/>
    <n v="0"/>
    <s v="Active"/>
    <n v="0.50847796610169493"/>
    <n v="7"/>
    <x v="3"/>
    <x v="4"/>
    <x v="3"/>
  </r>
  <r>
    <s v="Sofia Martinez"/>
    <s v="sofia_m32"/>
    <x v="1"/>
    <x v="14"/>
    <s v="Barcelona"/>
    <n v="57"/>
    <s v="Female"/>
    <s v="sofia.martinez32@mail.es"/>
    <s v="+34-654-567-890"/>
    <d v="2024-11-28T00:00:00"/>
    <d v="2024-01-15T00:00:00"/>
    <n v="41200.5"/>
    <n v="18400.400000000001"/>
    <n v="720"/>
    <n v="73000"/>
    <x v="1"/>
    <x v="0"/>
    <n v="0"/>
    <s v="Active"/>
    <n v="0.25206027397260278"/>
    <n v="0"/>
    <x v="0"/>
    <x v="4"/>
    <x v="1"/>
  </r>
  <r>
    <s v="Kenji Sato"/>
    <s v="kenji_sato33"/>
    <x v="6"/>
    <x v="1"/>
    <s v="Tokyo"/>
    <n v="53"/>
    <s v="Male"/>
    <s v="kenji.sato33@edu.jp"/>
    <s v="+81-90-7890-1234"/>
    <d v="2024-11-28T00:00:00"/>
    <d v="2024-01-13T00:00:00"/>
    <n v="4950.8"/>
    <n v="14800.25"/>
    <n v="605"/>
    <n v="49000"/>
    <x v="2"/>
    <x v="1"/>
    <n v="0"/>
    <s v="Active"/>
    <n v="0.30204591836734695"/>
    <n v="2"/>
    <x v="3"/>
    <x v="2"/>
    <x v="1"/>
  </r>
  <r>
    <s v="Fatoumata Bello"/>
    <s v="fatou_b32"/>
    <x v="3"/>
    <x v="19"/>
    <s v="Dakar"/>
    <n v="67"/>
    <s v="Female"/>
    <s v="fatoumata.bello32@email.sn"/>
    <s v="+221-09-345-6789"/>
    <d v="2023-10-22T00:00:00"/>
    <d v="2024-01-11T00:00:00"/>
    <n v="96400.4"/>
    <n v="58600.75"/>
    <n v="710"/>
    <n v="147000"/>
    <x v="0"/>
    <x v="0"/>
    <n v="0"/>
    <s v="Active"/>
    <n v="0.39864455782312924"/>
    <n v="4"/>
    <x v="0"/>
    <x v="4"/>
    <x v="2"/>
  </r>
  <r>
    <s v="David Wilson"/>
    <s v="david_w32"/>
    <x v="2"/>
    <x v="3"/>
    <s v="London"/>
    <n v="81"/>
    <s v="Male"/>
    <s v="david.wilson32@company.co.uk"/>
    <s v="+44-79-6789-0123"/>
    <d v="2020-09-22T00:00:00"/>
    <d v="2024-01-09T00:00:00"/>
    <n v="182000.6"/>
    <n v="113000.25"/>
    <n v="675"/>
    <n v="216000"/>
    <x v="2"/>
    <x v="0"/>
    <n v="0"/>
    <s v="Active"/>
    <n v="0.52314930555555561"/>
    <n v="6"/>
    <x v="0"/>
    <x v="4"/>
    <x v="3"/>
  </r>
  <r>
    <s v="Lina Park"/>
    <s v="lina_park32"/>
    <x v="4"/>
    <x v="17"/>
    <s v="Busan"/>
    <n v="66"/>
    <s v="Female"/>
    <s v="lina.park32@email.kr"/>
    <s v="+82-10-5678-9012"/>
    <d v="2023-03-22T00:00:00"/>
    <d v="2024-01-10T00:00:00"/>
    <n v="72800.75"/>
    <n v="49700.800000000003"/>
    <n v="725"/>
    <n v="113000"/>
    <x v="0"/>
    <x v="0"/>
    <n v="0"/>
    <s v="Active"/>
    <n v="0.43983008849557526"/>
    <n v="5"/>
    <x v="0"/>
    <x v="4"/>
    <x v="0"/>
  </r>
  <r>
    <s v="Ahmed Al-Mansoori"/>
    <s v="ahmed_alm32"/>
    <x v="5"/>
    <x v="8"/>
    <s v="Abu Dhabi"/>
    <n v="64"/>
    <s v="Male"/>
    <s v="ahmed.almansoori32@email.ae"/>
    <s v="+971-50-789-0123"/>
    <d v="2024-06-22T00:00:00"/>
    <d v="2024-01-12T00:00:00"/>
    <n v="50800.4"/>
    <n v="19600.900000000001"/>
    <n v="740"/>
    <n v="99000"/>
    <x v="1"/>
    <x v="0"/>
    <n v="0"/>
    <s v="Active"/>
    <n v="0.19798888888888891"/>
    <n v="3"/>
    <x v="0"/>
    <x v="4"/>
    <x v="0"/>
  </r>
  <r>
    <s v="Maria Costa"/>
    <s v="maria_costa32"/>
    <x v="0"/>
    <x v="5"/>
    <s v="Rio de Janeiro"/>
    <n v="87"/>
    <s v="Female"/>
    <s v="maria.costa32@mail.com.br"/>
    <s v="+55-21-99989-0123"/>
    <d v="2019-06-22T00:00:00"/>
    <d v="2024-01-08T00:00:00"/>
    <n v="270900.90000000002"/>
    <n v="103000.6"/>
    <n v="830"/>
    <n v="311000"/>
    <x v="1"/>
    <x v="0"/>
    <n v="0"/>
    <s v="Active"/>
    <n v="0.33119163987138267"/>
    <n v="7"/>
    <x v="1"/>
    <x v="4"/>
    <x v="3"/>
  </r>
  <r>
    <s v="Chinedu Nwankwo"/>
    <s v="chinedu_n32"/>
    <x v="2"/>
    <x v="6"/>
    <s v="Abuja"/>
    <n v="79"/>
    <s v="Male"/>
    <s v="chinedu.nwankwo32@company.ng"/>
    <s v="+234-846-789-0123"/>
    <d v="2021-02-12T00:00:00"/>
    <d v="2024-01-09T00:00:00"/>
    <n v="159800.25"/>
    <n v="105000.4"/>
    <n v="655"/>
    <n v="201000"/>
    <x v="2"/>
    <x v="0"/>
    <n v="0"/>
    <s v="Active"/>
    <n v="0.5223900497512437"/>
    <n v="6"/>
    <x v="3"/>
    <x v="4"/>
    <x v="3"/>
  </r>
  <r>
    <s v="Isabelle Moreau"/>
    <s v="isabelle_m32"/>
    <x v="3"/>
    <x v="9"/>
    <s v="Vancouver"/>
    <n v="68"/>
    <s v="Female"/>
    <s v="isabelle.moreau32@email.ca"/>
    <s v="+1-604-555-0198"/>
    <d v="2023-07-22T00:00:00"/>
    <d v="2024-01-11T00:00:00"/>
    <n v="115300.6"/>
    <n v="66600.75"/>
    <n v="760"/>
    <n v="170000"/>
    <x v="0"/>
    <x v="0"/>
    <n v="0"/>
    <s v="Active"/>
    <n v="0.39176911764705885"/>
    <n v="4"/>
    <x v="2"/>
    <x v="4"/>
    <x v="2"/>
  </r>
  <r>
    <s v="Rahman Ali"/>
    <s v="rahman_ali33"/>
    <x v="1"/>
    <x v="36"/>
    <s v="Jakarta"/>
    <n v="59"/>
    <s v="Male"/>
    <s v="rahman.ali33@mail.id"/>
    <s v="+62-843-4567-8901"/>
    <d v="2024-11-28T00:00:00"/>
    <d v="2024-01-15T00:00:00"/>
    <n v="23900.25"/>
    <n v="14200.8"/>
    <n v="695"/>
    <n v="70000"/>
    <x v="0"/>
    <x v="1"/>
    <n v="0"/>
    <s v="Active"/>
    <n v="0.20286857142857143"/>
    <n v="0"/>
    <x v="0"/>
    <x v="4"/>
    <x v="1"/>
  </r>
  <r>
    <s v="Sarah Johnson"/>
    <s v="sarah_j32"/>
    <x v="5"/>
    <x v="0"/>
    <s v="Chicago"/>
    <n v="62"/>
    <s v="Female"/>
    <s v="sarah.johnson32@email.com"/>
    <s v="+1-773-555-0198"/>
    <d v="2024-04-22T00:00:00"/>
    <d v="2024-01-12T00:00:00"/>
    <n v="49700.9"/>
    <n v="19200.25"/>
    <n v="755"/>
    <n v="92000"/>
    <x v="1"/>
    <x v="0"/>
    <n v="0"/>
    <s v="Active"/>
    <n v="0.2086983695652174"/>
    <n v="3"/>
    <x v="2"/>
    <x v="4"/>
    <x v="0"/>
  </r>
  <r>
    <s v="Wei Zhang"/>
    <s v="wei_zhang32"/>
    <x v="2"/>
    <x v="4"/>
    <s v="Beijing"/>
    <n v="80"/>
    <s v="Male"/>
    <s v="wei.zhang32@company.cn"/>
    <s v="+86-138-8901-2345"/>
    <d v="2020-11-22T00:00:00"/>
    <d v="2024-01-09T00:00:00"/>
    <n v="192700.4"/>
    <n v="118000.75"/>
    <n v="685"/>
    <n v="226000"/>
    <x v="2"/>
    <x v="0"/>
    <n v="0"/>
    <s v="Active"/>
    <n v="0.52212721238938054"/>
    <n v="6"/>
    <x v="0"/>
    <x v="4"/>
    <x v="3"/>
  </r>
  <r>
    <s v="Anna Kowalski"/>
    <s v="anna_k33"/>
    <x v="4"/>
    <x v="37"/>
    <s v="Warsaw"/>
    <n v="71"/>
    <s v="Female"/>
    <s v="anna.kowalski33@email.pl"/>
    <s v="+48-731-345-678"/>
    <d v="2022-08-22T00:00:00"/>
    <d v="2024-01-10T00:00:00"/>
    <n v="79700.800000000003"/>
    <n v="52800.6"/>
    <n v="715"/>
    <n v="125000"/>
    <x v="0"/>
    <x v="0"/>
    <n v="0"/>
    <s v="Active"/>
    <n v="0.42240479999999997"/>
    <n v="5"/>
    <x v="0"/>
    <x v="4"/>
    <x v="0"/>
  </r>
  <r>
    <s v="Mohammed Rahman"/>
    <s v="m_rahman33"/>
    <x v="3"/>
    <x v="29"/>
    <s v="Chittagong"/>
    <n v="74"/>
    <s v="Male"/>
    <s v="mohammed.rahman33@email.bd"/>
    <s v="+880-1812-567890"/>
    <d v="2022-05-22T00:00:00"/>
    <d v="2024-01-11T00:00:00"/>
    <n v="107500.25"/>
    <n v="62800.4"/>
    <n v="680"/>
    <n v="154000"/>
    <x v="0"/>
    <x v="0"/>
    <n v="0"/>
    <s v="Active"/>
    <n v="0.40779480519480521"/>
    <n v="4"/>
    <x v="0"/>
    <x v="4"/>
    <x v="2"/>
  </r>
  <r>
    <s v="Yumi Tanaka"/>
    <s v="yumi_tanaka32"/>
    <x v="6"/>
    <x v="1"/>
    <s v="Osaka"/>
    <n v="54"/>
    <s v="Female"/>
    <s v="yumi.tanaka32@edu.jp"/>
    <s v="+81-90-8901-2345"/>
    <d v="2024-12-05T00:00:00"/>
    <d v="2024-01-13T00:00:00"/>
    <n v="5050.3999999999996"/>
    <n v="15400.75"/>
    <n v="610"/>
    <n v="50000"/>
    <x v="2"/>
    <x v="1"/>
    <n v="0"/>
    <s v="Active"/>
    <n v="0.30801499999999998"/>
    <n v="2"/>
    <x v="3"/>
    <x v="2"/>
    <x v="1"/>
  </r>
  <r>
    <s v="Carlos Mendez"/>
    <s v="carlos_m32"/>
    <x v="0"/>
    <x v="13"/>
    <s v="Mexico City"/>
    <n v="86"/>
    <s v="Male"/>
    <s v="carlos.mendez32@mail.mx"/>
    <s v="+52-55-5678-0123"/>
    <d v="2020-01-22T00:00:00"/>
    <d v="2024-01-08T00:00:00"/>
    <n v="290700.79999999999"/>
    <n v="109000.25"/>
    <n v="825"/>
    <n v="306000"/>
    <x v="1"/>
    <x v="0"/>
    <n v="0"/>
    <s v="Active"/>
    <n v="0.35620996732026144"/>
    <n v="7"/>
    <x v="1"/>
    <x v="4"/>
    <x v="3"/>
  </r>
  <r>
    <s v="Aisha Mohammed"/>
    <s v="aisha_m33"/>
    <x v="5"/>
    <x v="16"/>
    <s v="Mombasa"/>
    <n v="61"/>
    <s v="Female"/>
    <s v="aisha.mohammed33@email.ke"/>
    <s v="+254-755-678-901"/>
    <d v="2024-10-22T00:00:00"/>
    <d v="2024-01-14T00:00:00"/>
    <n v="46400.75"/>
    <n v="17600.400000000001"/>
    <n v="725"/>
    <n v="82000"/>
    <x v="1"/>
    <x v="0"/>
    <n v="0"/>
    <s v="Active"/>
    <n v="0.21463902439024393"/>
    <n v="1"/>
    <x v="0"/>
    <x v="4"/>
    <x v="0"/>
  </r>
  <r>
    <s v="David Chen"/>
    <s v="david_chen33"/>
    <x v="2"/>
    <x v="23"/>
    <s v="Singapore"/>
    <n v="78"/>
    <s v="Male"/>
    <s v="david.chen33@company.sg"/>
    <s v="+65-1490-1234"/>
    <d v="2021-05-12T00:00:00"/>
    <d v="2024-01-09T00:00:00"/>
    <n v="170900.6"/>
    <n v="109000.9"/>
    <n v="675"/>
    <n v="206000"/>
    <x v="2"/>
    <x v="0"/>
    <n v="0"/>
    <s v="Active"/>
    <n v="0.52913058252427181"/>
    <n v="6"/>
    <x v="0"/>
    <x v="4"/>
    <x v="3"/>
  </r>
  <r>
    <s v="Maria Papadopoulos"/>
    <s v="maria_p33"/>
    <x v="4"/>
    <x v="38"/>
    <s v="Athens"/>
    <n v="69"/>
    <s v="Female"/>
    <s v="maria.papadopoulos33@email.gr"/>
    <s v="+30-723-456-7890"/>
    <d v="2023-06-22T00:00:00"/>
    <d v="2024-01-11T00:00:00"/>
    <n v="73900.399999999994"/>
    <n v="48600.25"/>
    <n v="705"/>
    <n v="114000"/>
    <x v="0"/>
    <x v="0"/>
    <n v="0"/>
    <s v="Active"/>
    <n v="0.42631798245614033"/>
    <n v="4"/>
    <x v="0"/>
    <x v="4"/>
    <x v="0"/>
  </r>
  <r>
    <s v="James Wilson"/>
    <s v="j_wilson33"/>
    <x v="3"/>
    <x v="26"/>
    <s v="Melbourne"/>
    <n v="72"/>
    <s v="Male"/>
    <s v="james.wilson33@email.au"/>
    <s v="+61-455-678-901"/>
    <d v="2022-01-22T00:00:00"/>
    <d v="2024-01-10T00:00:00"/>
    <n v="119100.75"/>
    <n v="69700.800000000003"/>
    <n v="730"/>
    <n v="180000"/>
    <x v="0"/>
    <x v="0"/>
    <n v="0"/>
    <s v="Active"/>
    <n v="0.38722666666666666"/>
    <n v="5"/>
    <x v="0"/>
    <x v="4"/>
    <x v="2"/>
  </r>
  <r>
    <s v="Fatima Zahra"/>
    <s v="f_zahra33"/>
    <x v="1"/>
    <x v="25"/>
    <s v="Karachi"/>
    <n v="57"/>
    <s v="Female"/>
    <s v="fatima.zahra33@mail.pk"/>
    <s v="+92-353-6543210"/>
    <d v="2024-11-28T00:00:00"/>
    <d v="2024-01-15T00:00:00"/>
    <n v="20200.900000000001"/>
    <n v="11500.75"/>
    <n v="685"/>
    <n v="67000"/>
    <x v="0"/>
    <x v="1"/>
    <n v="0"/>
    <s v="Active"/>
    <n v="0.17165298507462687"/>
    <n v="0"/>
    <x v="0"/>
    <x v="4"/>
    <x v="1"/>
  </r>
  <r>
    <s v="Kenji Yamada"/>
    <s v="kenji_y33"/>
    <x v="0"/>
    <x v="1"/>
    <s v="Tokyo"/>
    <n v="89"/>
    <s v="Male"/>
    <s v="kenji.yamada33@mail.jp"/>
    <s v="+81-80-3456-7890"/>
    <d v="2019-04-22T00:00:00"/>
    <d v="2024-01-08T00:00:00"/>
    <n v="301600.25"/>
    <n v="113000.4"/>
    <n v="840"/>
    <n v="321000"/>
    <x v="1"/>
    <x v="0"/>
    <n v="0"/>
    <s v="Active"/>
    <n v="0.35202616822429905"/>
    <n v="7"/>
    <x v="1"/>
    <x v="4"/>
    <x v="3"/>
  </r>
  <r>
    <s v="Ngozi Eze"/>
    <s v="ngozi_e33"/>
    <x v="2"/>
    <x v="6"/>
    <s v="Lagos"/>
    <n v="81"/>
    <s v="Female"/>
    <s v="ngozi.eze33@company.ng"/>
    <s v="+234-845-678-9012"/>
    <d v="2020-09-22T00:00:00"/>
    <d v="2024-01-09T00:00:00"/>
    <n v="182000.4"/>
    <n v="113000.75"/>
    <n v="650"/>
    <n v="216000"/>
    <x v="2"/>
    <x v="0"/>
    <n v="0"/>
    <s v="Active"/>
    <n v="0.52315162037037033"/>
    <n v="6"/>
    <x v="3"/>
    <x v="4"/>
    <x v="3"/>
  </r>
  <r>
    <s v="Thomas Schmidt"/>
    <s v="thomas_s33"/>
    <x v="3"/>
    <x v="7"/>
    <s v="Hamburg"/>
    <n v="68"/>
    <s v="Male"/>
    <s v="thomas.schmidt33@email.de"/>
    <s v="+49-207-8901234"/>
    <d v="2024-01-22T00:00:00"/>
    <d v="2024-01-12T00:00:00"/>
    <n v="107900.4"/>
    <n v="63900.25"/>
    <n v="745"/>
    <n v="160000"/>
    <x v="0"/>
    <x v="0"/>
    <n v="0"/>
    <s v="Active"/>
    <n v="0.39937656249999998"/>
    <n v="3"/>
    <x v="0"/>
    <x v="4"/>
    <x v="2"/>
  </r>
  <r>
    <s v="Lina Chen"/>
    <s v="lina_c33"/>
    <x v="5"/>
    <x v="4"/>
    <s v="Beijing"/>
    <n v="63"/>
    <s v="Female"/>
    <s v="lina.chen33@mail.cn"/>
    <s v="+86-137-8901-2345"/>
    <d v="2024-07-22T00:00:00"/>
    <d v="2024-01-11T00:00:00"/>
    <n v="48600.800000000003"/>
    <n v="18800.900000000001"/>
    <n v="765"/>
    <n v="92000"/>
    <x v="1"/>
    <x v="0"/>
    <n v="0"/>
    <s v="Active"/>
    <n v="0.2043576086956522"/>
    <n v="4"/>
    <x v="2"/>
    <x v="4"/>
    <x v="0"/>
  </r>
  <r>
    <s v="Ahmed Hassan"/>
    <s v="ahmed_h33"/>
    <x v="4"/>
    <x v="20"/>
    <s v="Cairo"/>
    <n v="76"/>
    <s v="Male"/>
    <s v="ahmed.hassan33@email.eg"/>
    <s v="+20-122-765-4321"/>
    <d v="2022-07-22T00:00:00"/>
    <d v="2024-01-10T00:00:00"/>
    <n v="81900.75"/>
    <n v="55000.4"/>
    <n v="675"/>
    <n v="132000"/>
    <x v="0"/>
    <x v="0"/>
    <n v="0"/>
    <s v="Active"/>
    <n v="0.41666969696969697"/>
    <n v="5"/>
    <x v="0"/>
    <x v="4"/>
    <x v="2"/>
  </r>
  <r>
    <s v="Sophie Martin"/>
    <s v="sophie_m33"/>
    <x v="6"/>
    <x v="10"/>
    <s v="Lyon"/>
    <n v="55"/>
    <s v="Female"/>
    <s v="sophie.martin33@edu.fr"/>
    <s v="+33-6-5678-9012"/>
    <d v="2024-12-12T00:00:00"/>
    <d v="2024-01-13T00:00:00"/>
    <n v="5300.25"/>
    <n v="16600.599999999999"/>
    <n v="615"/>
    <n v="52000"/>
    <x v="2"/>
    <x v="1"/>
    <n v="0"/>
    <s v="Active"/>
    <n v="0.31924230769230766"/>
    <n v="2"/>
    <x v="3"/>
    <x v="4"/>
    <x v="1"/>
  </r>
  <r>
    <s v="Raj Kumar"/>
    <s v="raj_kumar33"/>
    <x v="2"/>
    <x v="2"/>
    <s v="Delhi"/>
    <n v="83"/>
    <s v="Male"/>
    <s v="raj.kumar33@company.in"/>
    <s v="+91-987-654-3210"/>
    <d v="2020-08-22T00:00:00"/>
    <d v="2024-01-08T00:00:00"/>
    <n v="216600.8"/>
    <n v="126000.25"/>
    <n v="660"/>
    <n v="251000"/>
    <x v="2"/>
    <x v="0"/>
    <n v="0"/>
    <s v="Active"/>
    <n v="0.50199302788844624"/>
    <n v="7"/>
    <x v="3"/>
    <x v="4"/>
    <x v="3"/>
  </r>
  <r>
    <s v="Maria Gonzalez"/>
    <s v="maria_g34"/>
    <x v="3"/>
    <x v="13"/>
    <s v="Mexico City"/>
    <n v="70"/>
    <s v="Female"/>
    <s v="maria.gonzalez34@email.mx"/>
    <s v="+52-55-6789-0123"/>
    <d v="2022-12-22T00:00:00"/>
    <d v="2024-01-11T00:00:00"/>
    <n v="103000.9"/>
    <n v="60800.75"/>
    <n v="730"/>
    <n v="155000"/>
    <x v="0"/>
    <x v="0"/>
    <n v="0"/>
    <s v="Active"/>
    <n v="0.39226290322580643"/>
    <n v="4"/>
    <x v="0"/>
    <x v="4"/>
    <x v="2"/>
  </r>
  <r>
    <s v="Yuki Kobayashi"/>
    <s v="yuki_k33"/>
    <x v="1"/>
    <x v="1"/>
    <s v="Osaka"/>
    <n v="59"/>
    <s v="Female"/>
    <s v="yuki.kobayashi33@mail.jp"/>
    <s v="+81-90-8901-2345"/>
    <d v="2024-12-08T00:00:00"/>
    <d v="2024-01-14T00:00:00"/>
    <n v="21300.400000000001"/>
    <n v="11600.25"/>
    <n v="705"/>
    <n v="69000"/>
    <x v="0"/>
    <x v="1"/>
    <n v="0"/>
    <s v="Active"/>
    <n v="0.1681195652173913"/>
    <n v="1"/>
    <x v="0"/>
    <x v="4"/>
    <x v="1"/>
  </r>
  <r>
    <s v="Kwame Asante"/>
    <s v="kwame_a33"/>
    <x v="5"/>
    <x v="15"/>
    <s v="Accra"/>
    <n v="64"/>
    <s v="Male"/>
    <s v="kwame.asante33@email.gh"/>
    <s v="+233-86-789-0123"/>
    <d v="2024-06-22T00:00:00"/>
    <d v="2024-01-12T00:00:00"/>
    <n v="47500.6"/>
    <n v="18200.8"/>
    <n v="710"/>
    <n v="85000"/>
    <x v="1"/>
    <x v="0"/>
    <n v="0"/>
    <s v="Active"/>
    <n v="0.21412705882352939"/>
    <n v="3"/>
    <x v="0"/>
    <x v="4"/>
    <x v="0"/>
  </r>
  <r>
    <s v="Anna Petrova"/>
    <s v="anna_p33"/>
    <x v="4"/>
    <x v="12"/>
    <s v="Moscow"/>
    <n v="71"/>
    <s v="Female"/>
    <s v="anna.petrova33@email.ru"/>
    <s v="+7-921-543-21-09"/>
    <d v="2022-07-22T00:00:00"/>
    <d v="2024-01-10T00:00:00"/>
    <n v="78800.25"/>
    <n v="51900.9"/>
    <n v="695"/>
    <n v="120000"/>
    <x v="0"/>
    <x v="0"/>
    <n v="0"/>
    <s v="Active"/>
    <n v="0.43250749999999999"/>
    <n v="5"/>
    <x v="0"/>
    <x v="4"/>
    <x v="0"/>
  </r>
  <r>
    <s v="Liam O'Brien"/>
    <s v="liam_obrien33"/>
    <x v="2"/>
    <x v="11"/>
    <s v="Dublin"/>
    <n v="79"/>
    <s v="Male"/>
    <s v="liam.obrien33@company.ie"/>
    <s v="+353-18-678-9012"/>
    <d v="2021-01-22T00:00:00"/>
    <d v="2024-01-09T00:00:00"/>
    <n v="148800.4"/>
    <n v="100000.6"/>
    <n v="670"/>
    <n v="187000"/>
    <x v="2"/>
    <x v="0"/>
    <n v="0"/>
    <s v="Active"/>
    <n v="0.53476256684491985"/>
    <n v="6"/>
    <x v="0"/>
    <x v="4"/>
    <x v="2"/>
  </r>
  <r>
    <s v="Ying Wang"/>
    <s v="ying_w33"/>
    <x v="0"/>
    <x v="4"/>
    <s v="Shanghai"/>
    <n v="87"/>
    <s v="Female"/>
    <s v="ying.wang33@mail.cn"/>
    <s v="+86-139-5678-9012"/>
    <d v="2019-11-22T00:00:00"/>
    <d v="2024-01-08T00:00:00"/>
    <n v="315700.75"/>
    <n v="117000.8"/>
    <n v="835"/>
    <n v="332000"/>
    <x v="1"/>
    <x v="0"/>
    <n v="0"/>
    <s v="Active"/>
    <n v="0.35241204819277111"/>
    <n v="7"/>
    <x v="1"/>
    <x v="4"/>
    <x v="3"/>
  </r>
  <r>
    <s v="Adeola Yusuf"/>
    <s v="adeola_y33"/>
    <x v="4"/>
    <x v="6"/>
    <s v="Abuja"/>
    <n v="74"/>
    <s v="Female"/>
    <s v="adeola.yusuf33@email.ng"/>
    <s v="+234-846-789-0123"/>
    <d v="2022-06-22T00:00:00"/>
    <d v="2024-01-11T00:00:00"/>
    <n v="87500.6"/>
    <n v="57500.25"/>
    <n v="665"/>
    <n v="140000"/>
    <x v="0"/>
    <x v="0"/>
    <n v="0"/>
    <s v="Active"/>
    <n v="0.41071607142857142"/>
    <n v="4"/>
    <x v="3"/>
    <x v="4"/>
    <x v="2"/>
  </r>
  <r>
    <s v="Marco Bianchi"/>
    <s v="marco_b33"/>
    <x v="3"/>
    <x v="18"/>
    <s v="Rome"/>
    <n v="66"/>
    <s v="Male"/>
    <s v="marco.bianchi33@email.it"/>
    <s v="+39-380-456-7890"/>
    <d v="2024-03-22T00:00:00"/>
    <d v="2024-01-12T00:00:00"/>
    <n v="110800.8"/>
    <n v="65000.4"/>
    <n v="750"/>
    <n v="166000"/>
    <x v="0"/>
    <x v="0"/>
    <n v="0"/>
    <s v="Active"/>
    <n v="0.39156867469879519"/>
    <n v="3"/>
    <x v="2"/>
    <x v="4"/>
    <x v="2"/>
  </r>
  <r>
    <s v="Jennifer Kim"/>
    <s v="jennifer_k33"/>
    <x v="5"/>
    <x v="0"/>
    <s v="Seattle"/>
    <n v="62"/>
    <s v="Female"/>
    <s v="jennifer.kim33@email.com"/>
    <s v="+1-206-555-0198"/>
    <d v="2024-09-22T00:00:00"/>
    <d v="2024-01-14T00:00:00"/>
    <n v="49700.9"/>
    <n v="19200.75"/>
    <n v="770"/>
    <n v="97000"/>
    <x v="1"/>
    <x v="0"/>
    <n v="0"/>
    <s v="Active"/>
    <n v="0.19794587628865978"/>
    <n v="1"/>
    <x v="2"/>
    <x v="4"/>
    <x v="0"/>
  </r>
  <r>
    <s v="Rahman Hussain"/>
    <s v="rahman_h33"/>
    <x v="2"/>
    <x v="25"/>
    <s v="Lahore"/>
    <n v="85"/>
    <s v="Male"/>
    <s v="rahman.hussain33@company.pk"/>
    <s v="+92-332-6543210"/>
    <d v="2020-05-22T00:00:00"/>
    <d v="2024-01-08T00:00:00"/>
    <n v="201900.25"/>
    <n v="121000.8"/>
    <n v="645"/>
    <n v="237000"/>
    <x v="2"/>
    <x v="0"/>
    <n v="0"/>
    <s v="Active"/>
    <n v="0.51055189873417728"/>
    <n v="7"/>
    <x v="3"/>
    <x v="4"/>
    <x v="3"/>
  </r>
  <r>
    <s v="Sofia Martinez"/>
    <s v="sofia_m33"/>
    <x v="1"/>
    <x v="14"/>
    <s v="Madrid"/>
    <n v="58"/>
    <s v="Female"/>
    <s v="sofia.martinez33@mail.es"/>
    <s v="+34-655-678-901"/>
    <d v="2024-12-12T00:00:00"/>
    <d v="2024-01-15T00:00:00"/>
    <n v="42200.5"/>
    <n v="18800.400000000001"/>
    <n v="720"/>
    <n v="74000"/>
    <x v="1"/>
    <x v="0"/>
    <n v="0"/>
    <s v="Active"/>
    <n v="0.25405945945945946"/>
    <n v="0"/>
    <x v="0"/>
    <x v="4"/>
    <x v="1"/>
  </r>
  <r>
    <s v="Kenji Sato"/>
    <s v="kenji_sato34"/>
    <x v="6"/>
    <x v="1"/>
    <s v="Tokyo"/>
    <n v="54"/>
    <s v="Male"/>
    <s v="kenji.sato34@edu.jp"/>
    <s v="+81-90-8901-2345"/>
    <d v="2024-12-15T00:00:00"/>
    <d v="2024-01-13T00:00:00"/>
    <n v="5050.8"/>
    <n v="15000.25"/>
    <n v="605"/>
    <n v="50000"/>
    <x v="2"/>
    <x v="1"/>
    <n v="0"/>
    <s v="Active"/>
    <n v="0.30000500000000002"/>
    <n v="2"/>
    <x v="3"/>
    <x v="2"/>
    <x v="1"/>
  </r>
  <r>
    <s v="Fatoumata Bello"/>
    <s v="fatou_b33"/>
    <x v="3"/>
    <x v="19"/>
    <s v="Dakar"/>
    <n v="68"/>
    <s v="Female"/>
    <s v="fatoumata.bello33@email.sn"/>
    <s v="+221-10-456-7890"/>
    <d v="2023-11-22T00:00:00"/>
    <d v="2024-01-11T00:00:00"/>
    <n v="97500.4"/>
    <n v="59700.75"/>
    <n v="710"/>
    <n v="148000"/>
    <x v="0"/>
    <x v="0"/>
    <n v="0"/>
    <s v="Active"/>
    <n v="0.40338344594594594"/>
    <n v="4"/>
    <x v="0"/>
    <x v="4"/>
    <x v="2"/>
  </r>
  <r>
    <s v="David Wilson"/>
    <s v="david_w33"/>
    <x v="2"/>
    <x v="3"/>
    <s v="London"/>
    <n v="82"/>
    <s v="Male"/>
    <s v="david.wilson33@company.co.uk"/>
    <s v="+44-79-7890-1234"/>
    <d v="2020-10-22T00:00:00"/>
    <d v="2024-01-09T00:00:00"/>
    <n v="182100.6"/>
    <n v="114000.25"/>
    <n v="675"/>
    <n v="217000"/>
    <x v="2"/>
    <x v="0"/>
    <n v="0"/>
    <s v="Active"/>
    <n v="0.52534677419354836"/>
    <n v="6"/>
    <x v="0"/>
    <x v="4"/>
    <x v="3"/>
  </r>
  <r>
    <s v="Lina Park"/>
    <s v="lina_park33"/>
    <x v="4"/>
    <x v="17"/>
    <s v="Seoul"/>
    <n v="67"/>
    <s v="Female"/>
    <s v="lina.park33@email.kr"/>
    <s v="+82-10-6789-0123"/>
    <d v="2023-04-22T00:00:00"/>
    <d v="2024-01-10T00:00:00"/>
    <n v="73900.75"/>
    <n v="50800.800000000003"/>
    <n v="725"/>
    <n v="114000"/>
    <x v="0"/>
    <x v="0"/>
    <n v="0"/>
    <s v="Active"/>
    <n v="0.44562105263157897"/>
    <n v="5"/>
    <x v="0"/>
    <x v="4"/>
    <x v="0"/>
  </r>
  <r>
    <s v="Ahmed Al-Mansoori"/>
    <s v="ahmed_alm33"/>
    <x v="5"/>
    <x v="8"/>
    <s v="Dubai"/>
    <n v="65"/>
    <s v="Male"/>
    <s v="ahmed.almansoori33@email.ae"/>
    <s v="+971-50-890-1234"/>
    <d v="2024-07-22T00:00:00"/>
    <d v="2024-01-12T00:00:00"/>
    <n v="51900.4"/>
    <n v="20000.900000000001"/>
    <n v="740"/>
    <n v="100000"/>
    <x v="1"/>
    <x v="0"/>
    <n v="0"/>
    <s v="Active"/>
    <n v="0.20000900000000002"/>
    <n v="3"/>
    <x v="0"/>
    <x v="4"/>
    <x v="0"/>
  </r>
  <r>
    <s v="Maria Costa"/>
    <s v="maria_costa33"/>
    <x v="0"/>
    <x v="5"/>
    <s v="São Paulo"/>
    <n v="88"/>
    <s v="Female"/>
    <s v="maria.costa33@mail.com.br"/>
    <s v="+55-11-99990-1234"/>
    <d v="2019-07-22T00:00:00"/>
    <d v="2024-01-08T00:00:00"/>
    <n v="271000.90000000002"/>
    <n v="104000.6"/>
    <n v="830"/>
    <n v="312000"/>
    <x v="1"/>
    <x v="0"/>
    <n v="0"/>
    <s v="Active"/>
    <n v="0.33333525641025641"/>
    <n v="7"/>
    <x v="1"/>
    <x v="4"/>
    <x v="3"/>
  </r>
  <r>
    <s v="Chinedu Nwankwo"/>
    <s v="chinedu_n33"/>
    <x v="2"/>
    <x v="6"/>
    <s v="Port Harcourt"/>
    <n v="80"/>
    <s v="Male"/>
    <s v="chinedu.nwankwo33@company.ng"/>
    <s v="+234-847-890-1234"/>
    <d v="2021-03-12T00:00:00"/>
    <d v="2024-01-09T00:00:00"/>
    <n v="159900.25"/>
    <n v="106000.4"/>
    <n v="655"/>
    <n v="202000"/>
    <x v="2"/>
    <x v="0"/>
    <n v="0"/>
    <s v="Active"/>
    <n v="0.52475445544554455"/>
    <n v="6"/>
    <x v="3"/>
    <x v="4"/>
    <x v="3"/>
  </r>
  <r>
    <s v="Isabelle Moreau"/>
    <s v="isabelle_m33"/>
    <x v="3"/>
    <x v="9"/>
    <s v="Toronto"/>
    <n v="69"/>
    <s v="Female"/>
    <s v="isabelle.moreau33@email.ca"/>
    <s v="+1-647-555-0194"/>
    <d v="2023-08-22T00:00:00"/>
    <d v="2024-01-11T00:00:00"/>
    <n v="116400.6"/>
    <n v="67700.75"/>
    <n v="760"/>
    <n v="171000"/>
    <x v="0"/>
    <x v="0"/>
    <n v="0"/>
    <s v="Active"/>
    <n v="0.3959108187134503"/>
    <n v="4"/>
    <x v="2"/>
    <x v="4"/>
    <x v="2"/>
  </r>
  <r>
    <s v="Rahman Ali"/>
    <s v="rahman_ali34"/>
    <x v="1"/>
    <x v="36"/>
    <s v="Surabaya"/>
    <n v="60"/>
    <s v="Male"/>
    <s v="rahman.ali34@mail.id"/>
    <s v="+62-844-5678-9012"/>
    <d v="2024-12-08T00:00:00"/>
    <d v="2024-01-15T00:00:00"/>
    <n v="24400.25"/>
    <n v="14500.8"/>
    <n v="695"/>
    <n v="71000"/>
    <x v="0"/>
    <x v="1"/>
    <n v="0"/>
    <s v="Active"/>
    <n v="0.20423661971830984"/>
    <n v="0"/>
    <x v="0"/>
    <x v="4"/>
    <x v="1"/>
  </r>
  <r>
    <s v="Sarah Johnson"/>
    <s v="sarah_j33"/>
    <x v="5"/>
    <x v="0"/>
    <s v="New York"/>
    <n v="63"/>
    <s v="Female"/>
    <s v="sarah.johnson33@email.com"/>
    <s v="+1-646-555-0194"/>
    <d v="2024-05-22T00:00:00"/>
    <d v="2024-01-12T00:00:00"/>
    <n v="50800.9"/>
    <n v="19600.25"/>
    <n v="755"/>
    <n v="93000"/>
    <x v="1"/>
    <x v="0"/>
    <n v="0"/>
    <s v="Active"/>
    <n v="0.21075537634408603"/>
    <n v="3"/>
    <x v="2"/>
    <x v="4"/>
    <x v="0"/>
  </r>
  <r>
    <s v="Wei Zhang"/>
    <s v="wei_zhang33"/>
    <x v="2"/>
    <x v="4"/>
    <s v="Beijing"/>
    <n v="81"/>
    <s v="Male"/>
    <s v="wei.zhang33@company.cn"/>
    <s v="+86-138-9012-3456"/>
    <d v="2020-12-22T00:00:00"/>
    <d v="2024-01-09T00:00:00"/>
    <n v="192800.4"/>
    <n v="119000.75"/>
    <n v="685"/>
    <n v="227000"/>
    <x v="2"/>
    <x v="0"/>
    <n v="0"/>
    <s v="Active"/>
    <n v="0.52423237885462559"/>
    <n v="6"/>
    <x v="0"/>
    <x v="4"/>
    <x v="3"/>
  </r>
  <r>
    <s v="Anna Kowalski"/>
    <s v="anna_k34"/>
    <x v="4"/>
    <x v="37"/>
    <s v="Warsaw"/>
    <n v="72"/>
    <s v="Female"/>
    <s v="anna.kowalski34@email.pl"/>
    <s v="+48-732-456-789"/>
    <d v="2022-09-22T00:00:00"/>
    <d v="2024-01-10T00:00:00"/>
    <n v="80800.800000000003"/>
    <n v="53900.6"/>
    <n v="715"/>
    <n v="126000"/>
    <x v="0"/>
    <x v="0"/>
    <n v="0"/>
    <s v="Active"/>
    <n v="0.42778253968253965"/>
    <n v="5"/>
    <x v="0"/>
    <x v="4"/>
    <x v="0"/>
  </r>
  <r>
    <s v="Mohammed Rahman"/>
    <s v="m_rahman34"/>
    <x v="3"/>
    <x v="29"/>
    <s v="Chittagong"/>
    <n v="75"/>
    <s v="Male"/>
    <s v="mohammed.rahman34@email.bd"/>
    <s v="+880-1812-678901"/>
    <d v="2022-06-22T00:00:00"/>
    <d v="2024-01-11T00:00:00"/>
    <n v="108600.25"/>
    <n v="63900.4"/>
    <n v="680"/>
    <n v="155000"/>
    <x v="0"/>
    <x v="0"/>
    <n v="0"/>
    <s v="Active"/>
    <n v="0.41226064516129035"/>
    <n v="4"/>
    <x v="0"/>
    <x v="4"/>
    <x v="2"/>
  </r>
  <r>
    <s v="Yumi Tanaka"/>
    <s v="yumi_tanaka33"/>
    <x v="6"/>
    <x v="1"/>
    <s v="Osaka"/>
    <n v="55"/>
    <s v="Female"/>
    <s v="yumi.tanaka33@edu.jp"/>
    <s v="+81-90-9012-3456"/>
    <d v="2024-12-22T00:00:00"/>
    <d v="2024-01-13T00:00:00"/>
    <n v="5150.3999999999996"/>
    <n v="15600.75"/>
    <n v="610"/>
    <n v="51000"/>
    <x v="2"/>
    <x v="1"/>
    <n v="0"/>
    <s v="Active"/>
    <n v="0.30589705882352941"/>
    <n v="2"/>
    <x v="3"/>
    <x v="4"/>
    <x v="1"/>
  </r>
  <r>
    <s v="Carlos Mendez"/>
    <s v="carlos_m33"/>
    <x v="0"/>
    <x v="13"/>
    <s v="Mexico City"/>
    <n v="87"/>
    <s v="Male"/>
    <s v="carlos.mendez33@mail.mx"/>
    <s v="+52-55-6789-0123"/>
    <d v="2020-02-22T00:00:00"/>
    <d v="2024-01-08T00:00:00"/>
    <n v="290800.8"/>
    <n v="110000.25"/>
    <n v="825"/>
    <n v="307000"/>
    <x v="1"/>
    <x v="0"/>
    <n v="0"/>
    <s v="Active"/>
    <n v="0.358307003257329"/>
    <n v="7"/>
    <x v="1"/>
    <x v="4"/>
    <x v="3"/>
  </r>
  <r>
    <s v="Aisha Mohammed"/>
    <s v="aisha_m34"/>
    <x v="5"/>
    <x v="16"/>
    <s v="Nairobi"/>
    <n v="62"/>
    <s v="Female"/>
    <s v="aisha.mohammed34@email.ke"/>
    <s v="+254-756-789-012"/>
    <d v="2024-11-22T00:00:00"/>
    <d v="2024-01-14T00:00:00"/>
    <n v="47500.75"/>
    <n v="18000.400000000001"/>
    <n v="725"/>
    <n v="83000"/>
    <x v="1"/>
    <x v="0"/>
    <n v="0"/>
    <s v="Active"/>
    <n v="0.21687228915662651"/>
    <n v="1"/>
    <x v="0"/>
    <x v="4"/>
    <x v="0"/>
  </r>
  <r>
    <s v="David Chen"/>
    <s v="david_chen34"/>
    <x v="2"/>
    <x v="23"/>
    <s v="Singapore"/>
    <n v="79"/>
    <s v="Male"/>
    <s v="david.chen34@company.sg"/>
    <s v="+65-1590-1234"/>
    <d v="2021-06-12T00:00:00"/>
    <d v="2024-01-09T00:00:00"/>
    <n v="171000.6"/>
    <n v="110000.9"/>
    <n v="675"/>
    <n v="207000"/>
    <x v="2"/>
    <x v="0"/>
    <n v="0"/>
    <s v="Active"/>
    <n v="0.53140531400966184"/>
    <n v="6"/>
    <x v="0"/>
    <x v="4"/>
    <x v="3"/>
  </r>
  <r>
    <s v="Maria Papadopoulos"/>
    <s v="maria_p34"/>
    <x v="4"/>
    <x v="38"/>
    <s v="Athens"/>
    <n v="70"/>
    <s v="Female"/>
    <s v="maria.papadopoulos34@email.gr"/>
    <s v="+30-724-567-8901"/>
    <d v="2023-07-22T00:00:00"/>
    <d v="2024-01-11T00:00:00"/>
    <n v="75000.399999999994"/>
    <n v="49700.25"/>
    <n v="705"/>
    <n v="115000"/>
    <x v="0"/>
    <x v="0"/>
    <n v="0"/>
    <s v="Active"/>
    <n v="0.43217608695652177"/>
    <n v="4"/>
    <x v="0"/>
    <x v="4"/>
    <x v="0"/>
  </r>
  <r>
    <s v="James Wilson"/>
    <s v="j_wilson34"/>
    <x v="3"/>
    <x v="26"/>
    <s v="Sydney"/>
    <n v="73"/>
    <s v="Male"/>
    <s v="james.wilson34@email.au"/>
    <s v="+61-456-789-012"/>
    <d v="2022-02-22T00:00:00"/>
    <d v="2024-01-10T00:00:00"/>
    <n v="120100.75"/>
    <n v="70800.800000000003"/>
    <n v="730"/>
    <n v="181000"/>
    <x v="0"/>
    <x v="0"/>
    <n v="0"/>
    <s v="Active"/>
    <n v="0.3911646408839779"/>
    <n v="5"/>
    <x v="0"/>
    <x v="4"/>
    <x v="2"/>
  </r>
  <r>
    <s v="Fatima Zahra"/>
    <s v="f_zahra34"/>
    <x v="1"/>
    <x v="25"/>
    <s v="Islamabad"/>
    <n v="58"/>
    <s v="Female"/>
    <s v="fatima.zahra34@mail.pk"/>
    <s v="+92-354-5432109"/>
    <d v="2024-12-15T00:00:00"/>
    <d v="2024-01-15T00:00:00"/>
    <n v="20600.900000000001"/>
    <n v="11700.75"/>
    <n v="685"/>
    <n v="68000"/>
    <x v="0"/>
    <x v="1"/>
    <n v="0"/>
    <s v="Active"/>
    <n v="0.17206985294117647"/>
    <n v="0"/>
    <x v="0"/>
    <x v="4"/>
    <x v="1"/>
  </r>
  <r>
    <s v="Kenji Yamada"/>
    <s v="kenji_y34"/>
    <x v="0"/>
    <x v="1"/>
    <s v="Tokyo"/>
    <n v="90"/>
    <s v="Male"/>
    <s v="kenji.yamada34@mail.jp"/>
    <s v="+81-80-4567-8901"/>
    <d v="2019-05-22T00:00:00"/>
    <d v="2024-01-08T00:00:00"/>
    <n v="301700.25"/>
    <n v="114000.4"/>
    <n v="840"/>
    <n v="322000"/>
    <x v="1"/>
    <x v="0"/>
    <n v="0"/>
    <s v="Active"/>
    <n v="0.35403850931677017"/>
    <n v="7"/>
    <x v="1"/>
    <x v="4"/>
    <x v="3"/>
  </r>
  <r>
    <s v="Ngozi Eze"/>
    <s v="ngozi_e34"/>
    <x v="2"/>
    <x v="6"/>
    <s v="Lagos"/>
    <n v="82"/>
    <s v="Female"/>
    <s v="ngozi.eze34@company.ng"/>
    <s v="+234-846-789-0123"/>
    <d v="2020-10-22T00:00:00"/>
    <d v="2024-01-09T00:00:00"/>
    <n v="182100.4"/>
    <n v="114000.75"/>
    <n v="650"/>
    <n v="217000"/>
    <x v="2"/>
    <x v="0"/>
    <n v="0"/>
    <s v="Active"/>
    <n v="0.52534907834101385"/>
    <n v="6"/>
    <x v="3"/>
    <x v="4"/>
    <x v="3"/>
  </r>
  <r>
    <s v="Thomas Schmidt"/>
    <s v="thomas_s34"/>
    <x v="3"/>
    <x v="7"/>
    <s v="Munich"/>
    <n v="69"/>
    <s v="Male"/>
    <s v="thomas.schmidt34@email.de"/>
    <s v="+49-208-9012345"/>
    <d v="2024-02-22T00:00:00"/>
    <d v="2024-01-12T00:00:00"/>
    <n v="108900.4"/>
    <n v="65000.25"/>
    <n v="745"/>
    <n v="161000"/>
    <x v="0"/>
    <x v="0"/>
    <n v="0"/>
    <s v="Active"/>
    <n v="0.4037282608695652"/>
    <n v="3"/>
    <x v="0"/>
    <x v="4"/>
    <x v="2"/>
  </r>
  <r>
    <s v="Lina Chen"/>
    <s v="lina_c34"/>
    <x v="5"/>
    <x v="4"/>
    <s v="Beijing"/>
    <n v="64"/>
    <s v="Female"/>
    <s v="lina.chen34@mail.cn"/>
    <s v="+86-137-9012-3456"/>
    <d v="2024-08-22T00:00:00"/>
    <d v="2024-01-11T00:00:00"/>
    <n v="49700.800000000003"/>
    <n v="19200.900000000001"/>
    <n v="765"/>
    <n v="93000"/>
    <x v="1"/>
    <x v="0"/>
    <n v="0"/>
    <s v="Active"/>
    <n v="0.20646129032258065"/>
    <n v="4"/>
    <x v="2"/>
    <x v="4"/>
    <x v="0"/>
  </r>
  <r>
    <s v="Ahmed Hassan"/>
    <s v="ahmed_h34"/>
    <x v="4"/>
    <x v="20"/>
    <s v="Cairo"/>
    <n v="77"/>
    <s v="Male"/>
    <s v="ahmed.hassan34@email.eg"/>
    <s v="+20-122-654-3210"/>
    <d v="2022-08-22T00:00:00"/>
    <d v="2024-01-10T00:00:00"/>
    <n v="83000.75"/>
    <n v="56100.4"/>
    <n v="675"/>
    <n v="133000"/>
    <x v="0"/>
    <x v="0"/>
    <n v="0"/>
    <s v="Active"/>
    <n v="0.42180751879699246"/>
    <n v="5"/>
    <x v="0"/>
    <x v="4"/>
    <x v="2"/>
  </r>
  <r>
    <s v="Sophie Martin"/>
    <s v="sophie_m34"/>
    <x v="6"/>
    <x v="10"/>
    <s v="Paris"/>
    <n v="56"/>
    <s v="Female"/>
    <s v="sophie.martin34@edu.fr"/>
    <s v="+33-6-6789-0123"/>
    <d v="2024-12-28T00:00:00"/>
    <d v="2024-01-13T00:00:00"/>
    <n v="5400.25"/>
    <n v="16800.599999999999"/>
    <n v="615"/>
    <n v="53000"/>
    <x v="2"/>
    <x v="1"/>
    <n v="0"/>
    <s v="Active"/>
    <n v="0.31699245283018868"/>
    <n v="2"/>
    <x v="3"/>
    <x v="4"/>
    <x v="1"/>
  </r>
  <r>
    <s v="Raj Kumar"/>
    <s v="raj_kumar34"/>
    <x v="2"/>
    <x v="2"/>
    <s v="Delhi"/>
    <n v="84"/>
    <s v="Male"/>
    <s v="raj.kumar34@company.in"/>
    <s v="+91-987-654-3210"/>
    <d v="2020-09-22T00:00:00"/>
    <d v="2024-01-08T00:00:00"/>
    <n v="216700.79999999999"/>
    <n v="127000.25"/>
    <n v="660"/>
    <n v="252000"/>
    <x v="2"/>
    <x v="0"/>
    <n v="0"/>
    <s v="Active"/>
    <n v="0.50396924603174598"/>
    <n v="7"/>
    <x v="3"/>
    <x v="4"/>
    <x v="3"/>
  </r>
  <r>
    <s v="Maria Gonzalez"/>
    <s v="maria_g35"/>
    <x v="3"/>
    <x v="13"/>
    <s v="Monterrey"/>
    <n v="71"/>
    <s v="Female"/>
    <s v="maria.gonzalez35@email.mx"/>
    <s v="+52-81-7890-0123"/>
    <d v="2023-01-22T00:00:00"/>
    <d v="2024-01-11T00:00:00"/>
    <n v="104100.9"/>
    <n v="61900.75"/>
    <n v="730"/>
    <n v="156000"/>
    <x v="0"/>
    <x v="0"/>
    <n v="0"/>
    <s v="Active"/>
    <n v="0.39679967948717948"/>
    <n v="4"/>
    <x v="0"/>
    <x v="4"/>
    <x v="2"/>
  </r>
  <r>
    <s v="Yuki Kobayashi"/>
    <s v="yuki_k34"/>
    <x v="1"/>
    <x v="1"/>
    <s v="Osaka"/>
    <n v="60"/>
    <s v="Female"/>
    <s v="yuki.kobayashi34@mail.jp"/>
    <s v="+81-90-9012-3456"/>
    <d v="2024-12-22T00:00:00"/>
    <d v="2024-01-14T00:00:00"/>
    <n v="21700.400000000001"/>
    <n v="11800.25"/>
    <n v="705"/>
    <n v="70000"/>
    <x v="0"/>
    <x v="1"/>
    <n v="0"/>
    <s v="Active"/>
    <n v="0.168575"/>
    <n v="1"/>
    <x v="0"/>
    <x v="4"/>
    <x v="1"/>
  </r>
  <r>
    <s v="Kwame Asante"/>
    <s v="kwame_a34"/>
    <x v="5"/>
    <x v="15"/>
    <s v="Accra"/>
    <n v="65"/>
    <s v="Male"/>
    <s v="kwame.asante34@email.gh"/>
    <s v="+233-87-890-1234"/>
    <d v="2024-07-22T00:00:00"/>
    <d v="2024-01-12T00:00:00"/>
    <n v="48600.6"/>
    <n v="18600.8"/>
    <n v="710"/>
    <n v="86000"/>
    <x v="1"/>
    <x v="0"/>
    <n v="0"/>
    <s v="Active"/>
    <n v="0.21628837209302323"/>
    <n v="3"/>
    <x v="0"/>
    <x v="4"/>
    <x v="0"/>
  </r>
  <r>
    <s v="Anna Petrova"/>
    <s v="anna_p34"/>
    <x v="4"/>
    <x v="12"/>
    <s v="St. Petersburg"/>
    <n v="72"/>
    <s v="Female"/>
    <s v="anna.petrova34@email.ru"/>
    <s v="+7-921-432-10-98"/>
    <d v="2022-08-22T00:00:00"/>
    <d v="2024-01-10T00:00:00"/>
    <n v="79900.25"/>
    <n v="53000.9"/>
    <n v="695"/>
    <n v="121000"/>
    <x v="0"/>
    <x v="0"/>
    <n v="0"/>
    <s v="Active"/>
    <n v="0.43802396694214879"/>
    <n v="5"/>
    <x v="0"/>
    <x v="4"/>
    <x v="0"/>
  </r>
  <r>
    <s v="Liam O'Brien"/>
    <s v="liam_obrien34"/>
    <x v="2"/>
    <x v="11"/>
    <s v="Dublin"/>
    <n v="80"/>
    <s v="Male"/>
    <s v="liam.obrien34@company.ie"/>
    <s v="+353-19-789-0123"/>
    <d v="2021-02-22T00:00:00"/>
    <d v="2024-01-09T00:00:00"/>
    <n v="148900.4"/>
    <n v="101000.6"/>
    <n v="670"/>
    <n v="188000"/>
    <x v="2"/>
    <x v="0"/>
    <n v="0"/>
    <s v="Active"/>
    <n v="0.53723723404255319"/>
    <n v="6"/>
    <x v="0"/>
    <x v="4"/>
    <x v="2"/>
  </r>
  <r>
    <s v="Ying Wang"/>
    <s v="ying_w34"/>
    <x v="0"/>
    <x v="4"/>
    <s v="Shanghai"/>
    <n v="88"/>
    <s v="Female"/>
    <s v="ying.wang34@mail.cn"/>
    <s v="+86-139-6789-0123"/>
    <d v="2019-12-22T00:00:00"/>
    <d v="2024-01-08T00:00:00"/>
    <n v="315800.75"/>
    <n v="118000.8"/>
    <n v="835"/>
    <n v="333000"/>
    <x v="1"/>
    <x v="0"/>
    <n v="0"/>
    <s v="Active"/>
    <n v="0.35435675675675676"/>
    <n v="7"/>
    <x v="1"/>
    <x v="4"/>
    <x v="3"/>
  </r>
  <r>
    <s v="Adeola Yusuf"/>
    <s v="adeola_y34"/>
    <x v="4"/>
    <x v="6"/>
    <s v="Lagos"/>
    <n v="75"/>
    <s v="Female"/>
    <s v="adeola.yusuf34@email.ng"/>
    <s v="+234-847-890-1234"/>
    <d v="2022-07-22T00:00:00"/>
    <d v="2024-01-11T00:00:00"/>
    <n v="88600.6"/>
    <n v="58600.25"/>
    <n v="665"/>
    <n v="141000"/>
    <x v="0"/>
    <x v="0"/>
    <n v="0"/>
    <s v="Active"/>
    <n v="0.41560460992907799"/>
    <n v="4"/>
    <x v="3"/>
    <x v="4"/>
    <x v="2"/>
  </r>
  <r>
    <s v="Marco Bianchi"/>
    <s v="marco_b34"/>
    <x v="3"/>
    <x v="18"/>
    <s v="Rome"/>
    <n v="67"/>
    <s v="Male"/>
    <s v="marco.bianchi34@email.it"/>
    <s v="+39-381-567-8901"/>
    <d v="2024-04-22T00:00:00"/>
    <d v="2024-01-12T00:00:00"/>
    <n v="111900.8"/>
    <n v="66100.399999999994"/>
    <n v="750"/>
    <n v="167000"/>
    <x v="0"/>
    <x v="0"/>
    <n v="0"/>
    <s v="Active"/>
    <n v="0.39581077844311374"/>
    <n v="3"/>
    <x v="2"/>
    <x v="4"/>
    <x v="2"/>
  </r>
  <r>
    <s v="Jennifer Kim"/>
    <s v="jennifer_k34"/>
    <x v="5"/>
    <x v="0"/>
    <s v="Los Angeles"/>
    <n v="63"/>
    <s v="Female"/>
    <s v="jennifer.kim34@email.com"/>
    <s v="+1-310-555-0198"/>
    <d v="2024-10-22T00:00:00"/>
    <d v="2024-01-14T00:00:00"/>
    <n v="50800.9"/>
    <n v="19600.75"/>
    <n v="770"/>
    <n v="98000"/>
    <x v="1"/>
    <x v="0"/>
    <n v="0"/>
    <s v="Active"/>
    <n v="0.20000765306122448"/>
    <n v="1"/>
    <x v="2"/>
    <x v="4"/>
    <x v="0"/>
  </r>
  <r>
    <s v="Rahman Hussain"/>
    <s v="rahman_h34"/>
    <x v="2"/>
    <x v="25"/>
    <s v="Karachi"/>
    <n v="86"/>
    <s v="Male"/>
    <s v="rahman.hussain34@company.pk"/>
    <s v="+92-333-5432109"/>
    <d v="2020-06-22T00:00:00"/>
    <d v="2024-01-08T00:00:00"/>
    <n v="202000.25"/>
    <n v="122000.8"/>
    <n v="645"/>
    <n v="238000"/>
    <x v="2"/>
    <x v="0"/>
    <n v="0"/>
    <s v="Active"/>
    <n v="0.5126084033613445"/>
    <n v="7"/>
    <x v="3"/>
    <x v="4"/>
    <x v="3"/>
  </r>
  <r>
    <s v="Sofia Martinez"/>
    <s v="sofia_m34"/>
    <x v="1"/>
    <x v="14"/>
    <s v="Valencia"/>
    <n v="59"/>
    <s v="Female"/>
    <s v="sofia.martinez34@mail.es"/>
    <s v="+34-656-789-012"/>
    <d v="2024-12-28T00:00:00"/>
    <d v="2024-01-15T00:00:00"/>
    <n v="43200.5"/>
    <n v="19200.400000000001"/>
    <n v="720"/>
    <n v="75000"/>
    <x v="1"/>
    <x v="0"/>
    <n v="0"/>
    <s v="Active"/>
    <n v="0.25600533333333336"/>
    <n v="0"/>
    <x v="0"/>
    <x v="4"/>
    <x v="0"/>
  </r>
  <r>
    <s v="Kenji Sato"/>
    <s v="kenji_sato35"/>
    <x v="6"/>
    <x v="1"/>
    <s v="Tokyo"/>
    <n v="55"/>
    <s v="Male"/>
    <s v="kenji.sato35@edu.jp"/>
    <s v="+81-90-9012-3456"/>
    <d v="2024-12-28T00:00:00"/>
    <d v="2024-01-13T00:00:00"/>
    <n v="5150.8"/>
    <n v="15200.25"/>
    <n v="605"/>
    <n v="51000"/>
    <x v="2"/>
    <x v="1"/>
    <n v="0"/>
    <s v="Active"/>
    <n v="0.29804411764705885"/>
    <n v="2"/>
    <x v="3"/>
    <x v="4"/>
    <x v="1"/>
  </r>
  <r>
    <s v="Fatoumata Bello"/>
    <s v="fatou_b34"/>
    <x v="3"/>
    <x v="19"/>
    <s v="Dakar"/>
    <n v="69"/>
    <s v="Female"/>
    <s v="fatoumata.bello34@email.sn"/>
    <s v="+221-11-567-8901"/>
    <d v="2023-12-22T00:00:00"/>
    <d v="2024-01-11T00:00:00"/>
    <n v="98600.4"/>
    <n v="60800.75"/>
    <n v="710"/>
    <n v="149000"/>
    <x v="0"/>
    <x v="0"/>
    <n v="0"/>
    <s v="Active"/>
    <n v="0.40805872483221478"/>
    <n v="4"/>
    <x v="0"/>
    <x v="4"/>
    <x v="2"/>
  </r>
  <r>
    <s v="David Wilson"/>
    <s v="david_w34"/>
    <x v="2"/>
    <x v="3"/>
    <s v="Manchester"/>
    <n v="83"/>
    <s v="Male"/>
    <s v="david.wilson34@company.co.uk"/>
    <s v="+44-79-8901-2345"/>
    <d v="2020-11-22T00:00:00"/>
    <d v="2024-01-09T00:00:00"/>
    <n v="182200.6"/>
    <n v="115000.25"/>
    <n v="675"/>
    <n v="218000"/>
    <x v="2"/>
    <x v="0"/>
    <n v="0"/>
    <s v="Active"/>
    <n v="0.52752408256880734"/>
    <n v="6"/>
    <x v="0"/>
    <x v="4"/>
    <x v="3"/>
  </r>
  <r>
    <s v="Lina Park"/>
    <s v="lina_park34"/>
    <x v="4"/>
    <x v="17"/>
    <s v="Seoul"/>
    <n v="68"/>
    <s v="Female"/>
    <s v="lina.park34@email.kr"/>
    <s v="+82-10-7890-1234"/>
    <d v="2023-05-22T00:00:00"/>
    <d v="2024-01-10T00:00:00"/>
    <n v="75000.75"/>
    <n v="51900.800000000003"/>
    <n v="725"/>
    <n v="115000"/>
    <x v="0"/>
    <x v="0"/>
    <n v="0"/>
    <s v="Active"/>
    <n v="0.45131130434782613"/>
    <n v="5"/>
    <x v="0"/>
    <x v="4"/>
    <x v="0"/>
  </r>
  <r>
    <s v="Ahmed Al-Mansoori"/>
    <s v="ahmed_alm34"/>
    <x v="5"/>
    <x v="8"/>
    <s v="Dubai"/>
    <n v="66"/>
    <s v="Male"/>
    <s v="ahmed.almansoori34@email.ae"/>
    <s v="+971-50-901-2345"/>
    <d v="2024-08-22T00:00:00"/>
    <d v="2024-01-12T00:00:00"/>
    <n v="53000.4"/>
    <n v="20400.900000000001"/>
    <n v="740"/>
    <n v="101000"/>
    <x v="1"/>
    <x v="0"/>
    <n v="0"/>
    <s v="Active"/>
    <n v="0.20198910891089111"/>
    <n v="3"/>
    <x v="0"/>
    <x v="4"/>
    <x v="0"/>
  </r>
  <r>
    <s v="Maria Costa"/>
    <s v="maria_costa34"/>
    <x v="0"/>
    <x v="5"/>
    <s v="São Paulo"/>
    <n v="89"/>
    <s v="Female"/>
    <s v="maria.costa34@mail.com.br"/>
    <s v="+55-11-99901-2345"/>
    <d v="2019-08-22T00:00:00"/>
    <d v="2024-01-08T00:00:00"/>
    <n v="271100.90000000002"/>
    <n v="105000.6"/>
    <n v="830"/>
    <n v="313000"/>
    <x v="1"/>
    <x v="0"/>
    <n v="0"/>
    <s v="Active"/>
    <n v="0.33546517571884987"/>
    <n v="7"/>
    <x v="1"/>
    <x v="4"/>
    <x v="3"/>
  </r>
  <r>
    <s v="Chinedu Nwankwo"/>
    <s v="chinedu_n34"/>
    <x v="2"/>
    <x v="6"/>
    <s v="Abuja"/>
    <n v="81"/>
    <s v="Male"/>
    <s v="chinedu.nwankwo34@company.ng"/>
    <s v="+234-848-901-2345"/>
    <d v="2021-04-12T00:00:00"/>
    <d v="2024-01-09T00:00:00"/>
    <n v="160000.25"/>
    <n v="107000.4"/>
    <n v="655"/>
    <n v="203000"/>
    <x v="2"/>
    <x v="0"/>
    <n v="0"/>
    <s v="Active"/>
    <n v="0.52709556650246303"/>
    <n v="6"/>
    <x v="3"/>
    <x v="4"/>
    <x v="3"/>
  </r>
  <r>
    <s v="Isabelle Moreau"/>
    <s v="isabelle_m34"/>
    <x v="3"/>
    <x v="9"/>
    <s v="Montreal"/>
    <n v="70"/>
    <s v="Female"/>
    <s v="isabelle.moreau34@email.ca"/>
    <s v="+1-514-555-0198"/>
    <d v="2023-09-22T00:00:00"/>
    <d v="2024-01-11T00:00:00"/>
    <n v="117500.6"/>
    <n v="68800.75"/>
    <n v="760"/>
    <n v="172000"/>
    <x v="0"/>
    <x v="0"/>
    <n v="0"/>
    <s v="Active"/>
    <n v="0.40000436046511628"/>
    <n v="4"/>
    <x v="2"/>
    <x v="4"/>
    <x v="2"/>
  </r>
  <r>
    <s v="Rahman Ali"/>
    <s v="rahman_ali35"/>
    <x v="1"/>
    <x v="36"/>
    <s v="Jakarta"/>
    <n v="61"/>
    <s v="Male"/>
    <s v="rahman.ali35@mail.id"/>
    <s v="+62-845-6789-0123"/>
    <d v="2024-12-28T00:00:00"/>
    <d v="2024-01-15T00:00:00"/>
    <n v="24900.25"/>
    <n v="14800.8"/>
    <n v="695"/>
    <n v="72000"/>
    <x v="0"/>
    <x v="1"/>
    <n v="0"/>
    <s v="Active"/>
    <n v="0.20556666666666665"/>
    <n v="0"/>
    <x v="0"/>
    <x v="4"/>
    <x v="1"/>
  </r>
  <r>
    <s v="Sarah Johnson"/>
    <s v="sarah_j34"/>
    <x v="5"/>
    <x v="0"/>
    <s v="Chicago"/>
    <n v="64"/>
    <s v="Female"/>
    <s v="sarah.johnson34@email.com"/>
    <s v="+1-773-555-0194"/>
    <d v="2024-06-22T00:00:00"/>
    <d v="2024-01-12T00:00:00"/>
    <n v="51900.9"/>
    <n v="20000.25"/>
    <n v="755"/>
    <n v="94000"/>
    <x v="1"/>
    <x v="0"/>
    <n v="0"/>
    <s v="Active"/>
    <n v="0.21276861702127658"/>
    <n v="3"/>
    <x v="2"/>
    <x v="4"/>
    <x v="0"/>
  </r>
  <r>
    <s v="Wei Zhang"/>
    <s v="wei_zhang34"/>
    <x v="2"/>
    <x v="4"/>
    <s v="Beijing"/>
    <n v="82"/>
    <s v="Male"/>
    <s v="wei.zhang34@company.cn"/>
    <s v="+86-138-0123-4567"/>
    <d v="2021-01-22T00:00:00"/>
    <d v="2024-01-09T00:00:00"/>
    <n v="192900.4"/>
    <n v="120000.75"/>
    <n v="685"/>
    <n v="228000"/>
    <x v="2"/>
    <x v="0"/>
    <n v="0"/>
    <s v="Active"/>
    <n v="0.5263190789473684"/>
    <n v="6"/>
    <x v="0"/>
    <x v="4"/>
    <x v="3"/>
  </r>
  <r>
    <s v="Anna Kowalski"/>
    <s v="anna_k35"/>
    <x v="4"/>
    <x v="37"/>
    <s v="Warsaw"/>
    <n v="73"/>
    <s v="Female"/>
    <s v="anna.kowalski35@email.pl"/>
    <s v="+48-733-567-890"/>
    <d v="2022-10-22T00:00:00"/>
    <d v="2024-01-10T00:00:00"/>
    <n v="81900.800000000003"/>
    <n v="55000.6"/>
    <n v="715"/>
    <n v="127000"/>
    <x v="0"/>
    <x v="0"/>
    <n v="0"/>
    <s v="Active"/>
    <n v="0.43307559055118111"/>
    <n v="5"/>
    <x v="0"/>
    <x v="4"/>
    <x v="2"/>
  </r>
  <r>
    <s v="Mohammed Rahman"/>
    <s v="m_rahman35"/>
    <x v="3"/>
    <x v="29"/>
    <s v="Dhaka"/>
    <n v="76"/>
    <s v="Male"/>
    <s v="mohammed.rahman35@email.bd"/>
    <s v="+880-1812-789012"/>
    <d v="2022-07-22T00:00:00"/>
    <d v="2024-01-11T00:00:00"/>
    <n v="109700.25"/>
    <n v="65000.4"/>
    <n v="680"/>
    <n v="156000"/>
    <x v="0"/>
    <x v="0"/>
    <n v="0"/>
    <s v="Active"/>
    <n v="0.41666923076923079"/>
    <n v="4"/>
    <x v="0"/>
    <x v="4"/>
    <x v="2"/>
  </r>
  <r>
    <s v="Yumi Tanaka"/>
    <s v="yumi_tanaka34"/>
    <x v="6"/>
    <x v="1"/>
    <s v="Osaka"/>
    <n v="56"/>
    <s v="Female"/>
    <s v="yumi.tanaka34@edu.jp"/>
    <s v="+81-90-0123-4567"/>
    <d v="2025-01-05T00:00:00"/>
    <d v="2024-01-13T00:00:00"/>
    <n v="5250.4"/>
    <n v="15800.75"/>
    <n v="610"/>
    <n v="52000"/>
    <x v="2"/>
    <x v="1"/>
    <n v="0"/>
    <s v="Active"/>
    <n v="0.30386057692307694"/>
    <n v="2"/>
    <x v="3"/>
    <x v="4"/>
    <x v="1"/>
  </r>
  <r>
    <s v="Carlos Mendez"/>
    <s v="carlos_m34"/>
    <x v="0"/>
    <x v="13"/>
    <s v="Mexico City"/>
    <n v="88"/>
    <s v="Male"/>
    <s v="carlos.mendez34@mail.mx"/>
    <s v="+52-55-7890-0123"/>
    <d v="2020-03-22T00:00:00"/>
    <d v="2024-01-08T00:00:00"/>
    <n v="290900.8"/>
    <n v="111000.25"/>
    <n v="825"/>
    <n v="308000"/>
    <x v="1"/>
    <x v="0"/>
    <n v="0"/>
    <s v="Active"/>
    <n v="0.3603904220779221"/>
    <n v="7"/>
    <x v="1"/>
    <x v="4"/>
    <x v="3"/>
  </r>
  <r>
    <s v="Aisha Mohammed"/>
    <s v="aisha_m35"/>
    <x v="5"/>
    <x v="16"/>
    <s v="Nairobi"/>
    <n v="63"/>
    <s v="Female"/>
    <s v="aisha.mohammed35@email.ke"/>
    <s v="+254-757-890-123"/>
    <d v="2024-12-22T00:00:00"/>
    <d v="2024-01-14T00:00:00"/>
    <n v="48600.75"/>
    <n v="18400.400000000001"/>
    <n v="725"/>
    <n v="84000"/>
    <x v="1"/>
    <x v="0"/>
    <n v="0"/>
    <s v="Active"/>
    <n v="0.21905238095238097"/>
    <n v="1"/>
    <x v="0"/>
    <x v="4"/>
    <x v="0"/>
  </r>
  <r>
    <s v="David Chen"/>
    <s v="david_chen35"/>
    <x v="2"/>
    <x v="23"/>
    <s v="Singapore"/>
    <n v="80"/>
    <s v="Male"/>
    <s v="david.chen35@company.sg"/>
    <s v="+65-1690-1234"/>
    <d v="2021-07-12T00:00:00"/>
    <d v="2024-01-09T00:00:00"/>
    <n v="171100.6"/>
    <n v="111000.9"/>
    <n v="675"/>
    <n v="208000"/>
    <x v="2"/>
    <x v="0"/>
    <n v="0"/>
    <s v="Active"/>
    <n v="0.53365817307692309"/>
    <n v="6"/>
    <x v="0"/>
    <x v="4"/>
    <x v="3"/>
  </r>
  <r>
    <s v="Maria Papadopoulos"/>
    <s v="maria_p35"/>
    <x v="4"/>
    <x v="38"/>
    <s v="Athens"/>
    <n v="71"/>
    <s v="Female"/>
    <s v="maria.papadopoulos35@email.gr"/>
    <s v="+30-725-678-9012"/>
    <d v="2023-08-22T00:00:00"/>
    <d v="2024-01-11T00:00:00"/>
    <n v="76100.399999999994"/>
    <n v="50800.25"/>
    <n v="705"/>
    <n v="116000"/>
    <x v="0"/>
    <x v="0"/>
    <n v="0"/>
    <s v="Active"/>
    <n v="0.43793318965517242"/>
    <n v="4"/>
    <x v="0"/>
    <x v="4"/>
    <x v="0"/>
  </r>
  <r>
    <s v="James Wilson"/>
    <s v="j_wilson35"/>
    <x v="3"/>
    <x v="26"/>
    <s v="Sydney"/>
    <n v="74"/>
    <s v="Male"/>
    <s v="james.wilson35@email.au"/>
    <s v="+61-457-890-123"/>
    <d v="2022-03-22T00:00:00"/>
    <d v="2024-01-10T00:00:00"/>
    <n v="121100.75"/>
    <n v="71900.800000000003"/>
    <n v="730"/>
    <n v="182000"/>
    <x v="0"/>
    <x v="0"/>
    <n v="0"/>
    <s v="Active"/>
    <n v="0.39505934065934067"/>
    <n v="5"/>
    <x v="0"/>
    <x v="4"/>
    <x v="2"/>
  </r>
  <r>
    <s v="Fatima Zahra"/>
    <s v="f_zahra35"/>
    <x v="1"/>
    <x v="25"/>
    <s v="Lahore"/>
    <n v="59"/>
    <s v="Female"/>
    <s v="fatima.zahra35@mail.pk"/>
    <s v="+92-355-4321098"/>
    <d v="2024-12-28T00:00:00"/>
    <d v="2024-01-15T00:00:00"/>
    <n v="21000.9"/>
    <n v="11900.75"/>
    <n v="685"/>
    <n v="69000"/>
    <x v="0"/>
    <x v="1"/>
    <n v="0"/>
    <s v="Active"/>
    <n v="0.17247463768115942"/>
    <n v="0"/>
    <x v="0"/>
    <x v="4"/>
    <x v="1"/>
  </r>
  <r>
    <s v="Kenji Yamada"/>
    <s v="kenji_y35"/>
    <x v="0"/>
    <x v="1"/>
    <s v="Tokyo"/>
    <n v="91"/>
    <s v="Male"/>
    <s v="kenji.yamada35@mail.jp"/>
    <s v="+81-80-5678-9012"/>
    <d v="2019-06-22T00:00:00"/>
    <d v="2024-01-08T00:00:00"/>
    <n v="301800.25"/>
    <n v="115000.4"/>
    <n v="840"/>
    <n v="323000"/>
    <x v="1"/>
    <x v="0"/>
    <n v="0"/>
    <s v="Active"/>
    <n v="0.35603839009287924"/>
    <n v="7"/>
    <x v="1"/>
    <x v="4"/>
    <x v="3"/>
  </r>
  <r>
    <s v="Ngozi Eze"/>
    <s v="ngozi_e35"/>
    <x v="2"/>
    <x v="6"/>
    <s v="Lagos"/>
    <n v="83"/>
    <s v="Female"/>
    <s v="ngozi.eze35@company.ng"/>
    <s v="+234-847-890-1234"/>
    <d v="2020-11-22T00:00:00"/>
    <d v="2024-01-09T00:00:00"/>
    <n v="182200.4"/>
    <n v="115000.75"/>
    <n v="650"/>
    <n v="218000"/>
    <x v="2"/>
    <x v="0"/>
    <n v="0"/>
    <s v="Active"/>
    <n v="0.52752637614678899"/>
    <n v="6"/>
    <x v="3"/>
    <x v="4"/>
    <x v="3"/>
  </r>
  <r>
    <s v="Thomas Schmidt"/>
    <s v="thomas_s35"/>
    <x v="3"/>
    <x v="7"/>
    <s v="Berlin"/>
    <n v="70"/>
    <s v="Male"/>
    <s v="thomas.schmidt35@email.de"/>
    <s v="+49-209-0123456"/>
    <d v="2024-03-22T00:00:00"/>
    <d v="2024-01-12T00:00:00"/>
    <n v="109900.4"/>
    <n v="66100.25"/>
    <n v="745"/>
    <n v="162000"/>
    <x v="0"/>
    <x v="0"/>
    <n v="0"/>
    <s v="Active"/>
    <n v="0.40802623456790121"/>
    <n v="3"/>
    <x v="0"/>
    <x v="4"/>
    <x v="2"/>
  </r>
  <r>
    <s v="Lina Chen"/>
    <s v="lina_c35"/>
    <x v="5"/>
    <x v="4"/>
    <s v="Beijing"/>
    <n v="65"/>
    <s v="Female"/>
    <s v="lina.chen35@mail.cn"/>
    <s v="+86-137-0123-4567"/>
    <d v="2024-09-22T00:00:00"/>
    <d v="2024-01-11T00:00:00"/>
    <n v="50800.800000000003"/>
    <n v="19600.900000000001"/>
    <n v="765"/>
    <n v="94000"/>
    <x v="1"/>
    <x v="0"/>
    <n v="0"/>
    <s v="Active"/>
    <n v="0.20852021276595747"/>
    <n v="4"/>
    <x v="2"/>
    <x v="4"/>
    <x v="0"/>
  </r>
  <r>
    <s v="Ahmed Hassan"/>
    <s v="ahmed_h35"/>
    <x v="4"/>
    <x v="20"/>
    <s v="Cairo"/>
    <n v="78"/>
    <s v="Male"/>
    <s v="ahmed.hassan35@email.eg"/>
    <s v="+20-122-543-2109"/>
    <d v="2022-09-22T00:00:00"/>
    <d v="2024-01-10T00:00:00"/>
    <n v="84100.75"/>
    <n v="57200.4"/>
    <n v="675"/>
    <n v="134000"/>
    <x v="0"/>
    <x v="0"/>
    <n v="0"/>
    <s v="Active"/>
    <n v="0.42686865671641794"/>
    <n v="5"/>
    <x v="0"/>
    <x v="4"/>
    <x v="2"/>
  </r>
  <r>
    <s v="Sophie Martin"/>
    <s v="sophie_m35"/>
    <x v="6"/>
    <x v="10"/>
    <s v="Paris"/>
    <n v="57"/>
    <s v="Female"/>
    <s v="sophie.martin35@edu.fr"/>
    <s v="+33-6-7890-1234"/>
    <d v="2025-01-12T00:00:00"/>
    <d v="2024-01-13T00:00:00"/>
    <n v="5500.25"/>
    <n v="17000.599999999999"/>
    <n v="615"/>
    <n v="54000"/>
    <x v="2"/>
    <x v="1"/>
    <n v="0"/>
    <s v="Active"/>
    <n v="0.3148259259259259"/>
    <n v="2"/>
    <x v="3"/>
    <x v="4"/>
    <x v="1"/>
  </r>
  <r>
    <s v="Raj Kumar"/>
    <s v="raj_kumar35"/>
    <x v="2"/>
    <x v="2"/>
    <s v="Delhi"/>
    <n v="85"/>
    <s v="Male"/>
    <s v="raj.kumar35@company.in"/>
    <s v="+91-987-654-3210"/>
    <d v="2020-10-22T00:00:00"/>
    <d v="2024-01-08T00:00:00"/>
    <n v="216800.8"/>
    <n v="128000.25"/>
    <n v="660"/>
    <n v="253000"/>
    <x v="2"/>
    <x v="0"/>
    <n v="0"/>
    <s v="Active"/>
    <n v="0.50592984189723322"/>
    <n v="7"/>
    <x v="3"/>
    <x v="4"/>
    <x v="3"/>
  </r>
  <r>
    <s v="Maria Gonzalez"/>
    <s v="maria_g36"/>
    <x v="3"/>
    <x v="13"/>
    <s v="Guadalajara"/>
    <n v="72"/>
    <s v="Female"/>
    <s v="maria.gonzalez36@email.mx"/>
    <s v="+52-33-8901-0123"/>
    <d v="2023-02-22T00:00:00"/>
    <d v="2024-01-11T00:00:00"/>
    <n v="105200.9"/>
    <n v="63000.75"/>
    <n v="730"/>
    <n v="157000"/>
    <x v="0"/>
    <x v="0"/>
    <n v="0"/>
    <s v="Active"/>
    <n v="0.40127866242038218"/>
    <n v="4"/>
    <x v="0"/>
    <x v="4"/>
    <x v="2"/>
  </r>
  <r>
    <s v="Yuki Kobayashi"/>
    <s v="yuki_k35"/>
    <x v="1"/>
    <x v="1"/>
    <s v="Osaka"/>
    <n v="61"/>
    <s v="Female"/>
    <s v="yuki.kobayashi35@mail.jp"/>
    <s v="+81-90-0123-4567"/>
    <d v="2025-01-08T00:00:00"/>
    <d v="2024-01-14T00:00:00"/>
    <n v="22100.400000000001"/>
    <n v="12000.25"/>
    <n v="705"/>
    <n v="71000"/>
    <x v="0"/>
    <x v="1"/>
    <n v="0"/>
    <s v="Active"/>
    <n v="0.1690176056338028"/>
    <n v="1"/>
    <x v="0"/>
    <x v="4"/>
    <x v="1"/>
  </r>
  <r>
    <s v="Kwame Asante"/>
    <s v="kwame_a35"/>
    <x v="5"/>
    <x v="15"/>
    <s v="Accra"/>
    <n v="66"/>
    <s v="Male"/>
    <s v="kwame.asante35@email.gh"/>
    <s v="+233-88-901-2345"/>
    <d v="2024-08-22T00:00:00"/>
    <d v="2024-01-12T00:00:00"/>
    <n v="49700.6"/>
    <n v="19000.8"/>
    <n v="710"/>
    <n v="87000"/>
    <x v="1"/>
    <x v="0"/>
    <n v="0"/>
    <s v="Active"/>
    <n v="0.21839999999999998"/>
    <n v="3"/>
    <x v="0"/>
    <x v="4"/>
    <x v="0"/>
  </r>
  <r>
    <s v="Anna Petrova"/>
    <s v="anna_p35"/>
    <x v="4"/>
    <x v="12"/>
    <s v="St. Petersburg"/>
    <n v="73"/>
    <s v="Female"/>
    <s v="anna.petrova35@email.ru"/>
    <s v="+7-921-321-09-87"/>
    <d v="2022-09-22T00:00:00"/>
    <d v="2024-01-10T00:00:00"/>
    <n v="81000.25"/>
    <n v="54100.9"/>
    <n v="695"/>
    <n v="122000"/>
    <x v="0"/>
    <x v="0"/>
    <n v="0"/>
    <s v="Active"/>
    <n v="0.44345000000000001"/>
    <n v="5"/>
    <x v="0"/>
    <x v="4"/>
    <x v="0"/>
  </r>
  <r>
    <s v="Liam O'Brien"/>
    <s v="liam_obrien35"/>
    <x v="2"/>
    <x v="11"/>
    <s v="Cork"/>
    <n v="81"/>
    <s v="Male"/>
    <s v="liam.obrien35@company.ie"/>
    <s v="+353-20-890-1234"/>
    <d v="2021-03-22T00:00:00"/>
    <d v="2024-01-09T00:00:00"/>
    <n v="149000.4"/>
    <n v="102000.6"/>
    <n v="670"/>
    <n v="189000"/>
    <x v="2"/>
    <x v="0"/>
    <n v="0"/>
    <s v="Active"/>
    <n v="0.53968571428571432"/>
    <n v="6"/>
    <x v="0"/>
    <x v="4"/>
    <x v="2"/>
  </r>
  <r>
    <s v="Ying Wang"/>
    <s v="ying_w35"/>
    <x v="0"/>
    <x v="4"/>
    <s v="Shanghai"/>
    <n v="89"/>
    <s v="Female"/>
    <s v="ying.wang35@mail.cn"/>
    <s v="+86-139-7890-1234"/>
    <d v="2020-01-22T00:00:00"/>
    <d v="2024-01-08T00:00:00"/>
    <n v="315900.75"/>
    <n v="119000.8"/>
    <n v="835"/>
    <n v="334000"/>
    <x v="1"/>
    <x v="0"/>
    <n v="0"/>
    <s v="Active"/>
    <n v="0.35628982035928147"/>
    <n v="7"/>
    <x v="1"/>
    <x v="4"/>
    <x v="3"/>
  </r>
  <r>
    <s v="Adeola Yusuf"/>
    <s v="adeola_y35"/>
    <x v="4"/>
    <x v="6"/>
    <s v="Port Harcourt"/>
    <n v="76"/>
    <s v="Female"/>
    <s v="adeola.yusuf35@email.ng"/>
    <s v="+234-848-901-2345"/>
    <d v="2022-08-22T00:00:00"/>
    <d v="2024-01-11T00:00:00"/>
    <n v="89700.6"/>
    <n v="59700.25"/>
    <n v="665"/>
    <n v="142000"/>
    <x v="0"/>
    <x v="0"/>
    <n v="0"/>
    <s v="Active"/>
    <n v="0.4204242957746479"/>
    <n v="4"/>
    <x v="3"/>
    <x v="4"/>
    <x v="2"/>
  </r>
  <r>
    <s v="Marco Bianchi"/>
    <s v="marco_b35"/>
    <x v="3"/>
    <x v="18"/>
    <s v="Milan"/>
    <n v="68"/>
    <s v="Male"/>
    <s v="marco.bianchi35@email.it"/>
    <s v="+39-382-678-9012"/>
    <d v="2024-05-22T00:00:00"/>
    <d v="2024-01-12T00:00:00"/>
    <n v="113000.8"/>
    <n v="67200.399999999994"/>
    <n v="750"/>
    <n v="168000"/>
    <x v="0"/>
    <x v="0"/>
    <n v="0"/>
    <s v="Active"/>
    <n v="0.40000238095238094"/>
    <n v="3"/>
    <x v="2"/>
    <x v="4"/>
    <x v="2"/>
  </r>
  <r>
    <s v="Jennifer Kim"/>
    <s v="jennifer_k35"/>
    <x v="5"/>
    <x v="0"/>
    <s v="San Francisco"/>
    <n v="64"/>
    <s v="Female"/>
    <s v="jennifer.kim35@email.com"/>
    <s v="+1-415-555-0194"/>
    <d v="2024-11-22T00:00:00"/>
    <d v="2024-01-14T00:00:00"/>
    <n v="51900.9"/>
    <n v="20000.75"/>
    <n v="770"/>
    <n v="99000"/>
    <x v="1"/>
    <x v="0"/>
    <n v="0"/>
    <s v="Active"/>
    <n v="0.20202777777777778"/>
    <n v="1"/>
    <x v="2"/>
    <x v="4"/>
    <x v="0"/>
  </r>
  <r>
    <s v="Rahman Hussain"/>
    <s v="rahman_h35"/>
    <x v="2"/>
    <x v="25"/>
    <s v="Islamabad"/>
    <n v="87"/>
    <s v="Male"/>
    <s v="rahman.hussain35@company.pk"/>
    <s v="+92-334-4321098"/>
    <d v="2020-07-22T00:00:00"/>
    <d v="2024-01-08T00:00:00"/>
    <n v="202100.25"/>
    <n v="123000.8"/>
    <n v="645"/>
    <n v="239000"/>
    <x v="2"/>
    <x v="0"/>
    <n v="0"/>
    <s v="Active"/>
    <n v="0.5146476987447699"/>
    <n v="7"/>
    <x v="3"/>
    <x v="4"/>
    <x v="3"/>
  </r>
  <r>
    <s v="Sofia Martinez"/>
    <s v="sofia_m35"/>
    <x v="1"/>
    <x v="14"/>
    <s v="Barcelona"/>
    <n v="60"/>
    <s v="Female"/>
    <s v="sofia.martinez35@mail.es"/>
    <s v="+34-657-890-123"/>
    <d v="2025-01-12T00:00:00"/>
    <d v="2024-01-15T00:00:00"/>
    <n v="44200.5"/>
    <n v="19600.400000000001"/>
    <n v="720"/>
    <n v="76000"/>
    <x v="1"/>
    <x v="0"/>
    <n v="0"/>
    <s v="Active"/>
    <n v="0.25790000000000002"/>
    <n v="0"/>
    <x v="0"/>
    <x v="4"/>
    <x v="0"/>
  </r>
  <r>
    <s v="Kenji Sato"/>
    <s v="kenji_sato36"/>
    <x v="6"/>
    <x v="1"/>
    <s v="Tokyo"/>
    <n v="56"/>
    <s v="Male"/>
    <s v="kenji.sato36@edu.jp"/>
    <s v="+81-90-1234-5678"/>
    <d v="2025-01-15T00:00:00"/>
    <d v="2024-01-13T00:00:00"/>
    <n v="5250.8"/>
    <n v="15400.25"/>
    <n v="605"/>
    <n v="52000"/>
    <x v="2"/>
    <x v="1"/>
    <n v="0"/>
    <s v="Active"/>
    <n v="0.29615865384615386"/>
    <n v="2"/>
    <x v="3"/>
    <x v="4"/>
    <x v="1"/>
  </r>
  <r>
    <s v="Fatoumata Bello"/>
    <s v="fatou_b35"/>
    <x v="3"/>
    <x v="19"/>
    <s v="Dakar"/>
    <n v="70"/>
    <s v="Female"/>
    <s v="fatoumata.bello35@email.sn"/>
    <s v="+221-12-678-9012"/>
    <d v="2024-01-22T00:00:00"/>
    <d v="2024-01-11T00:00:00"/>
    <n v="99700.4"/>
    <n v="61900.75"/>
    <n v="710"/>
    <n v="150000"/>
    <x v="0"/>
    <x v="0"/>
    <n v="0"/>
    <s v="Active"/>
    <n v="0.41267166666666666"/>
    <n v="4"/>
    <x v="0"/>
    <x v="4"/>
    <x v="2"/>
  </r>
  <r>
    <s v="David Wilson"/>
    <s v="david_w35"/>
    <x v="2"/>
    <x v="3"/>
    <s v="London"/>
    <n v="84"/>
    <s v="Male"/>
    <s v="david.wilson35@company.co.uk"/>
    <s v="+44-79-9012-3456"/>
    <d v="2020-12-22T00:00:00"/>
    <d v="2024-01-09T00:00:00"/>
    <n v="182300.6"/>
    <n v="116000.25"/>
    <n v="675"/>
    <n v="219000"/>
    <x v="2"/>
    <x v="0"/>
    <n v="0"/>
    <s v="Active"/>
    <n v="0.52968150684931503"/>
    <n v="6"/>
    <x v="0"/>
    <x v="4"/>
    <x v="3"/>
  </r>
  <r>
    <s v="Lina Park"/>
    <s v="lina_park35"/>
    <x v="4"/>
    <x v="17"/>
    <s v="Busan"/>
    <n v="69"/>
    <s v="Female"/>
    <s v="lina.park35@email.kr"/>
    <s v="+82-10-8901-2345"/>
    <d v="2023-06-22T00:00:00"/>
    <d v="2024-01-10T00:00:00"/>
    <n v="76100.75"/>
    <n v="53000.800000000003"/>
    <n v="725"/>
    <n v="116000"/>
    <x v="0"/>
    <x v="0"/>
    <n v="0"/>
    <s v="Active"/>
    <n v="0.4569034482758621"/>
    <n v="5"/>
    <x v="0"/>
    <x v="4"/>
    <x v="0"/>
  </r>
  <r>
    <s v="Ahmed Al-Mansoori"/>
    <s v="ahmed_alm35"/>
    <x v="5"/>
    <x v="8"/>
    <s v="Abu Dhabi"/>
    <n v="67"/>
    <s v="Male"/>
    <s v="ahmed.almansoori35@email.ae"/>
    <s v="+971-50-012-3456"/>
    <d v="2024-09-22T00:00:00"/>
    <d v="2024-01-12T00:00:00"/>
    <n v="54100.4"/>
    <n v="20800.900000000001"/>
    <n v="740"/>
    <n v="102000"/>
    <x v="1"/>
    <x v="0"/>
    <n v="0"/>
    <s v="Active"/>
    <n v="0.20393039215686276"/>
    <n v="3"/>
    <x v="0"/>
    <x v="4"/>
    <x v="0"/>
  </r>
  <r>
    <s v="Maria Costa"/>
    <s v="maria_costa35"/>
    <x v="0"/>
    <x v="5"/>
    <s v="Rio de Janeiro"/>
    <n v="90"/>
    <s v="Female"/>
    <s v="maria.costa35@mail.com.br"/>
    <s v="+55-21-99912-3456"/>
    <d v="2019-09-22T00:00:00"/>
    <d v="2024-01-08T00:00:00"/>
    <n v="271200.90000000002"/>
    <n v="106000.6"/>
    <n v="830"/>
    <n v="314000"/>
    <x v="1"/>
    <x v="0"/>
    <n v="0"/>
    <s v="Active"/>
    <n v="0.33758152866242042"/>
    <n v="7"/>
    <x v="1"/>
    <x v="4"/>
    <x v="3"/>
  </r>
  <r>
    <s v="Chinedu Nwankwo"/>
    <s v="chinedu_n35"/>
    <x v="2"/>
    <x v="6"/>
    <s v="Abuja"/>
    <n v="82"/>
    <s v="Male"/>
    <s v="chinedu.nwankwo35@company.ng"/>
    <s v="+234-849-012-3456"/>
    <d v="2021-05-12T00:00:00"/>
    <d v="2024-01-09T00:00:00"/>
    <n v="160100.25"/>
    <n v="108000.4"/>
    <n v="655"/>
    <n v="204000"/>
    <x v="2"/>
    <x v="0"/>
    <n v="0"/>
    <s v="Active"/>
    <n v="0.52941372549019605"/>
    <n v="6"/>
    <x v="3"/>
    <x v="4"/>
    <x v="3"/>
  </r>
  <r>
    <s v="Isabelle Moreau"/>
    <s v="isabelle_m35"/>
    <x v="3"/>
    <x v="9"/>
    <s v="Vancouver"/>
    <n v="71"/>
    <s v="Female"/>
    <s v="isabelle.moreau35@email.ca"/>
    <s v="+1-604-555-0198"/>
    <d v="2023-10-22T00:00:00"/>
    <d v="2024-01-11T00:00:00"/>
    <n v="118600.6"/>
    <n v="69900.75"/>
    <n v="760"/>
    <n v="173000"/>
    <x v="0"/>
    <x v="0"/>
    <n v="0"/>
    <s v="Active"/>
    <n v="0.40405057803468208"/>
    <n v="4"/>
    <x v="2"/>
    <x v="4"/>
    <x v="2"/>
  </r>
  <r>
    <s v="Rahman Ali"/>
    <s v="rahman_ali36"/>
    <x v="1"/>
    <x v="36"/>
    <s v="Surabaya"/>
    <n v="62"/>
    <s v="Male"/>
    <s v="rahman.ali36@mail.id"/>
    <s v="+62-846-7890-1234"/>
    <d v="2025-01-08T00:00:00"/>
    <d v="2024-01-15T00:00:00"/>
    <n v="25400.25"/>
    <n v="15100.8"/>
    <n v="695"/>
    <n v="73000"/>
    <x v="0"/>
    <x v="1"/>
    <n v="0"/>
    <s v="Active"/>
    <n v="0.20686027397260273"/>
    <n v="0"/>
    <x v="0"/>
    <x v="4"/>
    <x v="1"/>
  </r>
  <r>
    <s v="Sarah Johnson"/>
    <s v="sarah_j35"/>
    <x v="5"/>
    <x v="0"/>
    <s v="New York"/>
    <n v="65"/>
    <s v="Female"/>
    <s v="sarah.johnson35@email.com"/>
    <s v="+1-646-555-0198"/>
    <d v="2024-07-22T00:00:00"/>
    <d v="2024-01-12T00:00:00"/>
    <n v="53000.9"/>
    <n v="20400.25"/>
    <n v="755"/>
    <n v="95000"/>
    <x v="1"/>
    <x v="0"/>
    <n v="0"/>
    <s v="Active"/>
    <n v="0.21473947368421054"/>
    <n v="3"/>
    <x v="2"/>
    <x v="4"/>
    <x v="0"/>
  </r>
  <r>
    <s v="Wei Zhang"/>
    <s v="wei_zhang35"/>
    <x v="2"/>
    <x v="4"/>
    <s v="Beijing"/>
    <n v="83"/>
    <s v="Male"/>
    <s v="wei.zhang35@company.cn"/>
    <s v="+86-138-1234-5678"/>
    <d v="2021-02-22T00:00:00"/>
    <d v="2024-01-09T00:00:00"/>
    <n v="193000.4"/>
    <n v="121000.75"/>
    <n v="685"/>
    <n v="229000"/>
    <x v="2"/>
    <x v="0"/>
    <n v="0"/>
    <s v="Active"/>
    <n v="0.52838755458515285"/>
    <n v="6"/>
    <x v="0"/>
    <x v="4"/>
    <x v="3"/>
  </r>
  <r>
    <s v="Anna Kowalski"/>
    <s v="anna_k36"/>
    <x v="4"/>
    <x v="37"/>
    <s v="Warsaw"/>
    <n v="74"/>
    <s v="Female"/>
    <s v="anna.kowalski36@email.pl"/>
    <s v="+48-734-678-901"/>
    <d v="2022-11-22T00:00:00"/>
    <d v="2024-01-10T00:00:00"/>
    <n v="83000.800000000003"/>
    <n v="56100.6"/>
    <n v="715"/>
    <n v="128000"/>
    <x v="0"/>
    <x v="0"/>
    <n v="0"/>
    <s v="Active"/>
    <n v="0.4382859375"/>
    <n v="5"/>
    <x v="0"/>
    <x v="4"/>
    <x v="2"/>
  </r>
  <r>
    <s v="Mohammed Rahman"/>
    <s v="m_rahman36"/>
    <x v="3"/>
    <x v="29"/>
    <s v="Chittagong"/>
    <n v="77"/>
    <s v="Male"/>
    <s v="mohammed.rahman36@email.bd"/>
    <s v="+880-1812-890123"/>
    <d v="2022-08-22T00:00:00"/>
    <d v="2024-01-11T00:00:00"/>
    <n v="110800.25"/>
    <n v="66100.399999999994"/>
    <n v="680"/>
    <n v="157000"/>
    <x v="0"/>
    <x v="0"/>
    <n v="0"/>
    <s v="Active"/>
    <n v="0.42102165605095537"/>
    <n v="4"/>
    <x v="0"/>
    <x v="4"/>
    <x v="2"/>
  </r>
  <r>
    <s v="Yumi Tanaka"/>
    <s v="yumi_tanaka35"/>
    <x v="6"/>
    <x v="1"/>
    <s v="Osaka"/>
    <n v="57"/>
    <s v="Female"/>
    <s v="yumi.tanaka35@edu.jp"/>
    <s v="+81-90-2345-6789"/>
    <d v="2025-01-22T00:00:00"/>
    <d v="2024-01-13T00:00:00"/>
    <n v="5350.4"/>
    <n v="16000.75"/>
    <n v="610"/>
    <n v="53000"/>
    <x v="2"/>
    <x v="1"/>
    <n v="0"/>
    <s v="Active"/>
    <n v="0.30190094339622642"/>
    <n v="2"/>
    <x v="3"/>
    <x v="4"/>
    <x v="1"/>
  </r>
  <r>
    <s v="Carlos Mendez"/>
    <s v="carlos_m35"/>
    <x v="0"/>
    <x v="13"/>
    <s v="Mexico City"/>
    <n v="89"/>
    <s v="Male"/>
    <s v="carlos.mendez35@mail.mx"/>
    <s v="+52-55-8901-0123"/>
    <d v="2020-04-22T00:00:00"/>
    <d v="2024-01-08T00:00:00"/>
    <n v="291000.8"/>
    <n v="112000.25"/>
    <n v="825"/>
    <n v="309000"/>
    <x v="1"/>
    <x v="0"/>
    <n v="0"/>
    <s v="Active"/>
    <n v="0.36246035598705501"/>
    <n v="7"/>
    <x v="1"/>
    <x v="4"/>
    <x v="3"/>
  </r>
  <r>
    <s v="Aisha Mohammed"/>
    <s v="aisha_m36"/>
    <x v="5"/>
    <x v="16"/>
    <s v="Mombasa"/>
    <n v="64"/>
    <s v="Female"/>
    <s v="aisha.mohammed36@email.ke"/>
    <s v="+254-758-901-234"/>
    <d v="2025-01-22T00:00:00"/>
    <d v="2024-01-14T00:00:00"/>
    <n v="49700.75"/>
    <n v="18800.400000000001"/>
    <n v="725"/>
    <n v="85000"/>
    <x v="1"/>
    <x v="0"/>
    <n v="0"/>
    <s v="Active"/>
    <n v="0.22118117647058824"/>
    <n v="1"/>
    <x v="0"/>
    <x v="4"/>
    <x v="0"/>
  </r>
  <r>
    <s v="David Chen"/>
    <s v="david_chen36"/>
    <x v="2"/>
    <x v="23"/>
    <s v="Singapore"/>
    <n v="81"/>
    <s v="Male"/>
    <s v="david.chen36@company.sg"/>
    <s v="+65-1790-1234"/>
    <d v="2021-08-12T00:00:00"/>
    <d v="2024-01-09T00:00:00"/>
    <n v="171200.6"/>
    <n v="112000.9"/>
    <n v="675"/>
    <n v="209000"/>
    <x v="2"/>
    <x v="0"/>
    <n v="0"/>
    <s v="Active"/>
    <n v="0.53588947368421047"/>
    <n v="6"/>
    <x v="0"/>
    <x v="4"/>
    <x v="3"/>
  </r>
  <r>
    <s v="Maria Papadopoulos"/>
    <s v="maria_p36"/>
    <x v="4"/>
    <x v="38"/>
    <s v="Athens"/>
    <n v="72"/>
    <s v="Female"/>
    <s v="maria.papadopoulos36@email.gr"/>
    <s v="+30-726-789-0123"/>
    <d v="2023-09-22T00:00:00"/>
    <d v="2024-01-11T00:00:00"/>
    <n v="77200.399999999994"/>
    <n v="51900.25"/>
    <n v="705"/>
    <n v="117000"/>
    <x v="0"/>
    <x v="0"/>
    <n v="0"/>
    <s v="Active"/>
    <n v="0.44359188034188035"/>
    <n v="4"/>
    <x v="0"/>
    <x v="4"/>
    <x v="0"/>
  </r>
  <r>
    <s v="James Wilson"/>
    <s v="j_wilson36"/>
    <x v="3"/>
    <x v="26"/>
    <s v="Sydney"/>
    <n v="75"/>
    <s v="Male"/>
    <s v="james.wilson36@email.au"/>
    <s v="+61-458-901-234"/>
    <d v="2022-04-22T00:00:00"/>
    <d v="2024-01-10T00:00:00"/>
    <n v="122100.75"/>
    <n v="73000.800000000003"/>
    <n v="730"/>
    <n v="183000"/>
    <x v="0"/>
    <x v="0"/>
    <n v="0"/>
    <s v="Active"/>
    <n v="0.39891147540983607"/>
    <n v="5"/>
    <x v="0"/>
    <x v="4"/>
    <x v="2"/>
  </r>
  <r>
    <s v="Fatima Zahra"/>
    <s v="f_zahra36"/>
    <x v="1"/>
    <x v="25"/>
    <s v="Karachi"/>
    <n v="60"/>
    <s v="Female"/>
    <s v="fatima.zahra36@mail.pk"/>
    <s v="+92-356-3210987"/>
    <d v="2025-01-15T00:00:00"/>
    <d v="2024-01-15T00:00:00"/>
    <n v="21400.9"/>
    <n v="12100.75"/>
    <n v="685"/>
    <n v="70000"/>
    <x v="0"/>
    <x v="1"/>
    <n v="0"/>
    <s v="Active"/>
    <n v="0.17286785714285716"/>
    <n v="0"/>
    <x v="0"/>
    <x v="4"/>
    <x v="1"/>
  </r>
  <r>
    <s v="Kenji Yamada"/>
    <s v="kenji_y36"/>
    <x v="0"/>
    <x v="1"/>
    <s v="Tokyo"/>
    <n v="92"/>
    <s v="Male"/>
    <s v="kenji.yamada36@mail.jp"/>
    <s v="+81-80-6789-0123"/>
    <d v="2019-07-22T00:00:00"/>
    <d v="2024-01-08T00:00:00"/>
    <n v="301900.25"/>
    <n v="116000.4"/>
    <n v="840"/>
    <n v="324000"/>
    <x v="1"/>
    <x v="0"/>
    <n v="0"/>
    <s v="Active"/>
    <n v="0.35802592592592591"/>
    <n v="7"/>
    <x v="1"/>
    <x v="4"/>
    <x v="3"/>
  </r>
  <r>
    <s v="Ngozi Eze"/>
    <s v="ngozi_e36"/>
    <x v="2"/>
    <x v="6"/>
    <s v="Lagos"/>
    <n v="84"/>
    <s v="Female"/>
    <s v="ngozi.eze36@company.ng"/>
    <s v="+234-848-901-2345"/>
    <d v="2020-12-22T00:00:00"/>
    <d v="2024-01-09T00:00:00"/>
    <n v="182300.4"/>
    <n v="116000.75"/>
    <n v="650"/>
    <n v="219000"/>
    <x v="2"/>
    <x v="0"/>
    <n v="0"/>
    <s v="Active"/>
    <n v="0.52968378995433785"/>
    <n v="6"/>
    <x v="3"/>
    <x v="4"/>
    <x v="3"/>
  </r>
  <r>
    <s v="Thomas Schmidt"/>
    <s v="thomas_s36"/>
    <x v="3"/>
    <x v="7"/>
    <s v="Hamburg"/>
    <n v="71"/>
    <s v="Male"/>
    <s v="thomas.schmidt36@email.de"/>
    <s v="+49-210-1234567"/>
    <d v="2024-04-22T00:00:00"/>
    <d v="2024-01-12T00:00:00"/>
    <n v="110900.4"/>
    <n v="67200.25"/>
    <n v="745"/>
    <n v="163000"/>
    <x v="0"/>
    <x v="0"/>
    <n v="0"/>
    <s v="Active"/>
    <n v="0.41227147239263806"/>
    <n v="3"/>
    <x v="0"/>
    <x v="4"/>
    <x v="2"/>
  </r>
  <r>
    <s v="Lina Chen"/>
    <s v="lina_c36"/>
    <x v="5"/>
    <x v="4"/>
    <s v="Beijing"/>
    <n v="66"/>
    <s v="Female"/>
    <s v="lina.chen36@mail.cn"/>
    <s v="+86-137-1234-5678"/>
    <d v="2024-10-22T00:00:00"/>
    <d v="2024-01-11T00:00:00"/>
    <n v="51900.800000000003"/>
    <n v="20000.900000000001"/>
    <n v="765"/>
    <n v="95000"/>
    <x v="1"/>
    <x v="0"/>
    <n v="0"/>
    <s v="Active"/>
    <n v="0.21053578947368423"/>
    <n v="4"/>
    <x v="2"/>
    <x v="4"/>
    <x v="0"/>
  </r>
  <r>
    <s v="Ahmed Hassan"/>
    <s v="ahmed_h36"/>
    <x v="4"/>
    <x v="20"/>
    <s v="Cairo"/>
    <n v="79"/>
    <s v="Male"/>
    <s v="ahmed.hassan36@email.eg"/>
    <s v="+20-122-432-1098"/>
    <d v="2022-10-22T00:00:00"/>
    <d v="2024-01-10T00:00:00"/>
    <n v="85200.75"/>
    <n v="58300.4"/>
    <n v="675"/>
    <n v="135000"/>
    <x v="0"/>
    <x v="0"/>
    <n v="0"/>
    <s v="Active"/>
    <n v="0.4318548148148148"/>
    <n v="5"/>
    <x v="0"/>
    <x v="4"/>
    <x v="2"/>
  </r>
  <r>
    <s v="Sophie Martin"/>
    <s v="sophie_m36"/>
    <x v="6"/>
    <x v="10"/>
    <s v="Lyon"/>
    <n v="58"/>
    <s v="Female"/>
    <s v="sophie.martin36@edu.fr"/>
    <s v="+33-6-8901-2345"/>
    <d v="2025-01-28T00:00:00"/>
    <d v="2024-01-13T00:00:00"/>
    <n v="5600.25"/>
    <n v="17200.599999999999"/>
    <n v="615"/>
    <n v="55000"/>
    <x v="2"/>
    <x v="1"/>
    <n v="0"/>
    <s v="Active"/>
    <n v="0.3127381818181818"/>
    <n v="2"/>
    <x v="3"/>
    <x v="4"/>
    <x v="1"/>
  </r>
  <r>
    <s v="Raj Kumar"/>
    <s v="raj_kumar36"/>
    <x v="2"/>
    <x v="2"/>
    <s v="Delhi"/>
    <n v="86"/>
    <s v="Male"/>
    <s v="raj.kumar36@company.in"/>
    <s v="+91-987-654-3210"/>
    <d v="2020-11-22T00:00:00"/>
    <d v="2024-01-08T00:00:00"/>
    <n v="216900.8"/>
    <n v="129000.25"/>
    <n v="660"/>
    <n v="254000"/>
    <x v="2"/>
    <x v="0"/>
    <n v="0"/>
    <s v="Active"/>
    <n v="0.50787499999999997"/>
    <n v="7"/>
    <x v="3"/>
    <x v="4"/>
    <x v="3"/>
  </r>
  <r>
    <s v="Maria Gonzalez"/>
    <s v="maria_g37"/>
    <x v="3"/>
    <x v="13"/>
    <s v="Mexico City"/>
    <n v="73"/>
    <s v="Female"/>
    <s v="maria.gonzalez37@email.mx"/>
    <s v="+52-55-9012-0123"/>
    <d v="2023-03-22T00:00:00"/>
    <d v="2024-01-11T00:00:00"/>
    <n v="106300.9"/>
    <n v="64100.75"/>
    <n v="730"/>
    <n v="158000"/>
    <x v="0"/>
    <x v="0"/>
    <n v="0"/>
    <s v="Active"/>
    <n v="0.40570094936708861"/>
    <n v="4"/>
    <x v="0"/>
    <x v="4"/>
    <x v="2"/>
  </r>
  <r>
    <s v="Yuki Kobayashi"/>
    <s v="yuki_k36"/>
    <x v="1"/>
    <x v="1"/>
    <s v="Osaka"/>
    <n v="62"/>
    <s v="Female"/>
    <s v="yuki.kobayashi36@mail.jp"/>
    <s v="+81-90-2345-6789"/>
    <d v="2025-01-22T00:00:00"/>
    <d v="2024-01-14T00:00:00"/>
    <n v="22500.400000000001"/>
    <n v="12200.25"/>
    <n v="705"/>
    <n v="72000"/>
    <x v="0"/>
    <x v="1"/>
    <n v="0"/>
    <s v="Active"/>
    <n v="0.16944791666666667"/>
    <n v="1"/>
    <x v="0"/>
    <x v="4"/>
    <x v="1"/>
  </r>
  <r>
    <s v="Kwame Asante"/>
    <s v="kwame_a36"/>
    <x v="5"/>
    <x v="15"/>
    <s v="Accra"/>
    <n v="67"/>
    <s v="Male"/>
    <s v="kwame.asante36@email.gh"/>
    <s v="+233-89-012-3456"/>
    <d v="2024-09-22T00:00:00"/>
    <d v="2024-01-12T00:00:00"/>
    <n v="50800.6"/>
    <n v="19400.8"/>
    <n v="710"/>
    <n v="88000"/>
    <x v="1"/>
    <x v="0"/>
    <n v="0"/>
    <s v="Active"/>
    <n v="0.22046363636363636"/>
    <n v="3"/>
    <x v="0"/>
    <x v="4"/>
    <x v="0"/>
  </r>
  <r>
    <s v="Anna Petrova"/>
    <s v="anna_p36"/>
    <x v="4"/>
    <x v="12"/>
    <s v="Moscow"/>
    <n v="74"/>
    <s v="Female"/>
    <s v="anna.petrova36@email.ru"/>
    <s v="+7-921-210-98-76"/>
    <d v="2022-10-22T00:00:00"/>
    <d v="2024-01-10T00:00:00"/>
    <n v="82100.25"/>
    <n v="55200.9"/>
    <n v="695"/>
    <n v="123000"/>
    <x v="0"/>
    <x v="0"/>
    <n v="0"/>
    <s v="Active"/>
    <n v="0.44878780487804881"/>
    <n v="5"/>
    <x v="0"/>
    <x v="4"/>
    <x v="0"/>
  </r>
  <r>
    <s v="Liam O'Brien"/>
    <s v="liam_obrien36"/>
    <x v="2"/>
    <x v="11"/>
    <s v="Dublin"/>
    <n v="82"/>
    <s v="Male"/>
    <s v="liam.obrien36@company.ie"/>
    <s v="+353-21-901-2345"/>
    <d v="2021-04-22T00:00:00"/>
    <d v="2024-01-09T00:00:00"/>
    <n v="149100.4"/>
    <n v="103000.6"/>
    <n v="670"/>
    <n v="190000"/>
    <x v="2"/>
    <x v="0"/>
    <n v="0"/>
    <s v="Active"/>
    <n v="0.54210842105263157"/>
    <n v="6"/>
    <x v="0"/>
    <x v="4"/>
    <x v="2"/>
  </r>
  <r>
    <s v="Ying Wang"/>
    <s v="ying_w36"/>
    <x v="0"/>
    <x v="4"/>
    <s v="Shanghai"/>
    <n v="90"/>
    <s v="Female"/>
    <s v="ying.wang36@mail.cn"/>
    <s v="+86-139-8901-2345"/>
    <d v="2020-02-22T00:00:00"/>
    <d v="2024-01-08T00:00:00"/>
    <n v="316000.75"/>
    <n v="120000.8"/>
    <n v="835"/>
    <n v="335000"/>
    <x v="1"/>
    <x v="0"/>
    <n v="0"/>
    <s v="Active"/>
    <n v="0.35821134328358212"/>
    <n v="7"/>
    <x v="1"/>
    <x v="4"/>
    <x v="3"/>
  </r>
  <r>
    <s v="Adeola Yusuf"/>
    <s v="adeola_y36"/>
    <x v="4"/>
    <x v="6"/>
    <s v="Abuja"/>
    <n v="77"/>
    <s v="Female"/>
    <s v="adeola.yusuf36@email.ng"/>
    <s v="+234-849-012-3456"/>
    <d v="2022-09-22T00:00:00"/>
    <d v="2024-01-11T00:00:00"/>
    <n v="90800.6"/>
    <n v="60800.25"/>
    <n v="665"/>
    <n v="143000"/>
    <x v="0"/>
    <x v="0"/>
    <n v="0"/>
    <s v="Active"/>
    <n v="0.42517657342657345"/>
    <n v="4"/>
    <x v="3"/>
    <x v="4"/>
    <x v="2"/>
  </r>
  <r>
    <s v="Marco Bianchi"/>
    <s v="marco_b36"/>
    <x v="3"/>
    <x v="18"/>
    <s v="Rome"/>
    <n v="69"/>
    <s v="Male"/>
    <s v="marco.bianchi36@email.it"/>
    <s v="+39-383-789-0123"/>
    <d v="2024-06-22T00:00:00"/>
    <d v="2024-01-12T00:00:00"/>
    <n v="114100.8"/>
    <n v="68300.399999999994"/>
    <n v="750"/>
    <n v="169000"/>
    <x v="0"/>
    <x v="0"/>
    <n v="0"/>
    <s v="Active"/>
    <n v="0.40414437869822484"/>
    <n v="3"/>
    <x v="2"/>
    <x v="4"/>
    <x v="2"/>
  </r>
  <r>
    <s v="Jennifer Kim"/>
    <s v="jennifer_k36"/>
    <x v="5"/>
    <x v="0"/>
    <s v="Seattle"/>
    <n v="65"/>
    <s v="Female"/>
    <s v="jennifer.kim36@email.com"/>
    <s v="+1-206-555-0198"/>
    <d v="2024-12-22T00:00:00"/>
    <d v="2024-01-14T00:00:00"/>
    <n v="53000.9"/>
    <n v="20400.75"/>
    <n v="770"/>
    <n v="100000"/>
    <x v="1"/>
    <x v="0"/>
    <n v="0"/>
    <s v="Active"/>
    <n v="0.20400750000000001"/>
    <n v="1"/>
    <x v="2"/>
    <x v="4"/>
    <x v="0"/>
  </r>
  <r>
    <s v="Rahman Hussain"/>
    <s v="rahman_h36"/>
    <x v="2"/>
    <x v="25"/>
    <s v="Lahore"/>
    <n v="88"/>
    <s v="Male"/>
    <s v="rahman.hussain36@company.pk"/>
    <s v="+92-335-3210987"/>
    <d v="2020-08-22T00:00:00"/>
    <d v="2024-01-08T00:00:00"/>
    <n v="202200.25"/>
    <n v="124000.8"/>
    <n v="645"/>
    <n v="240000"/>
    <x v="2"/>
    <x v="0"/>
    <n v="0"/>
    <s v="Active"/>
    <n v="0.51666999999999996"/>
    <n v="7"/>
    <x v="3"/>
    <x v="4"/>
    <x v="3"/>
  </r>
  <r>
    <s v="Sofia Martinez"/>
    <s v="sofia_m36"/>
    <x v="1"/>
    <x v="14"/>
    <s v="Madrid"/>
    <n v="61"/>
    <s v="Female"/>
    <s v="sofia.martinez36@mail.es"/>
    <s v="+34-658-901-234"/>
    <d v="2025-01-28T00:00:00"/>
    <d v="2024-01-15T00:00:00"/>
    <n v="45200.5"/>
    <n v="20000.400000000001"/>
    <n v="720"/>
    <n v="77000"/>
    <x v="1"/>
    <x v="0"/>
    <n v="0"/>
    <s v="Active"/>
    <n v="0.25974545454545456"/>
    <n v="0"/>
    <x v="0"/>
    <x v="4"/>
    <x v="0"/>
  </r>
  <r>
    <s v="Kenji Sato"/>
    <s v="kenji_sato37"/>
    <x v="6"/>
    <x v="1"/>
    <s v="Tokyo"/>
    <n v="57"/>
    <s v="Male"/>
    <s v="kenji.sato37@edu.jp"/>
    <s v="+81-90-3456-7890"/>
    <d v="2025-01-28T00:00:00"/>
    <d v="2024-01-13T00:00:00"/>
    <n v="5350.8"/>
    <n v="15600.25"/>
    <n v="605"/>
    <n v="53000"/>
    <x v="2"/>
    <x v="1"/>
    <n v="0"/>
    <s v="Active"/>
    <n v="0.2943443396226415"/>
    <n v="2"/>
    <x v="3"/>
    <x v="4"/>
    <x v="1"/>
  </r>
  <r>
    <s v="Fatoumata Bello"/>
    <s v="fatou_b36"/>
    <x v="3"/>
    <x v="19"/>
    <s v="Dakar"/>
    <n v="71"/>
    <s v="Female"/>
    <s v="fatoumata.bello36@email.sn"/>
    <s v="+221-13-789-0123"/>
    <d v="2024-02-22T00:00:00"/>
    <d v="2024-01-11T00:00:00"/>
    <n v="100800.4"/>
    <n v="63000.75"/>
    <n v="710"/>
    <n v="151000"/>
    <x v="0"/>
    <x v="0"/>
    <n v="0"/>
    <s v="Active"/>
    <n v="0.41722350993377483"/>
    <n v="4"/>
    <x v="0"/>
    <x v="4"/>
    <x v="2"/>
  </r>
  <r>
    <s v="David Wilson"/>
    <s v="david_w36"/>
    <x v="2"/>
    <x v="3"/>
    <s v="London"/>
    <n v="85"/>
    <s v="Male"/>
    <s v="david.wilson36@company.co.uk"/>
    <s v="+44-79-0123-4567"/>
    <d v="2021-01-22T00:00:00"/>
    <d v="2024-01-09T00:00:00"/>
    <n v="182400.6"/>
    <n v="117000.25"/>
    <n v="675"/>
    <n v="220000"/>
    <x v="2"/>
    <x v="0"/>
    <n v="0"/>
    <s v="Active"/>
    <n v="0.53181931818181816"/>
    <n v="6"/>
    <x v="0"/>
    <x v="4"/>
    <x v="3"/>
  </r>
  <r>
    <s v="Lina Park"/>
    <s v="lina_park36"/>
    <x v="4"/>
    <x v="17"/>
    <s v="Seoul"/>
    <n v="70"/>
    <s v="Female"/>
    <s v="lina.park36@email.kr"/>
    <s v="+82-10-9012-3456"/>
    <d v="2023-07-22T00:00:00"/>
    <d v="2024-01-10T00:00:00"/>
    <n v="77200.75"/>
    <n v="54100.800000000003"/>
    <n v="725"/>
    <n v="117000"/>
    <x v="0"/>
    <x v="0"/>
    <n v="0"/>
    <s v="Active"/>
    <n v="0.46240000000000003"/>
    <n v="5"/>
    <x v="0"/>
    <x v="4"/>
    <x v="0"/>
  </r>
  <r>
    <s v="Ahmed Al-Mansoori"/>
    <s v="ahmed_alm36"/>
    <x v="5"/>
    <x v="8"/>
    <s v="Dubai"/>
    <n v="68"/>
    <s v="Male"/>
    <s v="ahmed.almansoori36@email.ae"/>
    <s v="+971-50-123-4567"/>
    <d v="2024-10-22T00:00:00"/>
    <d v="2024-01-12T00:00:00"/>
    <n v="55200.4"/>
    <n v="21200.9"/>
    <n v="740"/>
    <n v="103000"/>
    <x v="1"/>
    <x v="0"/>
    <n v="0"/>
    <s v="Active"/>
    <n v="0.20583398058252428"/>
    <n v="3"/>
    <x v="0"/>
    <x v="4"/>
    <x v="0"/>
  </r>
  <r>
    <s v="Maria Costa"/>
    <s v="maria_costa36"/>
    <x v="0"/>
    <x v="5"/>
    <s v="São Paulo"/>
    <n v="91"/>
    <s v="Female"/>
    <s v="maria.costa36@mail.com.br"/>
    <s v="+55-11-99923-4567"/>
    <d v="2019-10-22T00:00:00"/>
    <d v="2024-01-08T00:00:00"/>
    <n v="271300.90000000002"/>
    <n v="107000.6"/>
    <n v="830"/>
    <n v="315000"/>
    <x v="1"/>
    <x v="0"/>
    <n v="0"/>
    <s v="Active"/>
    <n v="0.33968444444444446"/>
    <n v="7"/>
    <x v="1"/>
    <x v="4"/>
    <x v="3"/>
  </r>
  <r>
    <s v="Chinedu Nwankwo"/>
    <s v="chinedu_n36"/>
    <x v="2"/>
    <x v="6"/>
    <s v="Port Harcourt"/>
    <n v="83"/>
    <s v="Male"/>
    <s v="chinedu.nwankwo36@company.ng"/>
    <s v="+234-850-123-4567"/>
    <d v="2021-06-12T00:00:00"/>
    <d v="2024-01-09T00:00:00"/>
    <n v="160200.25"/>
    <n v="109000.4"/>
    <n v="655"/>
    <n v="205000"/>
    <x v="2"/>
    <x v="0"/>
    <n v="0"/>
    <s v="Active"/>
    <n v="0.53170926829268295"/>
    <n v="6"/>
    <x v="3"/>
    <x v="4"/>
    <x v="3"/>
  </r>
  <r>
    <s v="Isabelle Moreau"/>
    <s v="isabelle_m36"/>
    <x v="3"/>
    <x v="9"/>
    <s v="Toronto"/>
    <n v="72"/>
    <s v="Female"/>
    <s v="isabelle.moreau36@email.ca"/>
    <s v="+1-647-555-0198"/>
    <d v="2023-11-22T00:00:00"/>
    <d v="2024-01-11T00:00:00"/>
    <n v="119700.6"/>
    <n v="71000.75"/>
    <n v="760"/>
    <n v="174000"/>
    <x v="0"/>
    <x v="0"/>
    <n v="0"/>
    <s v="Active"/>
    <n v="0.40805028735632182"/>
    <n v="4"/>
    <x v="2"/>
    <x v="4"/>
    <x v="2"/>
  </r>
  <r>
    <s v="Rahman Ali"/>
    <s v="rahman_ali37"/>
    <x v="1"/>
    <x v="36"/>
    <s v="Jakarta"/>
    <n v="63"/>
    <s v="Male"/>
    <s v="rahman.ali37@mail.id"/>
    <s v="+62-847-8901-2345"/>
    <d v="2025-01-28T00:00:00"/>
    <d v="2024-01-15T00:00:00"/>
    <n v="25900.25"/>
    <n v="15400.8"/>
    <n v="695"/>
    <n v="74000"/>
    <x v="0"/>
    <x v="1"/>
    <n v="0"/>
    <s v="Active"/>
    <n v="0.2081189189189189"/>
    <n v="0"/>
    <x v="0"/>
    <x v="4"/>
    <x v="1"/>
  </r>
  <r>
    <s v="Sarah Johnson"/>
    <s v="sarah_j36"/>
    <x v="5"/>
    <x v="0"/>
    <s v="Chicago"/>
    <n v="66"/>
    <s v="Female"/>
    <s v="sarah.johnson36@email.com"/>
    <s v="+1-773-555-0194"/>
    <d v="2024-08-22T00:00:00"/>
    <d v="2024-01-12T00:00:00"/>
    <n v="54100.9"/>
    <n v="20800.25"/>
    <n v="755"/>
    <n v="96000"/>
    <x v="1"/>
    <x v="0"/>
    <n v="0"/>
    <s v="Active"/>
    <n v="0.21666927083333334"/>
    <n v="3"/>
    <x v="2"/>
    <x v="4"/>
    <x v="0"/>
  </r>
  <r>
    <s v="Wei Zhang"/>
    <s v="wei_zhang36"/>
    <x v="2"/>
    <x v="4"/>
    <s v="Beijing"/>
    <n v="84"/>
    <s v="Male"/>
    <s v="wei.zhang36@company.cn"/>
    <s v="+86-138-2345-6789"/>
    <d v="2021-03-22T00:00:00"/>
    <d v="2024-01-09T00:00:00"/>
    <n v="193100.4"/>
    <n v="122000.75"/>
    <n v="685"/>
    <n v="230000"/>
    <x v="2"/>
    <x v="0"/>
    <n v="0"/>
    <s v="Active"/>
    <n v="0.53043804347826085"/>
    <n v="6"/>
    <x v="0"/>
    <x v="4"/>
    <x v="3"/>
  </r>
  <r>
    <s v="Anna Kowalski"/>
    <s v="anna_k37"/>
    <x v="4"/>
    <x v="37"/>
    <s v="Warsaw"/>
    <n v="75"/>
    <s v="Female"/>
    <s v="anna.kowalski37@email.pl"/>
    <s v="+48-735-789-012"/>
    <d v="2022-12-22T00:00:00"/>
    <d v="2024-01-10T00:00:00"/>
    <n v="84100.800000000003"/>
    <n v="57200.6"/>
    <n v="715"/>
    <n v="129000"/>
    <x v="0"/>
    <x v="0"/>
    <n v="0"/>
    <s v="Active"/>
    <n v="0.44341550387596901"/>
    <n v="5"/>
    <x v="0"/>
    <x v="4"/>
    <x v="2"/>
  </r>
  <r>
    <s v="Mohammed Rahman"/>
    <s v="m_rahman37"/>
    <x v="3"/>
    <x v="29"/>
    <s v="Chittagong"/>
    <n v="78"/>
    <s v="Male"/>
    <s v="mohammed.rahman37@email.bd"/>
    <s v="+880-1812-901234"/>
    <d v="2022-09-22T00:00:00"/>
    <d v="2024-01-11T00:00:00"/>
    <n v="111900.25"/>
    <n v="67200.399999999994"/>
    <n v="680"/>
    <n v="158000"/>
    <x v="0"/>
    <x v="0"/>
    <n v="0"/>
    <s v="Active"/>
    <n v="0.42531898734177209"/>
    <n v="4"/>
    <x v="0"/>
    <x v="4"/>
    <x v="2"/>
  </r>
  <r>
    <s v="Yumi Tanaka"/>
    <s v="yumi_tanaka36"/>
    <x v="6"/>
    <x v="1"/>
    <s v="Osaka"/>
    <n v="58"/>
    <s v="Female"/>
    <s v="yumi.tanaka36@edu.jp"/>
    <s v="+81-90-4567-8901"/>
    <d v="2025-02-05T00:00:00"/>
    <d v="2024-01-13T00:00:00"/>
    <n v="5450.4"/>
    <n v="16200.75"/>
    <n v="610"/>
    <n v="54000"/>
    <x v="2"/>
    <x v="1"/>
    <n v="0"/>
    <s v="Active"/>
    <n v="0.30001388888888891"/>
    <n v="2"/>
    <x v="3"/>
    <x v="4"/>
    <x v="1"/>
  </r>
  <r>
    <s v="Carlos Mendez"/>
    <s v="carlos_m36"/>
    <x v="0"/>
    <x v="13"/>
    <s v="Mexico City"/>
    <n v="90"/>
    <s v="Male"/>
    <s v="carlos.mendez36@mail.mx"/>
    <s v="+52-55-9012-0123"/>
    <d v="2020-05-22T00:00:00"/>
    <d v="2024-01-08T00:00:00"/>
    <n v="291100.79999999999"/>
    <n v="113000.25"/>
    <n v="825"/>
    <n v="310000"/>
    <x v="1"/>
    <x v="0"/>
    <n v="0"/>
    <s v="Active"/>
    <n v="0.36451693548387099"/>
    <n v="7"/>
    <x v="1"/>
    <x v="4"/>
    <x v="3"/>
  </r>
  <r>
    <s v="Aisha Mohammed"/>
    <s v="aisha_m37"/>
    <x v="5"/>
    <x v="16"/>
    <s v="Nairobi"/>
    <n v="65"/>
    <s v="Female"/>
    <s v="aisha.mohammed37@email.ke"/>
    <s v="+254-759-012-345"/>
    <d v="2025-02-22T00:00:00"/>
    <d v="2024-01-14T00:00:00"/>
    <n v="50800.75"/>
    <n v="19200.400000000001"/>
    <n v="725"/>
    <n v="86000"/>
    <x v="1"/>
    <x v="0"/>
    <n v="0"/>
    <s v="Active"/>
    <n v="0.22326046511627909"/>
    <n v="1"/>
    <x v="0"/>
    <x v="4"/>
    <x v="0"/>
  </r>
  <r>
    <s v="David Chen"/>
    <s v="david_chen37"/>
    <x v="2"/>
    <x v="23"/>
    <s v="Singapore"/>
    <n v="82"/>
    <s v="Male"/>
    <s v="david.chen37@company.sg"/>
    <s v="+65-1890-1234"/>
    <d v="2021-09-12T00:00:00"/>
    <d v="2024-01-09T00:00:00"/>
    <n v="171300.6"/>
    <n v="113000.9"/>
    <n v="675"/>
    <n v="210000"/>
    <x v="2"/>
    <x v="0"/>
    <n v="0"/>
    <s v="Active"/>
    <n v="0.53809952380952375"/>
    <n v="6"/>
    <x v="0"/>
    <x v="4"/>
    <x v="3"/>
  </r>
  <r>
    <s v="Maria Papadopoulos"/>
    <s v="maria_p37"/>
    <x v="4"/>
    <x v="38"/>
    <s v="Athens"/>
    <n v="73"/>
    <s v="Female"/>
    <s v="maria.papadopoulos37@email.gr"/>
    <s v="+30-727-890-1234"/>
    <d v="2023-10-22T00:00:00"/>
    <d v="2024-01-11T00:00:00"/>
    <n v="78300.399999999994"/>
    <n v="53000.25"/>
    <n v="705"/>
    <n v="118000"/>
    <x v="0"/>
    <x v="0"/>
    <n v="0"/>
    <s v="Active"/>
    <n v="0.44915466101694917"/>
    <n v="4"/>
    <x v="0"/>
    <x v="4"/>
    <x v="0"/>
  </r>
  <r>
    <s v="James Wilson"/>
    <s v="j_wilson37"/>
    <x v="3"/>
    <x v="26"/>
    <s v="Sydney"/>
    <n v="76"/>
    <s v="Male"/>
    <s v="james.wilson37@email.au"/>
    <s v="+61-459-012-345"/>
    <d v="2022-05-22T00:00:00"/>
    <d v="2024-01-10T00:00:00"/>
    <n v="123100.75"/>
    <n v="74100.800000000003"/>
    <n v="730"/>
    <n v="184000"/>
    <x v="0"/>
    <x v="0"/>
    <n v="0"/>
    <s v="Active"/>
    <n v="0.4027217391304348"/>
    <n v="5"/>
    <x v="0"/>
    <x v="4"/>
    <x v="2"/>
  </r>
  <r>
    <s v="Fatima Zahra"/>
    <s v="f_zahra37"/>
    <x v="1"/>
    <x v="25"/>
    <s v="Islamabad"/>
    <n v="61"/>
    <s v="Female"/>
    <s v="fatima.zahra37@mail.pk"/>
    <s v="+92-357-2109876"/>
    <d v="2025-01-28T00:00:00"/>
    <d v="2024-01-15T00:00:00"/>
    <n v="21800.9"/>
    <n v="12300.75"/>
    <n v="685"/>
    <n v="71000"/>
    <x v="0"/>
    <x v="1"/>
    <n v="0"/>
    <s v="Active"/>
    <n v="0.17324999999999999"/>
    <n v="0"/>
    <x v="0"/>
    <x v="4"/>
    <x v="1"/>
  </r>
  <r>
    <s v="Kenji Yamada"/>
    <s v="kenji_y37"/>
    <x v="0"/>
    <x v="1"/>
    <s v="Tokyo"/>
    <n v="93"/>
    <s v="Male"/>
    <s v="kenji.yamada37@mail.jp"/>
    <s v="+81-80-7890-1234"/>
    <d v="2019-08-22T00:00:00"/>
    <d v="2024-01-08T00:00:00"/>
    <n v="302000.25"/>
    <n v="117000.4"/>
    <n v="840"/>
    <n v="325000"/>
    <x v="1"/>
    <x v="0"/>
    <n v="0"/>
    <s v="Active"/>
    <n v="0.36000123076923074"/>
    <n v="7"/>
    <x v="1"/>
    <x v="4"/>
    <x v="3"/>
  </r>
  <r>
    <s v="Ngozi Eze"/>
    <s v="ngozi_e37"/>
    <x v="2"/>
    <x v="6"/>
    <s v="Lagos"/>
    <n v="85"/>
    <s v="Female"/>
    <s v="ngozi.eze37@company.ng"/>
    <s v="+234-849-012-3456"/>
    <d v="2021-01-22T00:00:00"/>
    <d v="2024-01-09T00:00:00"/>
    <n v="182400.4"/>
    <n v="117000.75"/>
    <n v="650"/>
    <n v="220000"/>
    <x v="2"/>
    <x v="0"/>
    <n v="0"/>
    <s v="Active"/>
    <n v="0.53182159090909087"/>
    <n v="6"/>
    <x v="3"/>
    <x v="4"/>
    <x v="3"/>
  </r>
  <r>
    <s v="Thomas Schmidt"/>
    <s v="thomas_s37"/>
    <x v="3"/>
    <x v="7"/>
    <s v="Munich"/>
    <n v="72"/>
    <s v="Male"/>
    <s v="thomas.schmidt37@email.de"/>
    <s v="+49-211-2345678"/>
    <d v="2024-05-22T00:00:00"/>
    <d v="2024-01-12T00:00:00"/>
    <n v="111900.4"/>
    <n v="68300.25"/>
    <n v="745"/>
    <n v="164000"/>
    <x v="0"/>
    <x v="0"/>
    <n v="0"/>
    <s v="Active"/>
    <n v="0.41646493902439025"/>
    <n v="3"/>
    <x v="0"/>
    <x v="4"/>
    <x v="2"/>
  </r>
  <r>
    <s v="Lina Chen"/>
    <s v="lina_c37"/>
    <x v="5"/>
    <x v="4"/>
    <s v="Beijing"/>
    <n v="67"/>
    <s v="Female"/>
    <s v="lina.chen37@mail.cn"/>
    <s v="+86-137-2345-6789"/>
    <d v="2024-11-22T00:00:00"/>
    <d v="2024-01-11T00:00:00"/>
    <n v="53000.800000000003"/>
    <n v="20400.900000000001"/>
    <n v="765"/>
    <n v="96000"/>
    <x v="1"/>
    <x v="0"/>
    <n v="0"/>
    <s v="Active"/>
    <n v="0.21250937500000003"/>
    <n v="4"/>
    <x v="2"/>
    <x v="4"/>
    <x v="0"/>
  </r>
  <r>
    <s v="Ahmed Hassan"/>
    <s v="ahmed_h37"/>
    <x v="4"/>
    <x v="20"/>
    <s v="Cairo"/>
    <n v="80"/>
    <s v="Male"/>
    <s v="ahmed.hassan37@email.eg"/>
    <s v="+20-122-321-0987"/>
    <d v="2022-11-22T00:00:00"/>
    <d v="2024-01-10T00:00:00"/>
    <n v="86300.75"/>
    <n v="59400.4"/>
    <n v="675"/>
    <n v="136000"/>
    <x v="0"/>
    <x v="0"/>
    <n v="0"/>
    <s v="Active"/>
    <n v="0.43676764705882354"/>
    <n v="5"/>
    <x v="0"/>
    <x v="4"/>
    <x v="2"/>
  </r>
  <r>
    <s v="Sophie Martin"/>
    <s v="sophie_m37"/>
    <x v="6"/>
    <x v="10"/>
    <s v="Paris"/>
    <n v="59"/>
    <s v="Female"/>
    <s v="sophie.martin37@edu.fr"/>
    <s v="+33-6-9012-3456"/>
    <d v="2025-02-12T00:00:00"/>
    <d v="2024-01-13T00:00:00"/>
    <n v="5700.25"/>
    <n v="17400.599999999999"/>
    <n v="615"/>
    <n v="56000"/>
    <x v="2"/>
    <x v="1"/>
    <n v="0"/>
    <s v="Active"/>
    <n v="0.31072499999999997"/>
    <n v="2"/>
    <x v="3"/>
    <x v="4"/>
    <x v="1"/>
  </r>
  <r>
    <s v="Raj Kumar"/>
    <s v="raj_kumar37"/>
    <x v="2"/>
    <x v="2"/>
    <s v="Delhi"/>
    <n v="87"/>
    <s v="Male"/>
    <s v="raj.kumar37@company.in"/>
    <s v="+91-987-654-3210"/>
    <d v="2020-12-22T00:00:00"/>
    <d v="2024-01-08T00:00:00"/>
    <n v="217000.8"/>
    <n v="130000.25"/>
    <n v="660"/>
    <n v="255000"/>
    <x v="2"/>
    <x v="0"/>
    <n v="0"/>
    <s v="Active"/>
    <n v="0.50980490196078432"/>
    <n v="7"/>
    <x v="3"/>
    <x v="4"/>
    <x v="3"/>
  </r>
  <r>
    <s v="Maria Gonzalez"/>
    <s v="maria_g38"/>
    <x v="3"/>
    <x v="13"/>
    <s v="Monterrey"/>
    <n v="74"/>
    <s v="Female"/>
    <s v="maria.gonzalez38@email.mx"/>
    <s v="+52-81-0123-0123"/>
    <d v="2023-04-22T00:00:00"/>
    <d v="2024-01-11T00:00:00"/>
    <n v="107400.9"/>
    <n v="65200.75"/>
    <n v="730"/>
    <n v="159000"/>
    <x v="0"/>
    <x v="0"/>
    <n v="0"/>
    <s v="Active"/>
    <n v="0.41006761006289311"/>
    <n v="4"/>
    <x v="0"/>
    <x v="4"/>
    <x v="2"/>
  </r>
  <r>
    <s v="Yuki Kobayashi"/>
    <s v="yuki_k37"/>
    <x v="1"/>
    <x v="1"/>
    <s v="Osaka"/>
    <n v="63"/>
    <s v="Female"/>
    <s v="yuki.kobayashi37@mail.jp"/>
    <s v="+81-90-5678-9012"/>
    <d v="2025-02-08T00:00:00"/>
    <d v="2024-01-14T00:00:00"/>
    <n v="22900.400000000001"/>
    <n v="12400.25"/>
    <n v="705"/>
    <n v="73000"/>
    <x v="0"/>
    <x v="1"/>
    <n v="0"/>
    <s v="Active"/>
    <n v="0.16986643835616438"/>
    <n v="1"/>
    <x v="0"/>
    <x v="4"/>
    <x v="1"/>
  </r>
  <r>
    <s v="Kwame Asante"/>
    <s v="kwame_a37"/>
    <x v="5"/>
    <x v="15"/>
    <s v="Accra"/>
    <n v="68"/>
    <s v="Male"/>
    <s v="kwame.asante37@email.gh"/>
    <s v="+233-90-123-4567"/>
    <d v="2024-10-22T00:00:00"/>
    <d v="2024-01-12T00:00:00"/>
    <n v="51900.6"/>
    <n v="19800.8"/>
    <n v="710"/>
    <n v="89000"/>
    <x v="1"/>
    <x v="0"/>
    <n v="0"/>
    <s v="Active"/>
    <n v="0.22248089887640449"/>
    <n v="3"/>
    <x v="0"/>
    <x v="4"/>
    <x v="0"/>
  </r>
  <r>
    <s v="Anna Petrova"/>
    <s v="anna_p37"/>
    <x v="4"/>
    <x v="12"/>
    <s v="St. Petersburg"/>
    <n v="75"/>
    <s v="Female"/>
    <s v="anna.petrova37@email.ru"/>
    <s v="+7-921-098-76-54"/>
    <d v="2022-11-22T00:00:00"/>
    <d v="2024-01-10T00:00:00"/>
    <n v="83200.25"/>
    <n v="56300.9"/>
    <n v="695"/>
    <n v="124000"/>
    <x v="0"/>
    <x v="0"/>
    <n v="0"/>
    <s v="Active"/>
    <n v="0.45403951612903226"/>
    <n v="5"/>
    <x v="0"/>
    <x v="4"/>
    <x v="0"/>
  </r>
  <r>
    <s v="Liam O'Brien"/>
    <s v="liam_obrien37"/>
    <x v="2"/>
    <x v="11"/>
    <s v="Dublin"/>
    <n v="83"/>
    <s v="Male"/>
    <s v="liam.obrien37@company.ie"/>
    <s v="+353-22-012-3456"/>
    <d v="2021-05-22T00:00:00"/>
    <d v="2024-01-09T00:00:00"/>
    <n v="149200.4"/>
    <n v="104000.6"/>
    <n v="670"/>
    <n v="191000"/>
    <x v="2"/>
    <x v="0"/>
    <n v="0"/>
    <s v="Active"/>
    <n v="0.5445057591623037"/>
    <n v="6"/>
    <x v="0"/>
    <x v="4"/>
    <x v="3"/>
  </r>
  <r>
    <s v="Ying Wang"/>
    <s v="ying_w37"/>
    <x v="0"/>
    <x v="4"/>
    <s v="Shanghai"/>
    <n v="91"/>
    <s v="Female"/>
    <s v="ying.wang37@mail.cn"/>
    <s v="+86-139-9012-3456"/>
    <d v="2020-03-22T00:00:00"/>
    <d v="2024-01-08T00:00:00"/>
    <n v="316100.75"/>
    <n v="121000.8"/>
    <n v="835"/>
    <n v="336000"/>
    <x v="1"/>
    <x v="0"/>
    <n v="0"/>
    <s v="Active"/>
    <n v="0.36012142857142859"/>
    <n v="7"/>
    <x v="1"/>
    <x v="4"/>
    <x v="3"/>
  </r>
  <r>
    <s v="Adeola Yusuf"/>
    <s v="adeola_y37"/>
    <x v="4"/>
    <x v="6"/>
    <s v="Lagos"/>
    <n v="78"/>
    <s v="Female"/>
    <s v="adeola.yusuf37@email.ng"/>
    <s v="+234-850-123-4567"/>
    <d v="2022-10-22T00:00:00"/>
    <d v="2024-01-11T00:00:00"/>
    <n v="91900.6"/>
    <n v="61900.25"/>
    <n v="665"/>
    <n v="144000"/>
    <x v="0"/>
    <x v="0"/>
    <n v="0"/>
    <s v="Active"/>
    <n v="0.42986284722222223"/>
    <n v="4"/>
    <x v="3"/>
    <x v="4"/>
    <x v="2"/>
  </r>
  <r>
    <s v="Marco Bianchi"/>
    <s v="marco_b37"/>
    <x v="3"/>
    <x v="18"/>
    <s v="Rome"/>
    <n v="70"/>
    <s v="Male"/>
    <s v="marco.bianchi37@email.it"/>
    <s v="+39-384-890-1234"/>
    <d v="2024-07-22T00:00:00"/>
    <d v="2024-01-12T00:00:00"/>
    <n v="115200.8"/>
    <n v="69400.399999999994"/>
    <n v="750"/>
    <n v="170000"/>
    <x v="0"/>
    <x v="0"/>
    <n v="0"/>
    <s v="Active"/>
    <n v="0.40823764705882348"/>
    <n v="3"/>
    <x v="2"/>
    <x v="4"/>
    <x v="2"/>
  </r>
  <r>
    <s v="Jennifer Kim"/>
    <s v="jennifer_k37"/>
    <x v="5"/>
    <x v="0"/>
    <s v="Los Angeles"/>
    <n v="66"/>
    <s v="Female"/>
    <s v="jennifer.kim37@email.com"/>
    <s v="+1-310-555-0194"/>
    <d v="2025-01-22T00:00:00"/>
    <d v="2024-01-14T00:00:00"/>
    <n v="54100.9"/>
    <n v="20800.75"/>
    <n v="770"/>
    <n v="101000"/>
    <x v="1"/>
    <x v="0"/>
    <n v="0"/>
    <s v="Active"/>
    <n v="0.20594801980198019"/>
    <n v="1"/>
    <x v="2"/>
    <x v="4"/>
    <x v="0"/>
  </r>
  <r>
    <s v="Rahman Hussain"/>
    <s v="rahman_h37"/>
    <x v="2"/>
    <x v="25"/>
    <s v="Karachi"/>
    <n v="89"/>
    <s v="Male"/>
    <s v="rahman.hussain37@company.pk"/>
    <s v="+92-336-2109876"/>
    <d v="2020-09-22T00:00:00"/>
    <d v="2024-01-08T00:00:00"/>
    <n v="202300.25"/>
    <n v="125000.8"/>
    <n v="645"/>
    <n v="241000"/>
    <x v="2"/>
    <x v="0"/>
    <n v="0"/>
    <s v="Active"/>
    <n v="0.51867551867219919"/>
    <n v="7"/>
    <x v="3"/>
    <x v="4"/>
    <x v="3"/>
  </r>
  <r>
    <s v="Sofia Martinez"/>
    <s v="sofia_m37"/>
    <x v="1"/>
    <x v="14"/>
    <s v="Valencia"/>
    <n v="62"/>
    <s v="Female"/>
    <s v="sofia.martinez37@mail.es"/>
    <s v="+34-659-012-345"/>
    <d v="2025-02-12T00:00:00"/>
    <d v="2024-01-15T00:00:00"/>
    <n v="46200.5"/>
    <n v="20400.400000000001"/>
    <n v="720"/>
    <n v="78000"/>
    <x v="1"/>
    <x v="0"/>
    <n v="0"/>
    <s v="Active"/>
    <n v="0.26154358974358977"/>
    <n v="0"/>
    <x v="0"/>
    <x v="4"/>
    <x v="0"/>
  </r>
  <r>
    <s v="Kenji Sato"/>
    <s v="kenji_sato38"/>
    <x v="6"/>
    <x v="1"/>
    <s v="Tokyo"/>
    <n v="58"/>
    <s v="Male"/>
    <s v="kenji.sato38@edu.jp"/>
    <s v="+81-90-5678-9012"/>
    <d v="2025-02-15T00:00:00"/>
    <d v="2024-01-13T00:00:00"/>
    <n v="5450.8"/>
    <n v="15800.25"/>
    <n v="605"/>
    <n v="54000"/>
    <x v="2"/>
    <x v="1"/>
    <n v="0"/>
    <s v="Active"/>
    <n v="0.29259722222222223"/>
    <n v="2"/>
    <x v="3"/>
    <x v="4"/>
    <x v="1"/>
  </r>
  <r>
    <s v="Fatoumata Bello"/>
    <s v="fatou_b37"/>
    <x v="3"/>
    <x v="19"/>
    <s v="Dakar"/>
    <n v="72"/>
    <s v="Female"/>
    <s v="fatoumata.bello37@email.sn"/>
    <s v="+221-14-890-1234"/>
    <d v="2024-03-22T00:00:00"/>
    <d v="2024-01-11T00:00:00"/>
    <n v="101900.4"/>
    <n v="64100.75"/>
    <n v="710"/>
    <n v="152000"/>
    <x v="0"/>
    <x v="0"/>
    <n v="0"/>
    <s v="Active"/>
    <n v="0.42171546052631581"/>
    <n v="4"/>
    <x v="0"/>
    <x v="4"/>
    <x v="2"/>
  </r>
  <r>
    <s v="David Wilson"/>
    <s v="david_w37"/>
    <x v="2"/>
    <x v="3"/>
    <s v="Manchester"/>
    <n v="86"/>
    <s v="Male"/>
    <s v="david.wilson37@company.co.uk"/>
    <s v="+44-79-1234-5678"/>
    <d v="2021-02-22T00:00:00"/>
    <d v="2024-01-09T00:00:00"/>
    <n v="182500.6"/>
    <n v="118000.25"/>
    <n v="675"/>
    <n v="221000"/>
    <x v="2"/>
    <x v="0"/>
    <n v="0"/>
    <s v="Active"/>
    <n v="0.53393778280542992"/>
    <n v="6"/>
    <x v="0"/>
    <x v="4"/>
    <x v="3"/>
  </r>
  <r>
    <s v="Lina Park"/>
    <s v="lina_park37"/>
    <x v="4"/>
    <x v="17"/>
    <s v="Seoul"/>
    <n v="71"/>
    <s v="Female"/>
    <s v="lina.park37@email.kr"/>
    <s v="+82-10-0123-4567"/>
    <d v="2023-08-22T00:00:00"/>
    <d v="2024-01-10T00:00:00"/>
    <n v="78300.75"/>
    <n v="55200.800000000003"/>
    <n v="725"/>
    <n v="118000"/>
    <x v="0"/>
    <x v="0"/>
    <n v="0"/>
    <s v="Active"/>
    <n v="0.46780338983050851"/>
    <n v="5"/>
    <x v="0"/>
    <x v="4"/>
    <x v="0"/>
  </r>
  <r>
    <s v="Ahmed Al-Mansoori"/>
    <s v="ahmed_alm37"/>
    <x v="5"/>
    <x v="8"/>
    <s v="Dubai"/>
    <n v="69"/>
    <s v="Male"/>
    <s v="ahmed.almansoori37@email.ae"/>
    <s v="+971-50-234-5678"/>
    <d v="2024-11-22T00:00:00"/>
    <d v="2024-01-12T00:00:00"/>
    <n v="56300.4"/>
    <n v="21600.9"/>
    <n v="740"/>
    <n v="104000"/>
    <x v="1"/>
    <x v="0"/>
    <n v="0"/>
    <s v="Active"/>
    <n v="0.20770096153846154"/>
    <n v="3"/>
    <x v="0"/>
    <x v="4"/>
    <x v="0"/>
  </r>
  <r>
    <s v="Maria Costa"/>
    <s v="maria_costa37"/>
    <x v="0"/>
    <x v="5"/>
    <s v="São Paulo"/>
    <n v="92"/>
    <s v="Female"/>
    <s v="maria.costa37@mail.com.br"/>
    <s v="+55-11-99934-5678"/>
    <d v="2019-11-22T00:00:00"/>
    <d v="2024-01-08T00:00:00"/>
    <n v="271400.90000000002"/>
    <n v="108000.6"/>
    <n v="830"/>
    <n v="316000"/>
    <x v="1"/>
    <x v="0"/>
    <n v="0"/>
    <s v="Active"/>
    <n v="0.34177405063291139"/>
    <n v="7"/>
    <x v="1"/>
    <x v="4"/>
    <x v="3"/>
  </r>
  <r>
    <s v="Chinedu Nwankwo"/>
    <s v="chinedu_n37"/>
    <x v="2"/>
    <x v="6"/>
    <s v="Abuja"/>
    <n v="84"/>
    <s v="Male"/>
    <s v="chinedu.nwankwo37@company.ng"/>
    <s v="+234-851-234-5678"/>
    <d v="2021-07-12T00:00:00"/>
    <d v="2024-01-09T00:00:00"/>
    <n v="160300.25"/>
    <n v="110000.4"/>
    <n v="655"/>
    <n v="206000"/>
    <x v="2"/>
    <x v="0"/>
    <n v="0"/>
    <s v="Active"/>
    <n v="0.53398252427184467"/>
    <n v="6"/>
    <x v="3"/>
    <x v="4"/>
    <x v="3"/>
  </r>
  <r>
    <s v="Isabelle Moreau"/>
    <s v="isabelle_m37"/>
    <x v="3"/>
    <x v="9"/>
    <s v="Montreal"/>
    <n v="73"/>
    <s v="Female"/>
    <s v="isabelle.moreau37@email.ca"/>
    <s v="+1-514-555-0194"/>
    <d v="2023-12-22T00:00:00"/>
    <d v="2024-01-11T00:00:00"/>
    <n v="120800.6"/>
    <n v="72100.75"/>
    <n v="760"/>
    <n v="175000"/>
    <x v="0"/>
    <x v="0"/>
    <n v="0"/>
    <s v="Active"/>
    <n v="0.41200428571428571"/>
    <n v="4"/>
    <x v="2"/>
    <x v="4"/>
    <x v="2"/>
  </r>
  <r>
    <s v="Rahman Ali"/>
    <s v="rahman_ali38"/>
    <x v="1"/>
    <x v="36"/>
    <s v="Surabaya"/>
    <n v="64"/>
    <s v="Male"/>
    <s v="rahman.ali38@mail.id"/>
    <s v="+62-848-9012-3456"/>
    <d v="2025-02-08T00:00:00"/>
    <d v="2024-01-15T00:00:00"/>
    <n v="26400.25"/>
    <n v="15700.8"/>
    <n v="695"/>
    <n v="75000"/>
    <x v="0"/>
    <x v="1"/>
    <n v="0"/>
    <s v="Active"/>
    <n v="0.209344"/>
    <n v="0"/>
    <x v="0"/>
    <x v="4"/>
    <x v="0"/>
  </r>
  <r>
    <s v="Sarah Johnson"/>
    <s v="sarah_j37"/>
    <x v="5"/>
    <x v="0"/>
    <s v="Chicago"/>
    <n v="67"/>
    <s v="Female"/>
    <s v="sarah.johnson37@email.com"/>
    <s v="+1-773-555-0198"/>
    <d v="2024-09-22T00:00:00"/>
    <d v="2024-01-12T00:00:00"/>
    <n v="55200.9"/>
    <n v="21200.25"/>
    <n v="755"/>
    <n v="97000"/>
    <x v="1"/>
    <x v="0"/>
    <n v="0"/>
    <s v="Active"/>
    <n v="0.21855927835051547"/>
    <n v="3"/>
    <x v="2"/>
    <x v="4"/>
    <x v="0"/>
  </r>
  <r>
    <s v="Wei Zhang"/>
    <s v="wei_zhang37"/>
    <x v="2"/>
    <x v="4"/>
    <s v="Beijing"/>
    <n v="85"/>
    <s v="Male"/>
    <s v="wei.zhang37@company.cn"/>
    <s v="+86-138-3456-7890"/>
    <d v="2021-04-22T00:00:00"/>
    <d v="2024-01-09T00:00:00"/>
    <n v="193200.4"/>
    <n v="123000.75"/>
    <n v="685"/>
    <n v="231000"/>
    <x v="2"/>
    <x v="0"/>
    <n v="0"/>
    <s v="Active"/>
    <n v="0.53247077922077923"/>
    <n v="6"/>
    <x v="0"/>
    <x v="4"/>
    <x v="3"/>
  </r>
  <r>
    <s v="Anna Kowalski"/>
    <s v="anna_k38"/>
    <x v="4"/>
    <x v="37"/>
    <s v="Warsaw"/>
    <n v="76"/>
    <s v="Female"/>
    <s v="anna.kowalski38@email.pl"/>
    <s v="+48-736-890-123"/>
    <d v="2023-01-22T00:00:00"/>
    <d v="2024-01-10T00:00:00"/>
    <n v="85200.8"/>
    <n v="58300.6"/>
    <n v="715"/>
    <n v="130000"/>
    <x v="0"/>
    <x v="0"/>
    <n v="0"/>
    <s v="Active"/>
    <n v="0.44846615384615385"/>
    <n v="5"/>
    <x v="0"/>
    <x v="4"/>
    <x v="2"/>
  </r>
  <r>
    <s v="Mohammed Rahman"/>
    <s v="m_rahman38"/>
    <x v="3"/>
    <x v="29"/>
    <s v="Chittagong"/>
    <n v="79"/>
    <s v="Male"/>
    <s v="mohammed.rahman38@email.bd"/>
    <s v="+880-1812-012345"/>
    <d v="2022-10-22T00:00:00"/>
    <d v="2024-01-11T00:00:00"/>
    <n v="113000.25"/>
    <n v="68300.399999999994"/>
    <n v="680"/>
    <n v="159000"/>
    <x v="0"/>
    <x v="0"/>
    <n v="0"/>
    <s v="Active"/>
    <n v="0.42956226415094334"/>
    <n v="4"/>
    <x v="0"/>
    <x v="4"/>
    <x v="2"/>
  </r>
  <r>
    <s v="Yumi Tanaka"/>
    <s v="yumi_tanaka37"/>
    <x v="6"/>
    <x v="1"/>
    <s v="Osaka"/>
    <n v="59"/>
    <s v="Female"/>
    <s v="yumi.tanaka37@edu.jp"/>
    <s v="+81-90-6789-0123"/>
    <d v="2025-02-22T00:00:00"/>
    <d v="2024-01-13T00:00:00"/>
    <n v="5550.4"/>
    <n v="16400.75"/>
    <n v="610"/>
    <n v="55000"/>
    <x v="2"/>
    <x v="1"/>
    <n v="0"/>
    <s v="Active"/>
    <n v="0.29819545454545454"/>
    <n v="2"/>
    <x v="3"/>
    <x v="4"/>
    <x v="1"/>
  </r>
  <r>
    <s v="Carlos Mendez"/>
    <s v="carlos_m37"/>
    <x v="0"/>
    <x v="13"/>
    <s v="Mexico City"/>
    <n v="91"/>
    <s v="Male"/>
    <s v="carlos.mendez37@mail.mx"/>
    <s v="+52-55-0123-0123"/>
    <d v="2020-06-22T00:00:00"/>
    <d v="2024-01-08T00:00:00"/>
    <n v="291200.8"/>
    <n v="114000.25"/>
    <n v="825"/>
    <n v="311000"/>
    <x v="1"/>
    <x v="0"/>
    <n v="0"/>
    <s v="Active"/>
    <n v="0.36656028938906754"/>
    <n v="7"/>
    <x v="1"/>
    <x v="4"/>
    <x v="3"/>
  </r>
  <r>
    <s v="Aisha Mohammed"/>
    <s v="aisha_m38"/>
    <x v="5"/>
    <x v="16"/>
    <s v="Nairobi"/>
    <n v="66"/>
    <s v="Female"/>
    <s v="aisha.mohammed38@email.ke"/>
    <s v="+254-760-123-456"/>
    <d v="2025-03-22T00:00:00"/>
    <d v="2024-01-14T00:00:00"/>
    <n v="51900.75"/>
    <n v="19600.400000000001"/>
    <n v="725"/>
    <n v="87000"/>
    <x v="1"/>
    <x v="0"/>
    <n v="0"/>
    <s v="Active"/>
    <n v="0.22529195402298852"/>
    <n v="1"/>
    <x v="0"/>
    <x v="4"/>
    <x v="0"/>
  </r>
  <r>
    <s v="David Chen"/>
    <s v="david_chen38"/>
    <x v="2"/>
    <x v="23"/>
    <s v="Singapore"/>
    <n v="83"/>
    <s v="Male"/>
    <s v="david.chen38@company.sg"/>
    <s v="+65-1990-1234"/>
    <d v="2021-10-12T00:00:00"/>
    <d v="2024-01-09T00:00:00"/>
    <n v="171400.6"/>
    <n v="114000.9"/>
    <n v="675"/>
    <n v="211000"/>
    <x v="2"/>
    <x v="0"/>
    <n v="0"/>
    <s v="Active"/>
    <n v="0.54028862559241708"/>
    <n v="6"/>
    <x v="0"/>
    <x v="4"/>
    <x v="3"/>
  </r>
  <r>
    <s v="Maria Papadopoulos"/>
    <s v="maria_p38"/>
    <x v="4"/>
    <x v="38"/>
    <s v="Athens"/>
    <n v="74"/>
    <s v="Female"/>
    <s v="maria.papadopoulos38@email.gr"/>
    <s v="+30-728-901-2345"/>
    <d v="2023-11-22T00:00:00"/>
    <d v="2024-01-11T00:00:00"/>
    <n v="79400.399999999994"/>
    <n v="54100.25"/>
    <n v="705"/>
    <n v="119000"/>
    <x v="0"/>
    <x v="0"/>
    <n v="0"/>
    <s v="Active"/>
    <n v="0.45462394957983193"/>
    <n v="4"/>
    <x v="0"/>
    <x v="4"/>
    <x v="0"/>
  </r>
  <r>
    <s v="James Wilson"/>
    <s v="j_wilson38"/>
    <x v="3"/>
    <x v="26"/>
    <s v="Sydney"/>
    <n v="77"/>
    <s v="Male"/>
    <s v="james.wilson38@email.au"/>
    <s v="+61-460-123-456"/>
    <d v="2022-06-22T00:00:00"/>
    <d v="2024-01-10T00:00:00"/>
    <n v="124100.75"/>
    <n v="75200.800000000003"/>
    <n v="730"/>
    <n v="185000"/>
    <x v="0"/>
    <x v="0"/>
    <n v="0"/>
    <s v="Active"/>
    <n v="0.40649081081081084"/>
    <n v="5"/>
    <x v="0"/>
    <x v="4"/>
    <x v="2"/>
  </r>
  <r>
    <s v="Fatima Zahra"/>
    <s v="f_zahra38"/>
    <x v="1"/>
    <x v="25"/>
    <s v="Lahore"/>
    <n v="62"/>
    <s v="Female"/>
    <s v="fatima.zahra38@mail.pk"/>
    <s v="+92-358-1098765"/>
    <d v="2025-02-15T00:00:00"/>
    <d v="2024-01-15T00:00:00"/>
    <n v="22200.9"/>
    <n v="12500.75"/>
    <n v="685"/>
    <n v="72000"/>
    <x v="0"/>
    <x v="1"/>
    <n v="0"/>
    <s v="Active"/>
    <n v="0.17362152777777778"/>
    <n v="0"/>
    <x v="0"/>
    <x v="4"/>
    <x v="1"/>
  </r>
  <r>
    <s v="Kenji Yamada"/>
    <s v="kenji_y38"/>
    <x v="0"/>
    <x v="1"/>
    <s v="Tokyo"/>
    <n v="94"/>
    <s v="Male"/>
    <s v="kenji.yamada38@mail.jp"/>
    <s v="+81-80-8901-2345"/>
    <d v="2019-09-22T00:00:00"/>
    <d v="2024-01-08T00:00:00"/>
    <n v="302100.25"/>
    <n v="118000.4"/>
    <n v="840"/>
    <n v="326000"/>
    <x v="1"/>
    <x v="0"/>
    <n v="0"/>
    <s v="Active"/>
    <n v="0.36196441717791411"/>
    <n v="7"/>
    <x v="1"/>
    <x v="4"/>
    <x v="3"/>
  </r>
  <r>
    <s v="Ngozi Eze"/>
    <s v="ngozi_e38"/>
    <x v="2"/>
    <x v="6"/>
    <s v="Lagos"/>
    <n v="86"/>
    <s v="Female"/>
    <s v="ngozi.eze38@company.ng"/>
    <s v="+234-850-123-4567"/>
    <d v="2021-02-22T00:00:00"/>
    <d v="2024-01-09T00:00:00"/>
    <n v="182500.4"/>
    <n v="118000.75"/>
    <n v="650"/>
    <n v="221000"/>
    <x v="2"/>
    <x v="0"/>
    <n v="0"/>
    <s v="Active"/>
    <n v="0.53394004524886873"/>
    <n v="6"/>
    <x v="3"/>
    <x v="4"/>
    <x v="3"/>
  </r>
  <r>
    <s v="Thomas Schmidt"/>
    <s v="thomas_s38"/>
    <x v="3"/>
    <x v="7"/>
    <s v="Berlin"/>
    <n v="73"/>
    <s v="Male"/>
    <s v="thomas.schmidt38@email.de"/>
    <s v="+49-212-3456789"/>
    <d v="2024-06-22T00:00:00"/>
    <d v="2024-01-12T00:00:00"/>
    <n v="112900.4"/>
    <n v="69400.25"/>
    <n v="745"/>
    <n v="165000"/>
    <x v="0"/>
    <x v="0"/>
    <n v="0"/>
    <s v="Active"/>
    <n v="0.42060757575757574"/>
    <n v="3"/>
    <x v="0"/>
    <x v="4"/>
    <x v="2"/>
  </r>
  <r>
    <s v="Lina Chen"/>
    <s v="lina_c38"/>
    <x v="5"/>
    <x v="4"/>
    <s v="Beijing"/>
    <n v="68"/>
    <s v="Female"/>
    <s v="lina.chen38@mail.cn"/>
    <s v="+86-137-3456-7890"/>
    <d v="2024-12-22T00:00:00"/>
    <d v="2024-01-11T00:00:00"/>
    <n v="54100.800000000003"/>
    <n v="20800.900000000001"/>
    <n v="765"/>
    <n v="97000"/>
    <x v="1"/>
    <x v="0"/>
    <n v="0"/>
    <s v="Active"/>
    <n v="0.21444226804123712"/>
    <n v="4"/>
    <x v="2"/>
    <x v="4"/>
    <x v="0"/>
  </r>
  <r>
    <s v="Ahmed Hassan"/>
    <s v="ahmed_h38"/>
    <x v="4"/>
    <x v="20"/>
    <s v="Cairo"/>
    <n v="81"/>
    <s v="Male"/>
    <s v="ahmed.hassan38@email.eg"/>
    <s v="+20-122-210-9876"/>
    <d v="2022-12-22T00:00:00"/>
    <d v="2024-01-10T00:00:00"/>
    <n v="87400.75"/>
    <n v="60500.4"/>
    <n v="675"/>
    <n v="137000"/>
    <x v="0"/>
    <x v="0"/>
    <n v="0"/>
    <s v="Active"/>
    <n v="0.44160875912408759"/>
    <n v="5"/>
    <x v="0"/>
    <x v="4"/>
    <x v="2"/>
  </r>
  <r>
    <s v="Sophie Martin"/>
    <s v="sophie_m38"/>
    <x v="6"/>
    <x v="10"/>
    <s v="Paris"/>
    <n v="60"/>
    <s v="Female"/>
    <s v="sophie.martin38@edu.fr"/>
    <s v="+33-6-0123-4567"/>
    <d v="2025-02-28T00:00:00"/>
    <d v="2024-01-13T00:00:00"/>
    <n v="5800.25"/>
    <n v="17600.599999999999"/>
    <n v="615"/>
    <n v="57000"/>
    <x v="2"/>
    <x v="1"/>
    <n v="0"/>
    <s v="Active"/>
    <n v="0.30878245614035083"/>
    <n v="2"/>
    <x v="3"/>
    <x v="4"/>
    <x v="1"/>
  </r>
  <r>
    <s v="Raj Kumar"/>
    <s v="raj_kumar38"/>
    <x v="2"/>
    <x v="2"/>
    <s v="Delhi"/>
    <n v="88"/>
    <s v="Male"/>
    <s v="raj.kumar38@company.in"/>
    <s v="+91-987-654-3210"/>
    <d v="2021-01-22T00:00:00"/>
    <d v="2024-01-08T00:00:00"/>
    <n v="217100.79999999999"/>
    <n v="131000.25"/>
    <n v="660"/>
    <n v="256000"/>
    <x v="2"/>
    <x v="0"/>
    <n v="0"/>
    <s v="Active"/>
    <n v="0.51171972656249998"/>
    <n v="7"/>
    <x v="3"/>
    <x v="4"/>
    <x v="3"/>
  </r>
  <r>
    <s v="Maria Gonzalez"/>
    <s v="maria_g39"/>
    <x v="3"/>
    <x v="13"/>
    <s v="Guadalajara"/>
    <n v="75"/>
    <s v="Female"/>
    <s v="maria.gonzalez39@email.mx"/>
    <s v="+52-33-1234-0123"/>
    <d v="2023-05-22T00:00:00"/>
    <d v="2024-01-11T00:00:00"/>
    <n v="108500.9"/>
    <n v="66300.75"/>
    <n v="730"/>
    <n v="160000"/>
    <x v="0"/>
    <x v="0"/>
    <n v="0"/>
    <s v="Active"/>
    <n v="0.41437968749999998"/>
    <n v="4"/>
    <x v="0"/>
    <x v="4"/>
    <x v="2"/>
  </r>
  <r>
    <s v="Yuki Kobayashi"/>
    <s v="yuki_k38"/>
    <x v="1"/>
    <x v="1"/>
    <s v="Osaka"/>
    <n v="64"/>
    <s v="Female"/>
    <s v="yuki.kobayashi38@mail.jp"/>
    <s v="+81-90-6789-0123"/>
    <d v="2025-02-22T00:00:00"/>
    <d v="2024-01-14T00:00:00"/>
    <n v="23300.400000000001"/>
    <n v="12600.25"/>
    <n v="705"/>
    <n v="74000"/>
    <x v="0"/>
    <x v="1"/>
    <n v="0"/>
    <s v="Active"/>
    <n v="0.17027364864864866"/>
    <n v="1"/>
    <x v="0"/>
    <x v="4"/>
    <x v="1"/>
  </r>
  <r>
    <s v="Kwame Asante"/>
    <s v="kwame_a38"/>
    <x v="5"/>
    <x v="15"/>
    <s v="Accra"/>
    <n v="69"/>
    <s v="Male"/>
    <s v="kwame.asante38@email.gh"/>
    <s v="+233-91-234-5678"/>
    <d v="2024-11-22T00:00:00"/>
    <d v="2024-01-12T00:00:00"/>
    <n v="53000.6"/>
    <n v="20200.8"/>
    <n v="710"/>
    <n v="90000"/>
    <x v="1"/>
    <x v="0"/>
    <n v="0"/>
    <s v="Active"/>
    <n v="0.22445333333333334"/>
    <n v="3"/>
    <x v="0"/>
    <x v="4"/>
    <x v="0"/>
  </r>
  <r>
    <s v="Anna Petrova"/>
    <s v="anna_p38"/>
    <x v="4"/>
    <x v="12"/>
    <s v="St. Petersburg"/>
    <n v="76"/>
    <s v="Female"/>
    <s v="anna.petrova38@email.ru"/>
    <s v="+7-921-987-65-43"/>
    <d v="2022-12-22T00:00:00"/>
    <d v="2024-01-10T00:00:00"/>
    <n v="84300.25"/>
    <n v="57400.9"/>
    <n v="695"/>
    <n v="125000"/>
    <x v="0"/>
    <x v="0"/>
    <n v="0"/>
    <s v="Active"/>
    <n v="0.45920720000000004"/>
    <n v="5"/>
    <x v="0"/>
    <x v="4"/>
    <x v="0"/>
  </r>
  <r>
    <s v="Liam O'Brien"/>
    <s v="liam_obrien38"/>
    <x v="2"/>
    <x v="11"/>
    <s v="Cork"/>
    <n v="84"/>
    <s v="Male"/>
    <s v="liam.obrien38@company.ie"/>
    <s v="+353-23-123-4567"/>
    <d v="2021-06-22T00:00:00"/>
    <d v="2024-01-09T00:00:00"/>
    <n v="149300.4"/>
    <n v="105000.6"/>
    <n v="670"/>
    <n v="192000"/>
    <x v="2"/>
    <x v="0"/>
    <n v="0"/>
    <s v="Active"/>
    <n v="0.54687812499999999"/>
    <n v="6"/>
    <x v="0"/>
    <x v="4"/>
    <x v="3"/>
  </r>
  <r>
    <s v="Ying Wang"/>
    <s v="ying_w38"/>
    <x v="0"/>
    <x v="4"/>
    <s v="Shanghai"/>
    <n v="92"/>
    <s v="Female"/>
    <s v="ying.wang38@mail.cn"/>
    <s v="+86-139-0123-4567"/>
    <d v="2020-04-22T00:00:00"/>
    <d v="2024-01-08T00:00:00"/>
    <n v="316200.75"/>
    <n v="122000.8"/>
    <n v="835"/>
    <n v="337000"/>
    <x v="1"/>
    <x v="0"/>
    <n v="0"/>
    <s v="Active"/>
    <n v="0.36202017804154302"/>
    <n v="7"/>
    <x v="1"/>
    <x v="4"/>
    <x v="3"/>
  </r>
  <r>
    <s v="Adeola Yusuf"/>
    <s v="adeola_y38"/>
    <x v="4"/>
    <x v="6"/>
    <s v="Port Harcourt"/>
    <n v="79"/>
    <s v="Female"/>
    <s v="adeola.yusuf38@email.ng"/>
    <s v="+234-851-234-5678"/>
    <d v="2022-11-22T00:00:00"/>
    <d v="2024-01-11T00:00:00"/>
    <n v="93000.6"/>
    <n v="63000.25"/>
    <n v="665"/>
    <n v="145000"/>
    <x v="0"/>
    <x v="0"/>
    <n v="0"/>
    <s v="Active"/>
    <n v="0.43448448275862067"/>
    <n v="4"/>
    <x v="3"/>
    <x v="4"/>
    <x v="2"/>
  </r>
  <r>
    <s v="Marco Bianchi"/>
    <s v="marco_b38"/>
    <x v="3"/>
    <x v="18"/>
    <s v="Milan"/>
    <n v="71"/>
    <s v="Male"/>
    <s v="marco.bianchi38@email.it"/>
    <s v="+39-385-901-2345"/>
    <d v="2024-08-22T00:00:00"/>
    <d v="2024-01-12T00:00:00"/>
    <n v="116300.8"/>
    <n v="70500.399999999994"/>
    <n v="750"/>
    <n v="171000"/>
    <x v="0"/>
    <x v="0"/>
    <n v="0"/>
    <s v="Active"/>
    <n v="0.41228304093567247"/>
    <n v="3"/>
    <x v="2"/>
    <x v="4"/>
    <x v="2"/>
  </r>
  <r>
    <s v="Jennifer Kim"/>
    <s v="jennifer_k38"/>
    <x v="5"/>
    <x v="0"/>
    <s v="San Francisco"/>
    <n v="67"/>
    <s v="Female"/>
    <s v="jennifer.kim38@email.com"/>
    <s v="+1-415-555-0198"/>
    <d v="2025-02-22T00:00:00"/>
    <d v="2024-01-14T00:00:00"/>
    <n v="55200.9"/>
    <n v="21200.75"/>
    <n v="770"/>
    <n v="102000"/>
    <x v="1"/>
    <x v="0"/>
    <n v="0"/>
    <s v="Active"/>
    <n v="0.20785049019607843"/>
    <n v="1"/>
    <x v="2"/>
    <x v="4"/>
    <x v="0"/>
  </r>
  <r>
    <s v="Rahman Hussain"/>
    <s v="rahman_h38"/>
    <x v="2"/>
    <x v="25"/>
    <s v="Islamabad"/>
    <n v="90"/>
    <s v="Male"/>
    <s v="rahman.hussain38@company.pk"/>
    <s v="+92-337-1098765"/>
    <d v="2020-10-22T00:00:00"/>
    <d v="2024-01-08T00:00:00"/>
    <n v="202400.25"/>
    <n v="126000.8"/>
    <n v="645"/>
    <n v="242000"/>
    <x v="2"/>
    <x v="0"/>
    <n v="0"/>
    <s v="Active"/>
    <n v="0.52066446280991741"/>
    <n v="7"/>
    <x v="3"/>
    <x v="4"/>
    <x v="3"/>
  </r>
  <r>
    <s v="Sofia Martinez"/>
    <s v="sofia_m38"/>
    <x v="1"/>
    <x v="14"/>
    <s v="Barcelona"/>
    <n v="63"/>
    <s v="Female"/>
    <s v="sofia.martinez38@mail.es"/>
    <s v="+34-660-123-456"/>
    <d v="2025-02-28T00:00:00"/>
    <d v="2024-01-15T00:00:00"/>
    <n v="47200.5"/>
    <n v="20800.400000000001"/>
    <n v="720"/>
    <n v="79000"/>
    <x v="1"/>
    <x v="0"/>
    <n v="0"/>
    <s v="Active"/>
    <n v="0.2632962025316456"/>
    <n v="0"/>
    <x v="0"/>
    <x v="4"/>
    <x v="0"/>
  </r>
  <r>
    <s v="Kenji Sato"/>
    <s v="kenji_sato39"/>
    <x v="6"/>
    <x v="1"/>
    <s v="Tokyo"/>
    <n v="59"/>
    <s v="Male"/>
    <s v="kenji.sato39@edu.jp"/>
    <s v="+81-90-6789-0123"/>
    <d v="2025-02-28T00:00:00"/>
    <d v="2024-01-13T00:00:00"/>
    <n v="5550.8"/>
    <n v="16000.25"/>
    <n v="605"/>
    <n v="55000"/>
    <x v="2"/>
    <x v="1"/>
    <n v="0"/>
    <s v="Active"/>
    <n v="0.29091363636363637"/>
    <n v="2"/>
    <x v="3"/>
    <x v="4"/>
    <x v="1"/>
  </r>
  <r>
    <s v="Fatoumata Bello"/>
    <s v="fatou_b38"/>
    <x v="3"/>
    <x v="19"/>
    <s v="Dakar"/>
    <n v="73"/>
    <s v="Female"/>
    <s v="fatoumata.bello38@email.sn"/>
    <s v="+221-15-901-2345"/>
    <d v="2024-04-22T00:00:00"/>
    <d v="2024-01-11T00:00:00"/>
    <n v="103000.4"/>
    <n v="65200.75"/>
    <n v="710"/>
    <n v="153000"/>
    <x v="0"/>
    <x v="0"/>
    <n v="0"/>
    <s v="Active"/>
    <n v="0.42614869281045753"/>
    <n v="4"/>
    <x v="0"/>
    <x v="4"/>
    <x v="2"/>
  </r>
  <r>
    <s v="David Wilson"/>
    <s v="david_w38"/>
    <x v="2"/>
    <x v="3"/>
    <s v="London"/>
    <n v="87"/>
    <s v="Male"/>
    <s v="david.wilson38@company.co.uk"/>
    <s v="+44-79-2345-6789"/>
    <d v="2021-03-22T00:00:00"/>
    <d v="2024-01-09T00:00:00"/>
    <n v="182600.6"/>
    <n v="119000.25"/>
    <n v="675"/>
    <n v="222000"/>
    <x v="2"/>
    <x v="0"/>
    <n v="0"/>
    <s v="Active"/>
    <n v="0.53603716216216213"/>
    <n v="6"/>
    <x v="0"/>
    <x v="4"/>
    <x v="3"/>
  </r>
  <r>
    <s v="Lina Park"/>
    <s v="lina_park38"/>
    <x v="4"/>
    <x v="17"/>
    <s v="Busan"/>
    <n v="72"/>
    <s v="Female"/>
    <s v="lina.park38@email.kr"/>
    <s v="+82-10-1234-5678"/>
    <d v="2023-09-22T00:00:00"/>
    <d v="2024-01-10T00:00:00"/>
    <n v="79400.75"/>
    <n v="56300.800000000003"/>
    <n v="725"/>
    <n v="119000"/>
    <x v="0"/>
    <x v="0"/>
    <n v="0"/>
    <s v="Active"/>
    <n v="0.47311596638655462"/>
    <n v="5"/>
    <x v="0"/>
    <x v="4"/>
    <x v="0"/>
  </r>
  <r>
    <s v="Ahmed Al-Mansoori"/>
    <s v="ahmed_alm38"/>
    <x v="5"/>
    <x v="8"/>
    <s v="Abu Dhabi"/>
    <n v="70"/>
    <s v="Male"/>
    <s v="ahmed.almansoori38@email.ae"/>
    <s v="+971-50-345-6789"/>
    <d v="2024-12-22T00:00:00"/>
    <d v="2024-01-12T00:00:00"/>
    <n v="57400.4"/>
    <n v="22000.9"/>
    <n v="740"/>
    <n v="105000"/>
    <x v="1"/>
    <x v="0"/>
    <n v="0"/>
    <s v="Active"/>
    <n v="0.20953238095238097"/>
    <n v="3"/>
    <x v="0"/>
    <x v="4"/>
    <x v="0"/>
  </r>
  <r>
    <s v="Maria Costa"/>
    <s v="maria_costa38"/>
    <x v="0"/>
    <x v="5"/>
    <s v="Rio de Janeiro"/>
    <n v="93"/>
    <s v="Female"/>
    <s v="maria.costa38@mail.com.br"/>
    <s v="+55-21-99945-6789"/>
    <d v="2019-12-22T00:00:00"/>
    <d v="2024-01-08T00:00:00"/>
    <n v="271500.90000000002"/>
    <n v="109000.6"/>
    <n v="830"/>
    <n v="317000"/>
    <x v="1"/>
    <x v="0"/>
    <n v="0"/>
    <s v="Active"/>
    <n v="0.34385047318611989"/>
    <n v="7"/>
    <x v="1"/>
    <x v="4"/>
    <x v="3"/>
  </r>
  <r>
    <s v="Chinedu Nwankwo"/>
    <s v="chinedu_n38"/>
    <x v="2"/>
    <x v="6"/>
    <s v="Abuja"/>
    <n v="85"/>
    <s v="Male"/>
    <s v="chinedu.nwankwo38@company.ng"/>
    <s v="+234-852-345-6789"/>
    <d v="2021-08-12T00:00:00"/>
    <d v="2024-01-09T00:00:00"/>
    <n v="160400.25"/>
    <n v="111000.4"/>
    <n v="655"/>
    <n v="207000"/>
    <x v="2"/>
    <x v="0"/>
    <n v="0"/>
    <s v="Active"/>
    <n v="0.53623381642512069"/>
    <n v="6"/>
    <x v="3"/>
    <x v="4"/>
    <x v="3"/>
  </r>
  <r>
    <s v="Isabelle Moreau"/>
    <s v="isabelle_m38"/>
    <x v="3"/>
    <x v="9"/>
    <s v="Vancouver"/>
    <n v="74"/>
    <s v="Female"/>
    <s v="isabelle.moreau38@email.ca"/>
    <s v="+1-604-555-0194"/>
    <d v="2024-01-22T00:00:00"/>
    <d v="2024-01-11T00:00:00"/>
    <n v="121900.6"/>
    <n v="73200.75"/>
    <n v="760"/>
    <n v="176000"/>
    <x v="0"/>
    <x v="0"/>
    <n v="0"/>
    <s v="Active"/>
    <n v="0.4159133522727273"/>
    <n v="4"/>
    <x v="2"/>
    <x v="4"/>
    <x v="2"/>
  </r>
  <r>
    <s v="Rahman Ali"/>
    <s v="rahman_ali39"/>
    <x v="1"/>
    <x v="36"/>
    <s v="Jakarta"/>
    <n v="65"/>
    <s v="Male"/>
    <s v="rahman.ali39@mail.id"/>
    <s v="+62-849-0123-4567"/>
    <d v="2025-02-28T00:00:00"/>
    <d v="2024-01-15T00:00:00"/>
    <n v="26900.25"/>
    <n v="16000.8"/>
    <n v="695"/>
    <n v="76000"/>
    <x v="0"/>
    <x v="1"/>
    <n v="0"/>
    <s v="Active"/>
    <n v="0.21053684210526316"/>
    <n v="0"/>
    <x v="0"/>
    <x v="4"/>
    <x v="0"/>
  </r>
  <r>
    <s v="Sarah Johnson"/>
    <s v="sarah_j38"/>
    <x v="5"/>
    <x v="0"/>
    <s v="New York"/>
    <n v="68"/>
    <s v="Female"/>
    <s v="sarah.johnson38@email.com"/>
    <s v="+1-646-555-0194"/>
    <d v="2024-10-22T00:00:00"/>
    <d v="2024-01-12T00:00:00"/>
    <n v="56300.9"/>
    <n v="21600.25"/>
    <n v="755"/>
    <n v="98000"/>
    <x v="1"/>
    <x v="0"/>
    <n v="0"/>
    <s v="Active"/>
    <n v="0.22041071428571429"/>
    <n v="3"/>
    <x v="2"/>
    <x v="4"/>
    <x v="0"/>
  </r>
  <r>
    <s v="Wei Zhang"/>
    <s v="wei_zhang38"/>
    <x v="2"/>
    <x v="4"/>
    <s v="Beijing"/>
    <n v="86"/>
    <s v="Male"/>
    <s v="wei.zhang38@company.cn"/>
    <s v="+86-138-4567-8901"/>
    <d v="2021-05-22T00:00:00"/>
    <d v="2024-01-09T00:00:00"/>
    <n v="193300.4"/>
    <n v="124000.75"/>
    <n v="685"/>
    <n v="232000"/>
    <x v="2"/>
    <x v="0"/>
    <n v="0"/>
    <s v="Active"/>
    <n v="0.5344859913793103"/>
    <n v="6"/>
    <x v="0"/>
    <x v="4"/>
    <x v="3"/>
  </r>
  <r>
    <s v="Anna Kowalski"/>
    <s v="anna_k39"/>
    <x v="4"/>
    <x v="37"/>
    <s v="Warsaw"/>
    <n v="77"/>
    <s v="Female"/>
    <s v="anna.kowalski39@email.pl"/>
    <s v="+48-737-901-234"/>
    <d v="2023-02-22T00:00:00"/>
    <d v="2024-01-10T00:00:00"/>
    <n v="86300.800000000003"/>
    <n v="59400.6"/>
    <n v="715"/>
    <n v="131000"/>
    <x v="0"/>
    <x v="0"/>
    <n v="0"/>
    <s v="Active"/>
    <n v="0.45343969465648853"/>
    <n v="5"/>
    <x v="0"/>
    <x v="4"/>
    <x v="2"/>
  </r>
  <r>
    <s v="Mohammed Rahman"/>
    <s v="m_rahman39"/>
    <x v="3"/>
    <x v="29"/>
    <s v="Chittagong"/>
    <n v="80"/>
    <s v="Male"/>
    <s v="mohammed.rahman39@email.bd"/>
    <s v="+880-1812-123456"/>
    <d v="2022-11-22T00:00:00"/>
    <d v="2024-01-11T00:00:00"/>
    <n v="114100.25"/>
    <n v="69400.399999999994"/>
    <n v="680"/>
    <n v="160000"/>
    <x v="0"/>
    <x v="0"/>
    <n v="0"/>
    <s v="Active"/>
    <n v="0.43375249999999999"/>
    <n v="4"/>
    <x v="0"/>
    <x v="4"/>
    <x v="2"/>
  </r>
  <r>
    <s v="Yumi Tanaka"/>
    <s v="yumi_tanaka38"/>
    <x v="6"/>
    <x v="1"/>
    <s v="Osaka"/>
    <n v="60"/>
    <s v="Female"/>
    <s v="yumi.tanaka38@edu.jp"/>
    <s v="+81-90-7890-1234"/>
    <d v="2025-03-05T00:00:00"/>
    <d v="2024-01-13T00:00:00"/>
    <n v="5650.4"/>
    <n v="16600.75"/>
    <n v="610"/>
    <n v="56000"/>
    <x v="2"/>
    <x v="1"/>
    <n v="0"/>
    <s v="Active"/>
    <n v="0.29644196428571429"/>
    <n v="2"/>
    <x v="3"/>
    <x v="4"/>
    <x v="1"/>
  </r>
  <r>
    <s v="Carlos Mendez"/>
    <s v="carlos_m38"/>
    <x v="0"/>
    <x v="13"/>
    <s v="Mexico City"/>
    <n v="92"/>
    <s v="Male"/>
    <s v="carlos.mendez38@mail.mx"/>
    <s v="+52-55-1234-0123"/>
    <d v="2020-07-22T00:00:00"/>
    <d v="2024-01-08T00:00:00"/>
    <n v="291300.8"/>
    <n v="115000.25"/>
    <n v="825"/>
    <n v="312000"/>
    <x v="1"/>
    <x v="0"/>
    <n v="0"/>
    <s v="Active"/>
    <n v="0.36859054487179488"/>
    <n v="7"/>
    <x v="1"/>
    <x v="4"/>
    <x v="3"/>
  </r>
  <r>
    <s v="Aisha Mohammed"/>
    <s v="aisha_m39"/>
    <x v="5"/>
    <x v="16"/>
    <s v="Mombasa"/>
    <n v="67"/>
    <s v="Female"/>
    <s v="aisha.mohammed39@email.ke"/>
    <s v="+254-761-234-567"/>
    <d v="2025-04-22T00:00:00"/>
    <d v="2024-01-14T00:00:00"/>
    <n v="53000.75"/>
    <n v="20000.400000000001"/>
    <n v="725"/>
    <n v="88000"/>
    <x v="1"/>
    <x v="0"/>
    <n v="0"/>
    <s v="Active"/>
    <n v="0.22727727272727274"/>
    <n v="1"/>
    <x v="0"/>
    <x v="4"/>
    <x v="0"/>
  </r>
  <r>
    <s v="David Chen"/>
    <s v="david_chen39"/>
    <x v="2"/>
    <x v="23"/>
    <s v="Singapore"/>
    <n v="84"/>
    <s v="Male"/>
    <s v="david.chen39@company.sg"/>
    <s v="+65-2090-1234"/>
    <d v="2021-11-12T00:00:00"/>
    <d v="2024-01-09T00:00:00"/>
    <n v="171500.6"/>
    <n v="115000.9"/>
    <n v="675"/>
    <n v="212000"/>
    <x v="2"/>
    <x v="0"/>
    <n v="0"/>
    <s v="Active"/>
    <n v="0.54245707547169808"/>
    <n v="6"/>
    <x v="0"/>
    <x v="4"/>
    <x v="3"/>
  </r>
  <r>
    <s v="Maria Papadopoulos"/>
    <s v="maria_p39"/>
    <x v="4"/>
    <x v="38"/>
    <s v="Athens"/>
    <n v="75"/>
    <s v="Female"/>
    <s v="maria.papadopoulos39@email.gr"/>
    <s v="+30-729-012-3456"/>
    <d v="2023-12-22T00:00:00"/>
    <d v="2024-01-11T00:00:00"/>
    <n v="80500.399999999994"/>
    <n v="55200.25"/>
    <n v="705"/>
    <n v="120000"/>
    <x v="0"/>
    <x v="0"/>
    <n v="0"/>
    <s v="Active"/>
    <n v="0.46000208333333331"/>
    <n v="4"/>
    <x v="0"/>
    <x v="4"/>
    <x v="0"/>
  </r>
  <r>
    <s v="James Wilson"/>
    <s v="j_wilson39"/>
    <x v="3"/>
    <x v="26"/>
    <s v="Sydney"/>
    <n v="78"/>
    <s v="Male"/>
    <s v="james.wilson39@email.au"/>
    <s v="+61-461-234-567"/>
    <d v="2022-07-22T00:00:00"/>
    <d v="2024-01-10T00:00:00"/>
    <n v="125100.75"/>
    <n v="76300.800000000003"/>
    <n v="730"/>
    <n v="186000"/>
    <x v="0"/>
    <x v="0"/>
    <n v="0"/>
    <s v="Active"/>
    <n v="0.41021935483870969"/>
    <n v="5"/>
    <x v="0"/>
    <x v="4"/>
    <x v="2"/>
  </r>
  <r>
    <s v="Fatima Zahra"/>
    <s v="f_zahra39"/>
    <x v="1"/>
    <x v="25"/>
    <s v="Karachi"/>
    <n v="63"/>
    <s v="Female"/>
    <s v="fatima.zahra39@mail.pk"/>
    <s v="+92-359-0987654"/>
    <d v="2025-02-28T00:00:00"/>
    <d v="2024-01-15T00:00:00"/>
    <n v="22600.9"/>
    <n v="12700.75"/>
    <n v="685"/>
    <n v="73000"/>
    <x v="0"/>
    <x v="1"/>
    <n v="0"/>
    <s v="Active"/>
    <n v="0.17398287671232876"/>
    <n v="0"/>
    <x v="0"/>
    <x v="4"/>
    <x v="1"/>
  </r>
  <r>
    <s v="Kenji Yamada"/>
    <s v="kenji_y39"/>
    <x v="0"/>
    <x v="1"/>
    <s v="Tokyo"/>
    <n v="95"/>
    <s v="Male"/>
    <s v="kenji.yamada39@mail.jp"/>
    <s v="+81-80-9012-3456"/>
    <d v="2019-10-22T00:00:00"/>
    <d v="2024-01-08T00:00:00"/>
    <n v="302200.25"/>
    <n v="119000.4"/>
    <n v="840"/>
    <n v="327000"/>
    <x v="1"/>
    <x v="0"/>
    <n v="0"/>
    <s v="Active"/>
    <n v="0.3639155963302752"/>
    <n v="7"/>
    <x v="1"/>
    <x v="4"/>
    <x v="3"/>
  </r>
  <r>
    <s v="Ngozi Eze"/>
    <s v="ngozi_e39"/>
    <x v="2"/>
    <x v="6"/>
    <s v="Lagos"/>
    <n v="87"/>
    <s v="Female"/>
    <s v="ngozi.eze39@company.ng"/>
    <s v="+234-851-234-5678"/>
    <d v="2021-03-22T00:00:00"/>
    <d v="2024-01-09T00:00:00"/>
    <n v="182600.4"/>
    <n v="119000.75"/>
    <n v="650"/>
    <n v="222000"/>
    <x v="2"/>
    <x v="0"/>
    <n v="0"/>
    <s v="Active"/>
    <n v="0.53603941441441438"/>
    <n v="6"/>
    <x v="3"/>
    <x v="4"/>
    <x v="3"/>
  </r>
  <r>
    <s v="Thomas Schmidt"/>
    <s v="thomas_s39"/>
    <x v="3"/>
    <x v="7"/>
    <s v="Hamburg"/>
    <n v="74"/>
    <s v="Male"/>
    <s v="thomas.schmidt39@email.de"/>
    <s v="+49-213-4567890"/>
    <d v="2024-07-22T00:00:00"/>
    <d v="2024-01-12T00:00:00"/>
    <n v="113900.4"/>
    <n v="70500.25"/>
    <n v="745"/>
    <n v="166000"/>
    <x v="0"/>
    <x v="0"/>
    <n v="0"/>
    <s v="Active"/>
    <n v="0.42470030120481927"/>
    <n v="3"/>
    <x v="0"/>
    <x v="4"/>
    <x v="2"/>
  </r>
  <r>
    <s v="Lina Chen"/>
    <s v="lina_c39"/>
    <x v="5"/>
    <x v="4"/>
    <s v="Beijing"/>
    <n v="69"/>
    <s v="Female"/>
    <s v="lina.chen39@mail.cn"/>
    <s v="+86-137-4567-8901"/>
    <d v="2025-01-22T00:00:00"/>
    <d v="2024-01-11T00:00:00"/>
    <n v="55200.800000000003"/>
    <n v="21200.9"/>
    <n v="765"/>
    <n v="98000"/>
    <x v="1"/>
    <x v="0"/>
    <n v="0"/>
    <s v="Active"/>
    <n v="0.2163357142857143"/>
    <n v="4"/>
    <x v="2"/>
    <x v="4"/>
    <x v="0"/>
  </r>
  <r>
    <s v="Ahmed Hassan"/>
    <s v="ahmed_h39"/>
    <x v="4"/>
    <x v="20"/>
    <s v="Cairo"/>
    <n v="82"/>
    <s v="Male"/>
    <s v="ahmed.hassan39@email.eg"/>
    <s v="+20-122-098-7654"/>
    <d v="2023-01-22T00:00:00"/>
    <d v="2024-01-10T00:00:00"/>
    <n v="88500.75"/>
    <n v="61600.4"/>
    <n v="675"/>
    <n v="138000"/>
    <x v="0"/>
    <x v="0"/>
    <n v="0"/>
    <s v="Active"/>
    <n v="0.44637971014492756"/>
    <n v="5"/>
    <x v="0"/>
    <x v="4"/>
    <x v="2"/>
  </r>
  <r>
    <s v="Sophie Martin"/>
    <s v="sophie_m39"/>
    <x v="6"/>
    <x v="10"/>
    <s v="Lyon"/>
    <n v="61"/>
    <s v="Female"/>
    <s v="sophie.martin39@edu.fr"/>
    <s v="+33-6-1234-5678"/>
    <d v="2025-03-12T00:00:00"/>
    <d v="2024-01-13T00:00:00"/>
    <n v="5900.25"/>
    <n v="17800.599999999999"/>
    <n v="615"/>
    <n v="58000"/>
    <x v="2"/>
    <x v="1"/>
    <n v="0"/>
    <s v="Active"/>
    <n v="0.3069068965517241"/>
    <n v="2"/>
    <x v="3"/>
    <x v="4"/>
    <x v="1"/>
  </r>
  <r>
    <s v="Raj Kumar"/>
    <s v="raj_kumar39"/>
    <x v="2"/>
    <x v="2"/>
    <s v="Delhi"/>
    <n v="89"/>
    <s v="Male"/>
    <s v="raj.kumar39@company.in"/>
    <s v="+91-987-654-3210"/>
    <d v="2021-02-22T00:00:00"/>
    <d v="2024-01-08T00:00:00"/>
    <n v="217200.8"/>
    <n v="132000.25"/>
    <n v="660"/>
    <n v="257000"/>
    <x v="2"/>
    <x v="0"/>
    <n v="0"/>
    <s v="Active"/>
    <n v="0.5136196498054475"/>
    <n v="7"/>
    <x v="3"/>
    <x v="4"/>
    <x v="3"/>
  </r>
  <r>
    <s v="Maria Gonzalez"/>
    <s v="maria_g40"/>
    <x v="3"/>
    <x v="13"/>
    <s v="Mexico City"/>
    <n v="76"/>
    <s v="Female"/>
    <s v="maria.gonzalez40@email.mx"/>
    <s v="+52-55-2345-0123"/>
    <d v="2023-06-22T00:00:00"/>
    <d v="2024-01-11T00:00:00"/>
    <n v="109600.9"/>
    <n v="67400.75"/>
    <n v="730"/>
    <n v="161000"/>
    <x v="0"/>
    <x v="0"/>
    <n v="0"/>
    <s v="Active"/>
    <n v="0.41863819875776398"/>
    <n v="4"/>
    <x v="0"/>
    <x v="4"/>
    <x v="2"/>
  </r>
  <r>
    <s v="Yuki Kobayashi"/>
    <s v="yuki_k39"/>
    <x v="1"/>
    <x v="1"/>
    <s v="Osaka"/>
    <n v="65"/>
    <s v="Female"/>
    <s v="yuki.kobayashi39@mail.jp"/>
    <s v="+81-90-7890-1234"/>
    <d v="2025-03-08T00:00:00"/>
    <d v="2024-01-14T00:00:00"/>
    <n v="23700.400000000001"/>
    <n v="12800.25"/>
    <n v="705"/>
    <n v="75000"/>
    <x v="0"/>
    <x v="1"/>
    <n v="0"/>
    <s v="Active"/>
    <n v="0.17066999999999999"/>
    <n v="1"/>
    <x v="0"/>
    <x v="4"/>
    <x v="0"/>
  </r>
  <r>
    <s v="Kwame Asante"/>
    <s v="kwame_a39"/>
    <x v="5"/>
    <x v="15"/>
    <s v="Accra"/>
    <n v="70"/>
    <s v="Male"/>
    <s v="kwame.asante39@email.gh"/>
    <s v="+233-92-345-6789"/>
    <d v="2024-12-22T00:00:00"/>
    <d v="2024-01-12T00:00:00"/>
    <n v="54100.6"/>
    <n v="20600.8"/>
    <n v="710"/>
    <n v="91000"/>
    <x v="1"/>
    <x v="0"/>
    <n v="0"/>
    <s v="Active"/>
    <n v="0.22638241758241756"/>
    <n v="3"/>
    <x v="0"/>
    <x v="4"/>
    <x v="0"/>
  </r>
  <r>
    <s v="Anna Petrova"/>
    <s v="anna_p39"/>
    <x v="4"/>
    <x v="12"/>
    <s v="Moscow"/>
    <n v="77"/>
    <s v="Female"/>
    <s v="anna.petrova39@email.ru"/>
    <s v="+7-921-876-54-32"/>
    <d v="2023-01-22T00:00:00"/>
    <d v="2024-01-10T00:00:00"/>
    <n v="85400.25"/>
    <n v="58500.9"/>
    <n v="695"/>
    <n v="126000"/>
    <x v="0"/>
    <x v="0"/>
    <n v="0"/>
    <s v="Active"/>
    <n v="0.46429285714285717"/>
    <n v="5"/>
    <x v="0"/>
    <x v="4"/>
    <x v="0"/>
  </r>
  <r>
    <s v="Liam O'Brien"/>
    <s v="liam_obrien39"/>
    <x v="2"/>
    <x v="11"/>
    <s v="Dublin"/>
    <n v="85"/>
    <s v="Male"/>
    <s v="liam.obrien39@company.ie"/>
    <s v="+353-24-234-5678"/>
    <d v="2021-07-22T00:00:00"/>
    <d v="2024-01-09T00:00:00"/>
    <n v="149400.4"/>
    <n v="106000.6"/>
    <n v="670"/>
    <n v="193000"/>
    <x v="2"/>
    <x v="0"/>
    <n v="0"/>
    <s v="Active"/>
    <n v="0.54922590673575133"/>
    <n v="6"/>
    <x v="0"/>
    <x v="4"/>
    <x v="3"/>
  </r>
  <r>
    <s v="Ying Wang"/>
    <s v="ying_w39"/>
    <x v="0"/>
    <x v="4"/>
    <s v="Shanghai"/>
    <n v="93"/>
    <s v="Female"/>
    <s v="ying.wang39@mail.cn"/>
    <s v="+86-139-1234-5678"/>
    <d v="2020-05-22T00:00:00"/>
    <d v="2024-01-08T00:00:00"/>
    <n v="316300.75"/>
    <n v="123000.8"/>
    <n v="835"/>
    <n v="338000"/>
    <x v="1"/>
    <x v="0"/>
    <n v="0"/>
    <s v="Active"/>
    <n v="0.36390769230769232"/>
    <n v="7"/>
    <x v="1"/>
    <x v="4"/>
    <x v="3"/>
  </r>
  <r>
    <s v="Adeola Yusuf"/>
    <s v="adeola_y39"/>
    <x v="4"/>
    <x v="6"/>
    <s v="Abuja"/>
    <n v="80"/>
    <s v="Female"/>
    <s v="adeola.yusuf39@email.ng"/>
    <s v="+234-852-345-6789"/>
    <d v="2022-12-22T00:00:00"/>
    <d v="2024-01-11T00:00:00"/>
    <n v="94100.6"/>
    <n v="64100.25"/>
    <n v="665"/>
    <n v="146000"/>
    <x v="0"/>
    <x v="0"/>
    <n v="0"/>
    <s v="Active"/>
    <n v="0.43904280821917807"/>
    <n v="4"/>
    <x v="3"/>
    <x v="4"/>
    <x v="2"/>
  </r>
  <r>
    <s v="Marco Bianchi"/>
    <s v="marco_b39"/>
    <x v="3"/>
    <x v="18"/>
    <s v="Rome"/>
    <n v="72"/>
    <s v="Male"/>
    <s v="marco.bianchi39@email.it"/>
    <s v="+39-386-012-3456"/>
    <d v="2024-09-22T00:00:00"/>
    <d v="2024-01-12T00:00:00"/>
    <n v="117400.8"/>
    <n v="71600.399999999994"/>
    <n v="750"/>
    <n v="172000"/>
    <x v="0"/>
    <x v="0"/>
    <n v="0"/>
    <s v="Active"/>
    <n v="0.41628139534883718"/>
    <n v="3"/>
    <x v="2"/>
    <x v="4"/>
    <x v="2"/>
  </r>
  <r>
    <s v="Jennifer Kim"/>
    <s v="jennifer_k39"/>
    <x v="5"/>
    <x v="0"/>
    <s v="Seattle"/>
    <n v="68"/>
    <s v="Female"/>
    <s v="jennifer.kim39@email.com"/>
    <s v="+1-206-555-0194"/>
    <d v="2025-03-22T00:00:00"/>
    <d v="2024-01-14T00:00:00"/>
    <n v="56300.9"/>
    <n v="21600.75"/>
    <n v="770"/>
    <n v="103000"/>
    <x v="1"/>
    <x v="0"/>
    <n v="0"/>
    <s v="Active"/>
    <n v="0.20971601941747572"/>
    <n v="1"/>
    <x v="2"/>
    <x v="4"/>
    <x v="0"/>
  </r>
  <r>
    <s v="Rahman Hussain"/>
    <s v="rahman_h39"/>
    <x v="2"/>
    <x v="25"/>
    <s v="Lahore"/>
    <n v="91"/>
    <s v="Male"/>
    <s v="rahman.hussain39@company.pk"/>
    <s v="+92-338-0987654"/>
    <d v="2020-11-22T00:00:00"/>
    <d v="2024-01-08T00:00:00"/>
    <n v="202500.25"/>
    <n v="127000.8"/>
    <n v="645"/>
    <n v="243000"/>
    <x v="2"/>
    <x v="0"/>
    <n v="0"/>
    <s v="Active"/>
    <n v="0.52263703703703701"/>
    <n v="7"/>
    <x v="3"/>
    <x v="4"/>
    <x v="3"/>
  </r>
  <r>
    <s v="Sofia Martinez"/>
    <s v="sofia_m39"/>
    <x v="1"/>
    <x v="14"/>
    <s v="Madrid"/>
    <n v="64"/>
    <s v="Female"/>
    <s v="sofia.martinez39@mail.es"/>
    <s v="+34-661-234-567"/>
    <d v="2025-03-12T00:00:00"/>
    <d v="2024-01-15T00:00:00"/>
    <n v="48200.5"/>
    <n v="21200.400000000001"/>
    <n v="720"/>
    <n v="80000"/>
    <x v="1"/>
    <x v="0"/>
    <n v="0"/>
    <s v="Active"/>
    <n v="0.26500499999999999"/>
    <n v="0"/>
    <x v="0"/>
    <x v="4"/>
    <x v="0"/>
  </r>
  <r>
    <s v="Kenji Sato"/>
    <s v="kenji_sato40"/>
    <x v="6"/>
    <x v="1"/>
    <s v="Tokyo"/>
    <n v="60"/>
    <s v="Male"/>
    <s v="kenji.sato40@edu.jp"/>
    <s v="+81-90-7890-1234"/>
    <d v="2025-03-15T00:00:00"/>
    <d v="2024-01-13T00:00:00"/>
    <n v="5650.8"/>
    <n v="16200.25"/>
    <n v="605"/>
    <n v="56000"/>
    <x v="2"/>
    <x v="1"/>
    <n v="0"/>
    <s v="Active"/>
    <n v="0.28929017857142858"/>
    <n v="2"/>
    <x v="3"/>
    <x v="4"/>
    <x v="1"/>
  </r>
  <r>
    <s v="Fatoumata Bello"/>
    <s v="fatou_b39"/>
    <x v="3"/>
    <x v="19"/>
    <s v="Dakar"/>
    <n v="74"/>
    <s v="Female"/>
    <s v="fatoumata.bello39@email.sn"/>
    <s v="+221-16-012-3456"/>
    <d v="2024-05-22T00:00:00"/>
    <d v="2024-01-11T00:00:00"/>
    <n v="104100.4"/>
    <n v="66300.75"/>
    <n v="710"/>
    <n v="154000"/>
    <x v="0"/>
    <x v="0"/>
    <n v="0"/>
    <s v="Active"/>
    <n v="0.43052435064935063"/>
    <n v="4"/>
    <x v="0"/>
    <x v="4"/>
    <x v="2"/>
  </r>
  <r>
    <s v="David Wilson"/>
    <s v="david_w39"/>
    <x v="2"/>
    <x v="3"/>
    <s v="London"/>
    <n v="88"/>
    <s v="Male"/>
    <s v="david.wilson39@company.co.uk"/>
    <s v="+44-79-3456-7890"/>
    <d v="2021-04-22T00:00:00"/>
    <d v="2024-01-09T00:00:00"/>
    <n v="182700.6"/>
    <n v="120000.25"/>
    <n v="675"/>
    <n v="223000"/>
    <x v="2"/>
    <x v="0"/>
    <n v="0"/>
    <s v="Active"/>
    <n v="0.5381177130044843"/>
    <n v="6"/>
    <x v="0"/>
    <x v="4"/>
    <x v="3"/>
  </r>
  <r>
    <s v="Lina Park"/>
    <s v="lina_park39"/>
    <x v="4"/>
    <x v="17"/>
    <s v="Seoul"/>
    <n v="73"/>
    <s v="Female"/>
    <s v="lina.park39@email.kr"/>
    <s v="+82-10-2345-6789"/>
    <d v="2023-10-22T00:00:00"/>
    <d v="2024-01-10T00:00:00"/>
    <n v="80500.75"/>
    <n v="57400.800000000003"/>
    <n v="725"/>
    <n v="120000"/>
    <x v="0"/>
    <x v="0"/>
    <n v="0"/>
    <s v="Active"/>
    <n v="0.47834000000000004"/>
    <n v="5"/>
    <x v="0"/>
    <x v="4"/>
    <x v="0"/>
  </r>
  <r>
    <s v="Ahmed Al-Mansoori"/>
    <s v="ahmed_alm39"/>
    <x v="5"/>
    <x v="8"/>
    <s v="Dubai"/>
    <n v="71"/>
    <s v="Male"/>
    <s v="ahmed.almansoori39@email.ae"/>
    <s v="+971-50-456-7890"/>
    <d v="2025-01-22T00:00:00"/>
    <d v="2024-01-12T00:00:00"/>
    <n v="58500.4"/>
    <n v="22400.9"/>
    <n v="740"/>
    <n v="106000"/>
    <x v="1"/>
    <x v="0"/>
    <n v="0"/>
    <s v="Active"/>
    <n v="0.21132924528301889"/>
    <n v="3"/>
    <x v="0"/>
    <x v="4"/>
    <x v="0"/>
  </r>
  <r>
    <s v="Maria Costa"/>
    <s v="maria_costa39"/>
    <x v="0"/>
    <x v="5"/>
    <s v="São Paulo"/>
    <n v="94"/>
    <s v="Female"/>
    <s v="maria.costa39@mail.com.br"/>
    <s v="+55-11-99956-7890"/>
    <d v="2020-01-22T00:00:00"/>
    <d v="2024-01-08T00:00:00"/>
    <n v="271600.90000000002"/>
    <n v="110000.6"/>
    <n v="830"/>
    <n v="318000"/>
    <x v="1"/>
    <x v="0"/>
    <n v="0"/>
    <s v="Active"/>
    <n v="0.34591383647798746"/>
    <n v="7"/>
    <x v="1"/>
    <x v="4"/>
    <x v="3"/>
  </r>
  <r>
    <s v="Chinedu Nwankwo"/>
    <s v="chinedu_n39"/>
    <x v="2"/>
    <x v="6"/>
    <s v="Port Harcourt"/>
    <n v="86"/>
    <s v="Male"/>
    <s v="chinedu.nwankwo39@company.ng"/>
    <s v="+234-853-456-7890"/>
    <d v="2021-09-12T00:00:00"/>
    <d v="2024-01-09T00:00:00"/>
    <n v="160500.25"/>
    <n v="112000.4"/>
    <n v="655"/>
    <n v="208000"/>
    <x v="2"/>
    <x v="0"/>
    <n v="0"/>
    <s v="Active"/>
    <n v="0.53846346153846147"/>
    <n v="6"/>
    <x v="3"/>
    <x v="4"/>
    <x v="3"/>
  </r>
  <r>
    <s v="Isabelle Moreau"/>
    <s v="isabelle_m39"/>
    <x v="3"/>
    <x v="9"/>
    <s v="Toronto"/>
    <n v="75"/>
    <s v="Female"/>
    <s v="isabelle.moreau39@email.ca"/>
    <s v="+1-647-555-0198"/>
    <d v="2024-02-22T00:00:00"/>
    <d v="2024-01-11T00:00:00"/>
    <n v="123000.6"/>
    <n v="74300.75"/>
    <n v="760"/>
    <n v="177000"/>
    <x v="0"/>
    <x v="0"/>
    <n v="0"/>
    <s v="Active"/>
    <n v="0.41977824858757062"/>
    <n v="4"/>
    <x v="2"/>
    <x v="4"/>
    <x v="2"/>
  </r>
  <r>
    <s v="Rahman Ali"/>
    <s v="rahman_ali40"/>
    <x v="1"/>
    <x v="36"/>
    <s v="Surabaya"/>
    <n v="66"/>
    <s v="Male"/>
    <s v="rahman.ali40@mail.id"/>
    <s v="+62-850-1234-5678"/>
    <d v="2025-03-08T00:00:00"/>
    <d v="2024-01-15T00:00:00"/>
    <n v="27400.25"/>
    <n v="16300.8"/>
    <n v="695"/>
    <n v="77000"/>
    <x v="0"/>
    <x v="1"/>
    <n v="0"/>
    <s v="Active"/>
    <n v="0.2116987012987013"/>
    <n v="0"/>
    <x v="0"/>
    <x v="4"/>
    <x v="0"/>
  </r>
  <r>
    <s v="Sarah Johnson"/>
    <s v="sarah_j39"/>
    <x v="5"/>
    <x v="0"/>
    <s v="Chicago"/>
    <n v="69"/>
    <s v="Female"/>
    <s v="sarah.johnson39@email.com"/>
    <s v="+1-773-555-0194"/>
    <d v="2024-11-22T00:00:00"/>
    <d v="2024-01-12T00:00:00"/>
    <n v="57400.9"/>
    <n v="22000.25"/>
    <n v="755"/>
    <n v="99000"/>
    <x v="1"/>
    <x v="0"/>
    <n v="0"/>
    <s v="Active"/>
    <n v="0.22222474747474746"/>
    <n v="3"/>
    <x v="2"/>
    <x v="4"/>
    <x v="0"/>
  </r>
  <r>
    <s v="Wei Zhang"/>
    <s v="wei_zhang39"/>
    <x v="2"/>
    <x v="4"/>
    <s v="Beijing"/>
    <n v="87"/>
    <s v="Male"/>
    <s v="wei.zhang39@company.cn"/>
    <s v="+86-138-5678-9012"/>
    <d v="2021-06-22T00:00:00"/>
    <d v="2024-01-09T00:00:00"/>
    <n v="193400.4"/>
    <n v="125000.75"/>
    <n v="685"/>
    <n v="233000"/>
    <x v="2"/>
    <x v="0"/>
    <n v="0"/>
    <s v="Active"/>
    <n v="0.53648390557939918"/>
    <n v="6"/>
    <x v="0"/>
    <x v="4"/>
    <x v="3"/>
  </r>
  <r>
    <s v="Anna Kowalski"/>
    <s v="anna_k40"/>
    <x v="4"/>
    <x v="37"/>
    <s v="Warsaw"/>
    <n v="78"/>
    <s v="Female"/>
    <s v="anna.kowalski40@email.pl"/>
    <s v="+48-738-012-345"/>
    <d v="2023-03-22T00:00:00"/>
    <d v="2024-01-10T00:00:00"/>
    <n v="87400.8"/>
    <n v="60500.6"/>
    <n v="715"/>
    <n v="132000"/>
    <x v="0"/>
    <x v="0"/>
    <n v="0"/>
    <s v="Active"/>
    <n v="0.45833787878787879"/>
    <n v="5"/>
    <x v="0"/>
    <x v="4"/>
    <x v="2"/>
  </r>
  <r>
    <s v="Mohammed Rahman"/>
    <s v="m_rahman40"/>
    <x v="3"/>
    <x v="29"/>
    <s v="Chittagong"/>
    <n v="81"/>
    <s v="Male"/>
    <s v="mohammed.rahman40@email.bd"/>
    <s v="+880-1812-234567"/>
    <d v="2022-12-22T00:00:00"/>
    <d v="2024-01-11T00:00:00"/>
    <n v="115200.25"/>
    <n v="70500.399999999994"/>
    <n v="680"/>
    <n v="161000"/>
    <x v="0"/>
    <x v="0"/>
    <n v="0"/>
    <s v="Active"/>
    <n v="0.43789068322981362"/>
    <n v="4"/>
    <x v="0"/>
    <x v="4"/>
    <x v="2"/>
  </r>
  <r>
    <s v="Yumi Tanaka"/>
    <s v="yumi_tanaka39"/>
    <x v="6"/>
    <x v="1"/>
    <s v="Osaka"/>
    <n v="61"/>
    <s v="Female"/>
    <s v="yumi.tanaka39@edu.jp"/>
    <s v="+81-90-8901-2345"/>
    <d v="2025-03-22T00:00:00"/>
    <d v="2024-01-13T00:00:00"/>
    <n v="5750.4"/>
    <n v="16800.75"/>
    <n v="610"/>
    <n v="57000"/>
    <x v="2"/>
    <x v="1"/>
    <n v="0"/>
    <s v="Active"/>
    <n v="0.29475000000000001"/>
    <n v="2"/>
    <x v="3"/>
    <x v="4"/>
    <x v="1"/>
  </r>
  <r>
    <s v="Carlos Mendez"/>
    <s v="carlos_m39"/>
    <x v="0"/>
    <x v="13"/>
    <s v="Mexico City"/>
    <n v="93"/>
    <s v="Male"/>
    <s v="carlos.mendez39@mail.mx"/>
    <s v="+52-55-2345-0123"/>
    <d v="2020-08-22T00:00:00"/>
    <d v="2024-01-08T00:00:00"/>
    <n v="291400.8"/>
    <n v="116000.25"/>
    <n v="825"/>
    <n v="313000"/>
    <x v="1"/>
    <x v="0"/>
    <n v="0"/>
    <s v="Active"/>
    <n v="0.37060782747603832"/>
    <n v="7"/>
    <x v="1"/>
    <x v="4"/>
    <x v="3"/>
  </r>
  <r>
    <s v="Aisha Mohammed"/>
    <s v="aisha_m40"/>
    <x v="5"/>
    <x v="16"/>
    <s v="Nairobi"/>
    <n v="68"/>
    <s v="Female"/>
    <s v="aisha.mohammed40@email.ke"/>
    <s v="+254-762-345-678"/>
    <d v="2025-05-22T00:00:00"/>
    <d v="2024-01-14T00:00:00"/>
    <n v="54100.75"/>
    <n v="20400.400000000001"/>
    <n v="725"/>
    <n v="89000"/>
    <x v="1"/>
    <x v="0"/>
    <n v="0"/>
    <s v="Active"/>
    <n v="0.22921797752808989"/>
    <n v="1"/>
    <x v="0"/>
    <x v="4"/>
    <x v="0"/>
  </r>
  <r>
    <s v="David Chen"/>
    <s v="david_chen40"/>
    <x v="2"/>
    <x v="23"/>
    <s v="Singapore"/>
    <n v="85"/>
    <s v="Male"/>
    <s v="david.chen40@company.sg"/>
    <s v="+65-2190-1234"/>
    <d v="2021-12-12T00:00:00"/>
    <d v="2024-01-09T00:00:00"/>
    <n v="171600.6"/>
    <n v="116000.9"/>
    <n v="675"/>
    <n v="213000"/>
    <x v="2"/>
    <x v="0"/>
    <n v="0"/>
    <s v="Active"/>
    <n v="0.54460516431924877"/>
    <n v="6"/>
    <x v="0"/>
    <x v="4"/>
    <x v="3"/>
  </r>
  <r>
    <s v="Maria Papadopoulos"/>
    <s v="maria_p40"/>
    <x v="4"/>
    <x v="38"/>
    <s v="Athens"/>
    <n v="76"/>
    <s v="Female"/>
    <s v="maria.papadopoulos40@email.gr"/>
    <s v="+30-730-123-4567"/>
    <d v="2024-01-22T00:00:00"/>
    <d v="2024-01-11T00:00:00"/>
    <n v="81600.399999999994"/>
    <n v="56300.25"/>
    <n v="705"/>
    <n v="121000"/>
    <x v="0"/>
    <x v="0"/>
    <n v="0"/>
    <s v="Active"/>
    <n v="0.46529132231404957"/>
    <n v="4"/>
    <x v="0"/>
    <x v="4"/>
    <x v="0"/>
  </r>
  <r>
    <s v="James Wilson"/>
    <s v="j_wilson40"/>
    <x v="3"/>
    <x v="26"/>
    <s v="Sydney"/>
    <n v="79"/>
    <s v="Male"/>
    <s v="james.wilson40@email.au"/>
    <s v="+61-462-345-678"/>
    <d v="2022-08-22T00:00:00"/>
    <d v="2024-01-10T00:00:00"/>
    <n v="126100.75"/>
    <n v="77400.800000000003"/>
    <n v="730"/>
    <n v="187000"/>
    <x v="0"/>
    <x v="0"/>
    <n v="0"/>
    <s v="Active"/>
    <n v="0.41390802139037436"/>
    <n v="5"/>
    <x v="0"/>
    <x v="4"/>
    <x v="2"/>
  </r>
  <r>
    <s v="Fatima Zahra"/>
    <s v="f_zahra40"/>
    <x v="1"/>
    <x v="25"/>
    <s v="Islamabad"/>
    <n v="64"/>
    <s v="Female"/>
    <s v="fatima.z"/>
    <s v=""/>
    <m/>
    <m/>
    <m/>
    <m/>
    <m/>
    <m/>
    <x v="3"/>
    <x v="2"/>
    <m/>
    <s v=""/>
    <s v=""/>
    <n v="45306"/>
    <x v="3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4D667-C497-4D54-A2A2-82D1AAD65D97}" name="PivotTable7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3:D34" firstHeaderRow="1" firstDataRow="1" firstDataCol="0"/>
  <pivotFields count="24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User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2FFA4-B4AF-428B-ABE3-A88FBD60B789}" name="PivotTable8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7:D38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Balance (USD)" fld="11" subtotal="average" baseField="0" baseItem="0" numFmtId="164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F70CA-8D36-4409-B3F7-4B275F1F826C}" name="PivotTable18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J2:N6" firstHeaderRow="1" firstDataRow="2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h="1" x="3"/>
        <item x="2"/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3">
    <i>
      <x v="1"/>
    </i>
    <i>
      <x v="2"/>
    </i>
    <i t="grand">
      <x/>
    </i>
  </rowItems>
  <colFields count="1">
    <field x="15"/>
  </colFields>
  <colItems count="4">
    <i>
      <x v="1"/>
    </i>
    <i>
      <x v="2"/>
    </i>
    <i>
      <x v="3"/>
    </i>
    <i t="grand">
      <x/>
    </i>
  </colItems>
  <dataFields count="1">
    <dataField name="Count of Username" fld="1" subtotal="count" baseField="0" baseItem="0"/>
  </dataFields>
  <chartFormats count="18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EA007-90B8-4320-A929-15D3528777AB}" name="PivotTable1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4:B32" firstHeaderRow="1" firstDataRow="1" firstDataCol="1"/>
  <pivotFields count="24">
    <pivotField compact="0" outline="0" showAll="0"/>
    <pivotField compact="0" outline="0" showAll="0"/>
    <pivotField axis="axisRow"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bt Ratio" fld="19" subtotal="average" baseField="0" baseItem="0" numFmtId="10"/>
  </dataFields>
  <formats count="6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2" type="button" dataOnly="0" labelOnly="1" outline="0" axis="axisRow" fieldPosition="0"/>
    </format>
    <format dxfId="34">
      <pivotArea dataOnly="0" labelOnly="1" outline="0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980B4-4B7F-43EA-8E84-27A721B8BF4E}" name="PivotTable2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J19:N25" firstHeaderRow="1" firstDataRow="2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h="1" x="3"/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 v="1"/>
    </i>
    <i>
      <x v="2"/>
    </i>
    <i>
      <x v="3"/>
    </i>
    <i t="grand">
      <x/>
    </i>
  </colItems>
  <dataFields count="1">
    <dataField name="Count of Username" fld="1" subtotal="count" baseField="0" baseItem="0"/>
  </dataFields>
  <chartFormats count="18"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B5350-FF55-45C1-BD7C-228B8981A67B}" name="PivotTable5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J29:K33" firstHeaderRow="1" firstDataRow="1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name" fld="1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64757-6343-4921-8631-014F4BBF31A1}" name="PivotTable9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1:D42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Credit Score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86607-22C5-40E4-A08B-8438A3DAB4F8}" name="PivotTable3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4:E30" firstHeaderRow="1" firstDataRow="1" firstDataCol="1"/>
  <pivotFields count="24">
    <pivotField compact="0" outline="0" showAll="0"/>
    <pivotField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1"/>
        <item x="0"/>
        <item x="2"/>
        <item x="4"/>
        <item t="default"/>
      </items>
    </pivotField>
    <pivotField compact="0" outline="0"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alance (USD)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10C3-568F-4B1B-ADD9-BED5B1BF5F23}" name="PivotTable11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5:D46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Debt Ratio" fld="19" subtotal="average" baseField="0" baseItem="0" numFmtId="1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24A86-6D44-49AC-B8C3-8D3F2800F90F}" name="PivotTable10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4" firstHeaderRow="1" firstDataRow="1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axis="axisRow" compact="0" outline="0" showAll="0" measureFilter="1">
      <items count="40">
        <item x="24"/>
        <item x="26"/>
        <item x="29"/>
        <item x="5"/>
        <item x="9"/>
        <item x="4"/>
        <item x="22"/>
        <item x="20"/>
        <item x="10"/>
        <item x="7"/>
        <item x="15"/>
        <item x="38"/>
        <item x="2"/>
        <item x="36"/>
        <item x="11"/>
        <item x="18"/>
        <item x="1"/>
        <item x="16"/>
        <item x="21"/>
        <item x="13"/>
        <item x="27"/>
        <item x="28"/>
        <item x="6"/>
        <item x="35"/>
        <item x="25"/>
        <item x="37"/>
        <item x="34"/>
        <item x="12"/>
        <item x="31"/>
        <item x="19"/>
        <item x="23"/>
        <item x="17"/>
        <item x="14"/>
        <item x="30"/>
        <item x="8"/>
        <item x="3"/>
        <item x="33"/>
        <item x="0"/>
        <item x="3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2">
    <i>
      <x v="3"/>
    </i>
    <i>
      <x v="4"/>
    </i>
    <i>
      <x v="5"/>
    </i>
    <i>
      <x v="9"/>
    </i>
    <i>
      <x v="12"/>
    </i>
    <i>
      <x v="16"/>
    </i>
    <i>
      <x v="19"/>
    </i>
    <i>
      <x v="22"/>
    </i>
    <i>
      <x v="24"/>
    </i>
    <i>
      <x v="35"/>
    </i>
    <i>
      <x v="37"/>
    </i>
    <i t="grand">
      <x/>
    </i>
  </rowItems>
  <colItems count="1">
    <i/>
  </colItems>
  <dataFields count="1">
    <dataField name="Count of Username" fld="1" subtotal="count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94D45-0A47-49AD-9F2D-888059135DE2}" name="PivotTable12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2:E10" firstHeaderRow="1" firstDataRow="1" firstDataCol="1"/>
  <pivotFields count="24">
    <pivotField compact="0" outline="0" showAll="0"/>
    <pivotField compact="0" outline="0" showAll="0"/>
    <pivotField axis="axisRow"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Balance (USD)" fld="11" subtotal="average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5262F-0687-4EC0-9204-149053557F52}" name="PivotTable16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9:E53" firstHeaderRow="1" firstDataRow="1" firstDataCol="1"/>
  <pivotFields count="24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name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9BD10-B580-4F4A-8F2B-83634EC582CA}" name="PivotTable4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0:H14" firstHeaderRow="1" firstDataRow="1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3"/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name" fld="1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ED9A1-43B6-440F-AFF1-E30AABA9486C}" name="PivotTable14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B21" firstHeaderRow="1" firstDataRow="1" firstDataCol="1"/>
  <pivotFields count="24">
    <pivotField compact="0" outline="0" showAll="0"/>
    <pivotField dataField="1"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3"/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6247E-D57D-46C5-AC49-67D3AA7DACD1}" name="PivotTable17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8:H29" firstHeaderRow="1" firstDataRow="1" firstDataCol="1"/>
  <pivotFields count="24">
    <pivotField compact="0" outline="0" showAll="0"/>
    <pivotField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axis="axisRow" compact="0" outline="0" showAll="0" measureFilter="1">
      <items count="40">
        <item x="24"/>
        <item x="26"/>
        <item x="29"/>
        <item x="5"/>
        <item x="9"/>
        <item x="4"/>
        <item x="22"/>
        <item x="20"/>
        <item x="10"/>
        <item x="7"/>
        <item x="15"/>
        <item x="38"/>
        <item x="2"/>
        <item x="36"/>
        <item x="11"/>
        <item x="18"/>
        <item x="1"/>
        <item x="16"/>
        <item x="21"/>
        <item x="13"/>
        <item x="27"/>
        <item x="28"/>
        <item x="6"/>
        <item x="35"/>
        <item x="25"/>
        <item x="37"/>
        <item x="34"/>
        <item x="12"/>
        <item x="31"/>
        <item x="19"/>
        <item x="23"/>
        <item x="17"/>
        <item x="14"/>
        <item x="30"/>
        <item x="8"/>
        <item x="3"/>
        <item x="33"/>
        <item x="0"/>
        <item x="3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3"/>
    </i>
    <i>
      <x v="5"/>
    </i>
    <i>
      <x v="12"/>
    </i>
    <i>
      <x v="14"/>
    </i>
    <i>
      <x v="16"/>
    </i>
    <i>
      <x v="19"/>
    </i>
    <i>
      <x v="22"/>
    </i>
    <i>
      <x v="24"/>
    </i>
    <i>
      <x v="30"/>
    </i>
    <i>
      <x v="35"/>
    </i>
    <i t="grand">
      <x/>
    </i>
  </rowItems>
  <colItems count="1">
    <i/>
  </colItems>
  <dataFields count="1">
    <dataField name="Sum of Balance (USD)" fld="11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C7A57-5D13-4A2D-87C6-A98AD8A8FED9}" name="PivotTable15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2:H6" firstHeaderRow="1" firstDataRow="1" firstDataCol="1"/>
  <pivotFields count="24">
    <pivotField compact="0" outline="0" showAll="0"/>
    <pivotField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3"/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Debt Ratio" fld="19" subtotal="average" baseField="0" baseItem="0"/>
  </dataFields>
  <formats count="5">
    <format dxfId="25">
      <pivotArea outline="0" fieldPosition="0">
        <references count="1">
          <reference field="15" count="1" selected="0">
            <x v="1"/>
          </reference>
        </references>
      </pivotArea>
    </format>
    <format dxfId="26">
      <pivotArea outline="0" fieldPosition="0">
        <references count="1">
          <reference field="15" count="1" selected="0">
            <x v="2"/>
          </reference>
        </references>
      </pivotArea>
    </format>
    <format dxfId="27">
      <pivotArea outline="0" fieldPosition="0">
        <references count="1">
          <reference field="15" count="1" selected="0">
            <x v="3"/>
          </reference>
        </references>
      </pivotArea>
    </format>
    <format dxfId="28">
      <pivotArea outline="0" fieldPosition="0">
        <references count="1">
          <reference field="15" count="1" selected="0">
            <x v="0"/>
          </reference>
        </references>
      </pivotArea>
    </format>
    <format dxfId="29">
      <pivotArea grandRow="1"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05FC7-23D7-4845-8789-F028DFF2D6C3}" name="PivotTable19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1:M16" firstHeaderRow="0" firstDataRow="1" firstDataCol="1"/>
  <pivotFields count="24">
    <pivotField compact="0" outline="0" showAll="0"/>
    <pivotField compact="0" outline="0" showAll="0"/>
    <pivotField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alance (USD)" fld="11" subtotal="average" baseField="0" baseItem="0"/>
    <dataField name="Average of Debt (USD)" fld="12" subtotal="average" baseField="0" baseItem="0"/>
    <dataField name="Average of Credit Score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D8BFC-4FE4-43B5-A351-D24DFAD82283}" name="PivotTable13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3:E21" firstHeaderRow="1" firstDataRow="1" firstDataCol="1"/>
  <pivotFields count="24">
    <pivotField compact="0" outline="0" showAll="0"/>
    <pivotField compact="0" outline="0" showAll="0"/>
    <pivotField axis="axisRow" compact="0" outline="0" showAll="0">
      <items count="8">
        <item x="2"/>
        <item x="5"/>
        <item x="1"/>
        <item x="3"/>
        <item x="0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bt (USD)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B36EE-B87D-43A8-BDD9-F8875FC57D28}" autoFormatId="16" applyNumberFormats="0" applyBorderFormats="0" applyFontFormats="0" applyPatternFormats="0" applyAlignmentFormats="0" applyWidthHeightFormats="0">
  <queryTableRefresh nextId="25" unboundColumnsRight="5">
    <queryTableFields count="24">
      <queryTableField id="1" name="Full Name" tableColumnId="1"/>
      <queryTableField id="2" name="Username" tableColumnId="2"/>
      <queryTableField id="3" name="Account Type" tableColumnId="3"/>
      <queryTableField id="4" name="Country" tableColumnId="4"/>
      <queryTableField id="5" name="City" tableColumnId="5"/>
      <queryTableField id="6" name="Age" tableColumnId="6"/>
      <queryTableField id="7" name="Gender" tableColumnId="7"/>
      <queryTableField id="8" name="Email" tableColumnId="8"/>
      <queryTableField id="9" name="Phone Number" tableColumnId="9"/>
      <queryTableField id="10" name="Account Creation Date" tableColumnId="10"/>
      <queryTableField id="11" name="Last Active Date" tableColumnId="11"/>
      <queryTableField id="12" name="Balance (USD)" tableColumnId="12"/>
      <queryTableField id="13" name="Debt (USD)" tableColumnId="13"/>
      <queryTableField id="14" name="Credit Score" tableColumnId="14"/>
      <queryTableField id="15" name="Income Level (USD Annual)" tableColumnId="15"/>
      <queryTableField id="16" name="Risk Category" tableColumnId="16"/>
      <queryTableField id="17" name="KYC Status" tableColumnId="17"/>
      <queryTableField id="18" name="Fraud Flag" tableColumnId="18"/>
      <queryTableField id="19" name="Account Status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count_Type" xr10:uid="{6B3F19CF-C134-4DAA-88BD-9ECC8278E6B7}" sourceName="Account Type">
  <pivotTables>
    <pivotTable tabId="6" name="PivotTable12"/>
    <pivotTable tabId="6" name="PivotTable2"/>
    <pivotTable tabId="6" name="PivotTable4"/>
    <pivotTable tabId="6" name="PivotTable14"/>
    <pivotTable tabId="6" name="PivotTable10"/>
    <pivotTable tabId="6" name="PivotTable13"/>
    <pivotTable tabId="6" name="PivotTable17"/>
    <pivotTable tabId="6" name="PivotTable19"/>
    <pivotTable tabId="6" name="PivotTable15"/>
    <pivotTable tabId="6" name="PivotTable3"/>
    <pivotTable tabId="6" name="PivotTable1"/>
    <pivotTable tabId="6" name="PivotTable5"/>
    <pivotTable tabId="6" name="PivotTable18"/>
  </pivotTables>
  <data>
    <tabular pivotCacheId="2136451620">
      <items count="7">
        <i x="2" s="1"/>
        <i x="5" s="1"/>
        <i x="1" s="1"/>
        <i x="3" s="1"/>
        <i x="0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KYC_Status" xr10:uid="{127B21C3-35DA-4ED1-A8E6-83B040A771E5}" sourceName="KYC Status">
  <pivotTables>
    <pivotTable tabId="6" name="PivotTable12"/>
    <pivotTable tabId="6" name="PivotTable2"/>
    <pivotTable tabId="6" name="PivotTable4"/>
    <pivotTable tabId="6" name="PivotTable14"/>
    <pivotTable tabId="6" name="PivotTable10"/>
    <pivotTable tabId="6" name="PivotTable13"/>
    <pivotTable tabId="6" name="PivotTable19"/>
    <pivotTable tabId="6" name="PivotTable17"/>
    <pivotTable tabId="6" name="PivotTable15"/>
    <pivotTable tabId="6" name="PivotTable3"/>
    <pivotTable tabId="6" name="PivotTable1"/>
    <pivotTable tabId="6" name="PivotTable5"/>
    <pivotTable tabId="6" name="PivotTable18"/>
  </pivotTables>
  <data>
    <tabular pivotCacheId="2136451620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ccount Type" xr10:uid="{9C3723FD-5152-403B-8415-5E637B55676F}" cache="Slicer_Account_Type" caption="Account Type" rowHeight="228600"/>
  <slicer name="KYC Status" xr10:uid="{C4885599-5895-42CF-8CCE-F719B0AAF501}" cache="Slicer_KYC_Status" caption="KYC Status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1FE0C-59EB-402E-B15F-1E40A7E238F6}" name="Global_Banking_Customer_Analytics_Dataset_2" displayName="Global_Banking_Customer_Analytics_Dataset_2" ref="A1:X1600" tableType="queryTable" totalsRowShown="0" dataDxfId="24">
  <autoFilter ref="A1:X1600" xr:uid="{85A1FE0C-59EB-402E-B15F-1E40A7E238F6}"/>
  <tableColumns count="24">
    <tableColumn id="1" xr3:uid="{500F1FFA-A572-46DF-838B-7222F39470B5}" uniqueName="1" name="Full Name" queryTableFieldId="1" dataDxfId="23"/>
    <tableColumn id="2" xr3:uid="{29625EF8-BB9E-491F-AE60-3B4759C87EE0}" uniqueName="2" name="Username" queryTableFieldId="2" dataDxfId="22"/>
    <tableColumn id="3" xr3:uid="{CDD71526-F727-4A41-804A-71E47C6780B9}" uniqueName="3" name="Account Type" queryTableFieldId="3" dataDxfId="21"/>
    <tableColumn id="4" xr3:uid="{F6D96A1A-42B3-4D04-AE3A-8D59190366BD}" uniqueName="4" name="Country" queryTableFieldId="4" dataDxfId="20"/>
    <tableColumn id="5" xr3:uid="{BC1522F9-1063-42C6-BB64-C52937B38D91}" uniqueName="5" name="City" queryTableFieldId="5" dataDxfId="19"/>
    <tableColumn id="6" xr3:uid="{1DC79A53-6D57-4FBF-AF3C-29A4E156779A}" uniqueName="6" name="Age" queryTableFieldId="6" dataDxfId="18"/>
    <tableColumn id="7" xr3:uid="{ACB57691-960B-4804-A61D-1546198E9AFE}" uniqueName="7" name="Gender" queryTableFieldId="7" dataDxfId="17"/>
    <tableColumn id="8" xr3:uid="{507A8A8E-3F19-4628-B648-92FBCC1ACCC5}" uniqueName="8" name="Email" queryTableFieldId="8" dataDxfId="16"/>
    <tableColumn id="9" xr3:uid="{D61DEADF-EC9F-4629-ACF0-A625CB32C785}" uniqueName="9" name="Phone Number" queryTableFieldId="9" dataDxfId="15"/>
    <tableColumn id="10" xr3:uid="{BDA1EB6C-2528-47A1-9476-7455793567DE}" uniqueName="10" name="Account Creation Date" queryTableFieldId="10" dataDxfId="14"/>
    <tableColumn id="11" xr3:uid="{D71C0658-B6C0-4919-A692-5048C33A5BFF}" uniqueName="11" name="Last Active Date" queryTableFieldId="11" dataDxfId="13"/>
    <tableColumn id="12" xr3:uid="{65729E60-AB4A-41DD-9EC1-53EDE623695B}" uniqueName="12" name="Balance (USD)" queryTableFieldId="12" dataDxfId="12"/>
    <tableColumn id="13" xr3:uid="{E3821F5F-57E7-4582-A83E-A895BCCDA682}" uniqueName="13" name="Debt (USD)" queryTableFieldId="13" dataDxfId="11"/>
    <tableColumn id="14" xr3:uid="{439BAC9A-09D5-4DDD-B695-2B3CA800E08A}" uniqueName="14" name="Credit Score" queryTableFieldId="14" dataDxfId="10"/>
    <tableColumn id="15" xr3:uid="{0647CEB5-2F5B-4CF5-8E49-7AFB5BF639C1}" uniqueName="15" name="Income Level (USD Annual)" queryTableFieldId="15" dataDxfId="9"/>
    <tableColumn id="16" xr3:uid="{EC1676B5-FC54-4508-87D4-9A0877F8379F}" uniqueName="16" name="Risk Category" queryTableFieldId="16" dataDxfId="8"/>
    <tableColumn id="17" xr3:uid="{18845F62-FDB0-4DA4-ACD1-4FE75C4F2534}" uniqueName="17" name="KYC Status" queryTableFieldId="17" dataDxfId="7"/>
    <tableColumn id="18" xr3:uid="{DD1E6094-04D4-422A-9529-B395F317254A}" uniqueName="18" name="Fraud Flag" queryTableFieldId="18" dataDxfId="6"/>
    <tableColumn id="19" xr3:uid="{BE62090B-C144-49AF-964F-938EB7F5D064}" uniqueName="19" name="Account Status" queryTableFieldId="19" dataDxfId="5"/>
    <tableColumn id="20" xr3:uid="{5443836C-8E8F-441B-963C-9C5F36355294}" uniqueName="20" name="Debt Ratio" queryTableFieldId="20" dataDxfId="4">
      <calculatedColumnFormula>IFERROR(M2/O2,"")</calculatedColumnFormula>
    </tableColumn>
    <tableColumn id="21" xr3:uid="{FD129265-C36C-4D24-B0C9-4CA0CA8FF7C8}" uniqueName="21" name="Days Inactive" queryTableFieldId="21" dataDxfId="3">
      <calculatedColumnFormula>MAX($K$2:$K$1599)-K2</calculatedColumnFormula>
    </tableColumn>
    <tableColumn id="22" xr3:uid="{51DC17C5-C805-46BC-96DF-797CB2FD382D}" uniqueName="22" name="Credit Score Band " queryTableFieldId="22" dataDxfId="2">
      <calculatedColumnFormula>IF(N2&lt;670,"FAIR", IF(N2&lt;750,"GOOD",IF(N2&lt;800,"VERY GOOD","EXCEPTIONAL")))</calculatedColumnFormula>
    </tableColumn>
    <tableColumn id="23" xr3:uid="{9802BCB8-7FD6-4392-B39D-140D75F3E10B}" uniqueName="23" name="Age Group " queryTableFieldId="23" dataDxfId="1">
      <calculatedColumnFormula>IF(F2&lt;25,"18-24",IF(F2&lt;35,"25-34",IF(F2&lt;45,"35-44",IF(F2&lt;55,"45-54","55+"))))</calculatedColumnFormula>
    </tableColumn>
    <tableColumn id="24" xr3:uid="{54F66F00-FCF1-4A47-B7DE-776D53E7B1F3}" uniqueName="24" name="Income categories " queryTableFieldId="24" dataDxfId="0">
      <calculatedColumnFormula>IF(O2&lt;=_xlfn.QUARTILE.INC($O$2:$O$1599,1),"Low",IF(O2&lt;=_xlfn.QUARTILE.INC($O$2:$O$1599,2),"Lower-Middle",IF(O2&lt;=_xlfn.QUARTILE.INC($O$2:$O$1599,3),"Upper-Middle","High")))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F5E3-6CA4-410C-8E6D-C78FAB5BF951}">
  <dimension ref="A1:S1600"/>
  <sheetViews>
    <sheetView workbookViewId="0">
      <selection activeCell="E1" sqref="E1"/>
    </sheetView>
  </sheetViews>
  <sheetFormatPr defaultRowHeight="15"/>
  <cols>
    <col min="1" max="1" width="27" customWidth="1"/>
    <col min="2" max="2" width="18.140625" customWidth="1"/>
    <col min="3" max="3" width="19.5703125" customWidth="1"/>
    <col min="4" max="4" width="14.5703125" customWidth="1"/>
    <col min="5" max="5" width="12.7109375" customWidth="1"/>
    <col min="7" max="7" width="11.5703125" customWidth="1"/>
    <col min="8" max="8" width="27.28515625" customWidth="1"/>
    <col min="9" max="9" width="23.140625" customWidth="1"/>
    <col min="10" max="10" width="17" customWidth="1"/>
    <col min="11" max="11" width="15.28515625" customWidth="1"/>
    <col min="12" max="12" width="19.28515625" customWidth="1"/>
    <col min="13" max="13" width="16.42578125" customWidth="1"/>
    <col min="14" max="14" width="13.5703125" customWidth="1"/>
    <col min="15" max="15" width="14" customWidth="1"/>
    <col min="16" max="16" width="12.5703125" customWidth="1"/>
    <col min="17" max="17" width="11.28515625" customWidth="1"/>
    <col min="18" max="18" width="14.140625" customWidth="1"/>
    <col min="19" max="19" width="14.7109375" customWidth="1"/>
  </cols>
  <sheetData>
    <row r="1" spans="1:1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42</v>
      </c>
      <c r="G2" t="s">
        <v>24</v>
      </c>
      <c r="H2" t="s">
        <v>25</v>
      </c>
      <c r="I2">
        <f>1-718-555-199</f>
        <v>-1471</v>
      </c>
      <c r="J2" s="1">
        <v>43539</v>
      </c>
      <c r="K2" s="1">
        <v>45303</v>
      </c>
      <c r="L2">
        <v>45250.75</v>
      </c>
      <c r="M2">
        <v>12500.5</v>
      </c>
      <c r="N2">
        <v>745</v>
      </c>
      <c r="O2">
        <v>85000</v>
      </c>
      <c r="P2" t="s">
        <v>26</v>
      </c>
      <c r="Q2" t="s">
        <v>27</v>
      </c>
      <c r="R2">
        <v>0</v>
      </c>
      <c r="S2" t="s">
        <v>28</v>
      </c>
    </row>
    <row r="3" spans="1:19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28</v>
      </c>
      <c r="G3" t="s">
        <v>34</v>
      </c>
      <c r="H3" t="s">
        <v>35</v>
      </c>
      <c r="I3">
        <f>81-90-1234-5678</f>
        <v>-6921</v>
      </c>
      <c r="J3" s="1">
        <v>44764</v>
      </c>
      <c r="K3" s="1">
        <v>45305</v>
      </c>
      <c r="L3">
        <v>12800</v>
      </c>
      <c r="M3">
        <v>3500.25</v>
      </c>
      <c r="N3">
        <v>810</v>
      </c>
      <c r="O3">
        <v>45000</v>
      </c>
      <c r="P3" t="s">
        <v>36</v>
      </c>
      <c r="Q3" t="s">
        <v>27</v>
      </c>
      <c r="R3">
        <v>0</v>
      </c>
      <c r="S3" t="s">
        <v>28</v>
      </c>
    </row>
    <row r="4" spans="1:19">
      <c r="A4" t="s">
        <v>37</v>
      </c>
      <c r="B4" t="s">
        <v>38</v>
      </c>
      <c r="C4" t="s">
        <v>39</v>
      </c>
      <c r="D4" t="s">
        <v>40</v>
      </c>
      <c r="E4" t="s">
        <v>41</v>
      </c>
      <c r="F4">
        <v>35</v>
      </c>
      <c r="G4" t="s">
        <v>24</v>
      </c>
      <c r="H4" t="s">
        <v>42</v>
      </c>
      <c r="I4">
        <f>91-987-654-3210</f>
        <v>-4760</v>
      </c>
      <c r="J4" s="1">
        <v>44140</v>
      </c>
      <c r="K4" s="1">
        <v>45301</v>
      </c>
      <c r="L4">
        <v>87500.800000000003</v>
      </c>
      <c r="M4">
        <v>45000.75</v>
      </c>
      <c r="N4">
        <v>680</v>
      </c>
      <c r="O4">
        <v>120000</v>
      </c>
      <c r="P4" t="s">
        <v>26</v>
      </c>
      <c r="Q4" t="s">
        <v>43</v>
      </c>
      <c r="R4">
        <v>0</v>
      </c>
      <c r="S4" t="s">
        <v>28</v>
      </c>
    </row>
    <row r="5" spans="1:19">
      <c r="A5" t="s">
        <v>44</v>
      </c>
      <c r="B5" t="s">
        <v>45</v>
      </c>
      <c r="C5" t="s">
        <v>46</v>
      </c>
      <c r="D5" t="s">
        <v>47</v>
      </c>
      <c r="E5" t="s">
        <v>48</v>
      </c>
      <c r="F5">
        <v>31</v>
      </c>
      <c r="G5" t="s">
        <v>34</v>
      </c>
      <c r="H5" t="s">
        <v>49</v>
      </c>
      <c r="I5">
        <f>44-20-7946-958</f>
        <v>-8880</v>
      </c>
      <c r="J5" s="1">
        <v>44457</v>
      </c>
      <c r="K5" s="1">
        <v>45304</v>
      </c>
      <c r="L5">
        <v>25600.3</v>
      </c>
      <c r="M5">
        <v>18000</v>
      </c>
      <c r="N5">
        <v>720</v>
      </c>
      <c r="O5">
        <v>75000</v>
      </c>
      <c r="P5" t="s">
        <v>36</v>
      </c>
      <c r="Q5" t="s">
        <v>27</v>
      </c>
      <c r="R5">
        <v>0</v>
      </c>
      <c r="S5" t="s">
        <v>28</v>
      </c>
    </row>
    <row r="6" spans="1:19">
      <c r="A6" t="s">
        <v>50</v>
      </c>
      <c r="B6" t="s">
        <v>51</v>
      </c>
      <c r="C6" t="s">
        <v>52</v>
      </c>
      <c r="D6" t="s">
        <v>22</v>
      </c>
      <c r="E6" t="s">
        <v>53</v>
      </c>
      <c r="F6">
        <v>45</v>
      </c>
      <c r="G6" t="s">
        <v>24</v>
      </c>
      <c r="H6" t="s">
        <v>54</v>
      </c>
      <c r="I6">
        <f>1-312-555-123</f>
        <v>-989</v>
      </c>
      <c r="J6" s="1">
        <v>43250</v>
      </c>
      <c r="K6" s="1">
        <v>45302</v>
      </c>
      <c r="L6">
        <v>67500.45</v>
      </c>
      <c r="M6">
        <v>25000.799999999999</v>
      </c>
      <c r="N6">
        <v>695</v>
      </c>
      <c r="O6">
        <v>95000</v>
      </c>
      <c r="P6" t="s">
        <v>26</v>
      </c>
      <c r="Q6" t="s">
        <v>27</v>
      </c>
      <c r="R6">
        <v>0</v>
      </c>
      <c r="S6" t="s">
        <v>28</v>
      </c>
    </row>
    <row r="7" spans="1:19">
      <c r="A7" t="s">
        <v>55</v>
      </c>
      <c r="B7" t="s">
        <v>56</v>
      </c>
      <c r="C7" t="s">
        <v>57</v>
      </c>
      <c r="D7" t="s">
        <v>58</v>
      </c>
      <c r="E7" t="s">
        <v>59</v>
      </c>
      <c r="F7">
        <v>26</v>
      </c>
      <c r="G7" t="s">
        <v>24</v>
      </c>
      <c r="H7" t="s">
        <v>60</v>
      </c>
      <c r="I7">
        <f>86-138-13-8000</f>
        <v>-8065</v>
      </c>
      <c r="J7" s="1">
        <v>44971</v>
      </c>
      <c r="K7" s="1">
        <v>45306</v>
      </c>
      <c r="L7">
        <v>9800.25</v>
      </c>
      <c r="M7">
        <v>4200.5</v>
      </c>
      <c r="N7">
        <v>780</v>
      </c>
      <c r="O7">
        <v>38000</v>
      </c>
      <c r="P7" t="s">
        <v>36</v>
      </c>
      <c r="Q7" t="s">
        <v>27</v>
      </c>
      <c r="R7">
        <v>0</v>
      </c>
      <c r="S7" t="s">
        <v>28</v>
      </c>
    </row>
    <row r="8" spans="1:19">
      <c r="A8" t="s">
        <v>61</v>
      </c>
      <c r="B8" t="s">
        <v>62</v>
      </c>
      <c r="C8" t="s">
        <v>52</v>
      </c>
      <c r="D8" t="s">
        <v>63</v>
      </c>
      <c r="E8" t="s">
        <v>64</v>
      </c>
      <c r="F8">
        <v>39</v>
      </c>
      <c r="G8" t="s">
        <v>34</v>
      </c>
      <c r="H8" t="s">
        <v>65</v>
      </c>
      <c r="I8">
        <f>55-11-91234-5678</f>
        <v>-96868</v>
      </c>
      <c r="J8" s="1">
        <v>43689</v>
      </c>
      <c r="K8" s="1">
        <v>45300</v>
      </c>
      <c r="L8">
        <v>32400.6</v>
      </c>
      <c r="M8">
        <v>15800.25</v>
      </c>
      <c r="N8">
        <v>710</v>
      </c>
      <c r="O8">
        <v>68000</v>
      </c>
      <c r="P8" t="s">
        <v>26</v>
      </c>
      <c r="Q8" t="s">
        <v>27</v>
      </c>
      <c r="R8">
        <v>0</v>
      </c>
      <c r="S8" t="s">
        <v>28</v>
      </c>
    </row>
    <row r="9" spans="1:19">
      <c r="A9" t="s">
        <v>66</v>
      </c>
      <c r="B9" t="s">
        <v>67</v>
      </c>
      <c r="C9" t="s">
        <v>31</v>
      </c>
      <c r="D9" t="s">
        <v>68</v>
      </c>
      <c r="E9" t="s">
        <v>69</v>
      </c>
      <c r="F9">
        <v>24</v>
      </c>
      <c r="G9" t="s">
        <v>34</v>
      </c>
      <c r="H9" t="s">
        <v>70</v>
      </c>
      <c r="I9">
        <f>234-703-456-7890</f>
        <v>-8815</v>
      </c>
      <c r="J9" s="1">
        <v>45066</v>
      </c>
      <c r="K9" s="1">
        <v>45305</v>
      </c>
      <c r="L9">
        <v>5600.75</v>
      </c>
      <c r="M9">
        <v>3200</v>
      </c>
      <c r="N9">
        <v>650</v>
      </c>
      <c r="O9">
        <v>29000</v>
      </c>
      <c r="P9" t="s">
        <v>26</v>
      </c>
      <c r="Q9" t="s">
        <v>43</v>
      </c>
      <c r="R9">
        <v>0</v>
      </c>
      <c r="S9" t="s">
        <v>28</v>
      </c>
    </row>
    <row r="10" spans="1:19">
      <c r="A10" t="s">
        <v>71</v>
      </c>
      <c r="B10" t="s">
        <v>72</v>
      </c>
      <c r="C10" t="s">
        <v>39</v>
      </c>
      <c r="D10" t="s">
        <v>73</v>
      </c>
      <c r="E10" t="s">
        <v>74</v>
      </c>
      <c r="F10">
        <v>52</v>
      </c>
      <c r="G10" t="s">
        <v>24</v>
      </c>
      <c r="H10" t="s">
        <v>75</v>
      </c>
      <c r="I10">
        <f>49-170-1234567</f>
        <v>-1234688</v>
      </c>
      <c r="J10" s="1">
        <v>43072</v>
      </c>
      <c r="K10" s="1">
        <v>45299</v>
      </c>
      <c r="L10">
        <v>124500.9</v>
      </c>
      <c r="M10">
        <v>75000.399999999994</v>
      </c>
      <c r="N10">
        <v>665</v>
      </c>
      <c r="O10">
        <v>150000</v>
      </c>
      <c r="P10" t="s">
        <v>76</v>
      </c>
      <c r="Q10" t="s">
        <v>27</v>
      </c>
      <c r="R10">
        <v>0</v>
      </c>
      <c r="S10" t="s">
        <v>28</v>
      </c>
    </row>
    <row r="11" spans="1:19">
      <c r="A11" t="s">
        <v>77</v>
      </c>
      <c r="B11" t="s">
        <v>78</v>
      </c>
      <c r="C11" t="s">
        <v>46</v>
      </c>
      <c r="D11" t="s">
        <v>79</v>
      </c>
      <c r="E11" t="s">
        <v>80</v>
      </c>
      <c r="F11">
        <v>36</v>
      </c>
      <c r="G11" t="s">
        <v>34</v>
      </c>
      <c r="H11" t="s">
        <v>81</v>
      </c>
      <c r="I11">
        <f>971-50-345-6789</f>
        <v>-6213</v>
      </c>
      <c r="J11" s="1">
        <v>44311</v>
      </c>
      <c r="K11" s="1">
        <v>45303</v>
      </c>
      <c r="L11">
        <v>78900.25</v>
      </c>
      <c r="M11">
        <v>32000.75</v>
      </c>
      <c r="N11">
        <v>730</v>
      </c>
      <c r="O11">
        <v>110000</v>
      </c>
      <c r="P11" t="s">
        <v>26</v>
      </c>
      <c r="Q11" t="s">
        <v>27</v>
      </c>
      <c r="R11">
        <v>0</v>
      </c>
      <c r="S11" t="s">
        <v>28</v>
      </c>
    </row>
    <row r="12" spans="1:19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>
        <v>21</v>
      </c>
      <c r="G12" t="s">
        <v>24</v>
      </c>
      <c r="H12" t="s">
        <v>87</v>
      </c>
      <c r="I12">
        <f>1-416-555-189</f>
        <v>-1159</v>
      </c>
      <c r="J12" s="1">
        <v>45179</v>
      </c>
      <c r="K12" s="1">
        <v>45304</v>
      </c>
      <c r="L12">
        <v>3200.5</v>
      </c>
      <c r="M12">
        <v>12500.8</v>
      </c>
      <c r="N12">
        <v>625</v>
      </c>
      <c r="O12">
        <v>22000</v>
      </c>
      <c r="P12" t="s">
        <v>76</v>
      </c>
      <c r="Q12" t="s">
        <v>43</v>
      </c>
      <c r="R12">
        <v>0</v>
      </c>
      <c r="S12" t="s">
        <v>28</v>
      </c>
    </row>
    <row r="13" spans="1:19">
      <c r="A13" t="s">
        <v>88</v>
      </c>
      <c r="B13" t="s">
        <v>89</v>
      </c>
      <c r="C13" t="s">
        <v>21</v>
      </c>
      <c r="D13" t="s">
        <v>32</v>
      </c>
      <c r="E13" t="s">
        <v>90</v>
      </c>
      <c r="F13">
        <v>48</v>
      </c>
      <c r="G13" t="s">
        <v>34</v>
      </c>
      <c r="H13" t="s">
        <v>91</v>
      </c>
      <c r="I13">
        <f>81-80-9876-5432</f>
        <v>-15307</v>
      </c>
      <c r="J13" s="1">
        <v>43847</v>
      </c>
      <c r="K13" s="1">
        <v>45301</v>
      </c>
      <c r="L13">
        <v>95600.4</v>
      </c>
      <c r="M13">
        <v>28000.6</v>
      </c>
      <c r="N13">
        <v>775</v>
      </c>
      <c r="O13">
        <v>125000</v>
      </c>
      <c r="P13" t="s">
        <v>36</v>
      </c>
      <c r="Q13" t="s">
        <v>27</v>
      </c>
      <c r="R13">
        <v>0</v>
      </c>
      <c r="S13" t="s">
        <v>28</v>
      </c>
    </row>
    <row r="14" spans="1:19">
      <c r="A14" t="s">
        <v>92</v>
      </c>
      <c r="B14" t="s">
        <v>93</v>
      </c>
      <c r="C14" t="s">
        <v>52</v>
      </c>
      <c r="D14" t="s">
        <v>40</v>
      </c>
      <c r="E14" t="s">
        <v>94</v>
      </c>
      <c r="F14">
        <v>33</v>
      </c>
      <c r="G14" t="s">
        <v>24</v>
      </c>
      <c r="H14" t="s">
        <v>95</v>
      </c>
      <c r="I14">
        <f>91-989-876-5432</f>
        <v>-7206</v>
      </c>
      <c r="J14" s="1">
        <v>44530</v>
      </c>
      <c r="K14" s="1">
        <v>45302</v>
      </c>
      <c r="L14">
        <v>42300.800000000003</v>
      </c>
      <c r="M14">
        <v>19500.25</v>
      </c>
      <c r="N14">
        <v>690</v>
      </c>
      <c r="O14">
        <v>78000</v>
      </c>
      <c r="P14" t="s">
        <v>26</v>
      </c>
      <c r="Q14" t="s">
        <v>27</v>
      </c>
      <c r="R14">
        <v>0</v>
      </c>
      <c r="S14" t="s">
        <v>28</v>
      </c>
    </row>
    <row r="15" spans="1:19">
      <c r="A15" t="s">
        <v>96</v>
      </c>
      <c r="B15" t="s">
        <v>97</v>
      </c>
      <c r="C15" t="s">
        <v>57</v>
      </c>
      <c r="D15" t="s">
        <v>47</v>
      </c>
      <c r="E15" t="s">
        <v>98</v>
      </c>
      <c r="F15">
        <v>29</v>
      </c>
      <c r="G15" t="s">
        <v>34</v>
      </c>
      <c r="H15" t="s">
        <v>99</v>
      </c>
      <c r="I15">
        <f>44-16-1837-4650</f>
        <v>-6459</v>
      </c>
      <c r="J15" s="1">
        <v>44642</v>
      </c>
      <c r="K15" s="1">
        <v>45305</v>
      </c>
      <c r="L15">
        <v>15800.9</v>
      </c>
      <c r="M15">
        <v>8200.75</v>
      </c>
      <c r="N15">
        <v>745</v>
      </c>
      <c r="O15">
        <v>52000</v>
      </c>
      <c r="P15" t="s">
        <v>36</v>
      </c>
      <c r="Q15" t="s">
        <v>27</v>
      </c>
      <c r="R15">
        <v>0</v>
      </c>
      <c r="S15" t="s">
        <v>28</v>
      </c>
    </row>
    <row r="16" spans="1:19">
      <c r="A16" t="s">
        <v>100</v>
      </c>
      <c r="B16" t="s">
        <v>101</v>
      </c>
      <c r="C16" t="s">
        <v>39</v>
      </c>
      <c r="D16" t="s">
        <v>79</v>
      </c>
      <c r="E16" t="s">
        <v>102</v>
      </c>
      <c r="F16">
        <v>44</v>
      </c>
      <c r="G16" t="s">
        <v>24</v>
      </c>
      <c r="H16" t="s">
        <v>103</v>
      </c>
      <c r="I16">
        <f>971-56-789-123</f>
        <v>3</v>
      </c>
      <c r="J16" s="1">
        <v>43300</v>
      </c>
      <c r="K16" s="1">
        <v>45300</v>
      </c>
      <c r="L16">
        <v>187600.3</v>
      </c>
      <c r="M16">
        <v>92000.8</v>
      </c>
      <c r="N16">
        <v>655</v>
      </c>
      <c r="O16">
        <v>180000</v>
      </c>
      <c r="P16" t="s">
        <v>76</v>
      </c>
      <c r="Q16" t="s">
        <v>27</v>
      </c>
      <c r="R16">
        <v>0</v>
      </c>
      <c r="S16" t="s">
        <v>28</v>
      </c>
    </row>
    <row r="17" spans="1:19">
      <c r="A17" t="s">
        <v>104</v>
      </c>
      <c r="B17" t="s">
        <v>105</v>
      </c>
      <c r="C17" t="s">
        <v>31</v>
      </c>
      <c r="D17" t="s">
        <v>63</v>
      </c>
      <c r="E17" t="s">
        <v>106</v>
      </c>
      <c r="F17">
        <v>27</v>
      </c>
      <c r="G17" t="s">
        <v>34</v>
      </c>
      <c r="H17" t="s">
        <v>107</v>
      </c>
      <c r="I17">
        <f>55-21-99876-5432</f>
        <v>-105274</v>
      </c>
      <c r="J17" s="1">
        <v>44941</v>
      </c>
      <c r="K17" s="1">
        <v>45306</v>
      </c>
      <c r="L17">
        <v>7200.4</v>
      </c>
      <c r="M17">
        <v>4800.8999999999996</v>
      </c>
      <c r="N17">
        <v>720</v>
      </c>
      <c r="O17">
        <v>41000</v>
      </c>
      <c r="P17" t="s">
        <v>36</v>
      </c>
      <c r="Q17" t="s">
        <v>27</v>
      </c>
      <c r="R17">
        <v>0</v>
      </c>
      <c r="S17" t="s">
        <v>28</v>
      </c>
    </row>
    <row r="18" spans="1:19">
      <c r="A18" t="s">
        <v>108</v>
      </c>
      <c r="B18" t="s">
        <v>109</v>
      </c>
      <c r="C18" t="s">
        <v>21</v>
      </c>
      <c r="D18" t="s">
        <v>32</v>
      </c>
      <c r="E18" t="s">
        <v>110</v>
      </c>
      <c r="F18">
        <v>55</v>
      </c>
      <c r="G18" t="s">
        <v>24</v>
      </c>
      <c r="H18" t="s">
        <v>111</v>
      </c>
      <c r="I18">
        <f>81-75-234-5678</f>
        <v>-5906</v>
      </c>
      <c r="J18" s="1">
        <v>42641</v>
      </c>
      <c r="K18" s="1">
        <v>45299</v>
      </c>
      <c r="L18">
        <v>203400.75</v>
      </c>
      <c r="M18">
        <v>45000.25</v>
      </c>
      <c r="N18">
        <v>805</v>
      </c>
      <c r="O18">
        <v>220000</v>
      </c>
      <c r="P18" t="s">
        <v>36</v>
      </c>
      <c r="Q18" t="s">
        <v>27</v>
      </c>
      <c r="R18">
        <v>0</v>
      </c>
      <c r="S18" t="s">
        <v>28</v>
      </c>
    </row>
    <row r="19" spans="1:19">
      <c r="A19" t="s">
        <v>112</v>
      </c>
      <c r="B19" t="s">
        <v>113</v>
      </c>
      <c r="C19" t="s">
        <v>52</v>
      </c>
      <c r="D19" t="s">
        <v>68</v>
      </c>
      <c r="E19" t="s">
        <v>114</v>
      </c>
      <c r="F19">
        <v>38</v>
      </c>
      <c r="G19" t="s">
        <v>24</v>
      </c>
      <c r="H19" t="s">
        <v>115</v>
      </c>
      <c r="I19">
        <f>234-802-345-6789</f>
        <v>-7702</v>
      </c>
      <c r="J19" s="1">
        <v>43996</v>
      </c>
      <c r="K19" s="1">
        <v>45303</v>
      </c>
      <c r="L19">
        <v>28900.6</v>
      </c>
      <c r="M19">
        <v>13400.8</v>
      </c>
      <c r="N19">
        <v>675</v>
      </c>
      <c r="O19">
        <v>72000</v>
      </c>
      <c r="P19" t="s">
        <v>26</v>
      </c>
      <c r="Q19" t="s">
        <v>27</v>
      </c>
      <c r="R19">
        <v>0</v>
      </c>
      <c r="S19" t="s">
        <v>28</v>
      </c>
    </row>
    <row r="20" spans="1:19">
      <c r="A20" t="s">
        <v>116</v>
      </c>
      <c r="B20" t="s">
        <v>117</v>
      </c>
      <c r="C20" t="s">
        <v>84</v>
      </c>
      <c r="D20" t="s">
        <v>22</v>
      </c>
      <c r="E20" t="s">
        <v>118</v>
      </c>
      <c r="F20">
        <v>20</v>
      </c>
      <c r="G20" t="s">
        <v>34</v>
      </c>
      <c r="H20" t="s">
        <v>119</v>
      </c>
      <c r="I20">
        <f>1-213-555-176</f>
        <v>-943</v>
      </c>
      <c r="J20" s="1">
        <v>45143</v>
      </c>
      <c r="K20" s="1">
        <v>45304</v>
      </c>
      <c r="L20">
        <v>1850.25</v>
      </c>
      <c r="M20">
        <v>9500.4</v>
      </c>
      <c r="N20">
        <v>610</v>
      </c>
      <c r="O20">
        <v>18000</v>
      </c>
      <c r="P20" t="s">
        <v>76</v>
      </c>
      <c r="Q20" t="s">
        <v>43</v>
      </c>
      <c r="R20">
        <v>0</v>
      </c>
      <c r="S20" t="s">
        <v>28</v>
      </c>
    </row>
    <row r="21" spans="1:19">
      <c r="A21" t="s">
        <v>120</v>
      </c>
      <c r="B21" t="s">
        <v>121</v>
      </c>
      <c r="C21" t="s">
        <v>57</v>
      </c>
      <c r="D21" t="s">
        <v>58</v>
      </c>
      <c r="E21" t="s">
        <v>122</v>
      </c>
      <c r="F21">
        <v>32</v>
      </c>
      <c r="G21" t="s">
        <v>24</v>
      </c>
      <c r="H21" t="s">
        <v>123</v>
      </c>
      <c r="I21">
        <f>86-139-8765-4321</f>
        <v>-13139</v>
      </c>
      <c r="J21" s="1">
        <v>44255</v>
      </c>
      <c r="K21" s="1">
        <v>45301</v>
      </c>
      <c r="L21">
        <v>24300.7</v>
      </c>
      <c r="M21">
        <v>11200.5</v>
      </c>
      <c r="N21">
        <v>760</v>
      </c>
      <c r="O21">
        <v>67000</v>
      </c>
      <c r="P21" t="s">
        <v>36</v>
      </c>
      <c r="Q21" t="s">
        <v>27</v>
      </c>
      <c r="R21">
        <v>0</v>
      </c>
      <c r="S21" t="s">
        <v>28</v>
      </c>
    </row>
    <row r="22" spans="1:19">
      <c r="A22" t="s">
        <v>124</v>
      </c>
      <c r="B22" t="s">
        <v>125</v>
      </c>
      <c r="C22" t="s">
        <v>52</v>
      </c>
      <c r="D22" t="s">
        <v>73</v>
      </c>
      <c r="E22" t="s">
        <v>126</v>
      </c>
      <c r="F22">
        <v>41</v>
      </c>
      <c r="G22" t="s">
        <v>34</v>
      </c>
      <c r="H22" t="s">
        <v>127</v>
      </c>
      <c r="I22">
        <f>49-171-9876543</f>
        <v>-9876665</v>
      </c>
      <c r="J22" s="1">
        <v>43573</v>
      </c>
      <c r="K22" s="1">
        <v>45302</v>
      </c>
      <c r="L22">
        <v>38700.25</v>
      </c>
      <c r="M22">
        <v>14500.6</v>
      </c>
      <c r="N22">
        <v>735</v>
      </c>
      <c r="O22">
        <v>89000</v>
      </c>
      <c r="P22" t="s">
        <v>36</v>
      </c>
      <c r="Q22" t="s">
        <v>27</v>
      </c>
      <c r="R22">
        <v>0</v>
      </c>
      <c r="S22" t="s">
        <v>28</v>
      </c>
    </row>
    <row r="23" spans="1:19">
      <c r="A23" t="s">
        <v>128</v>
      </c>
      <c r="B23" t="s">
        <v>129</v>
      </c>
      <c r="C23" t="s">
        <v>46</v>
      </c>
      <c r="D23" t="s">
        <v>85</v>
      </c>
      <c r="E23" t="s">
        <v>130</v>
      </c>
      <c r="F23">
        <v>37</v>
      </c>
      <c r="G23" t="s">
        <v>24</v>
      </c>
      <c r="H23" t="s">
        <v>131</v>
      </c>
      <c r="I23">
        <f>1-604-555-167</f>
        <v>-1325</v>
      </c>
      <c r="J23" s="1">
        <v>44126</v>
      </c>
      <c r="K23" s="1">
        <v>45300</v>
      </c>
      <c r="L23">
        <v>54200.800000000003</v>
      </c>
      <c r="M23">
        <v>22800.75</v>
      </c>
      <c r="N23">
        <v>710</v>
      </c>
      <c r="O23">
        <v>105000</v>
      </c>
      <c r="P23" t="s">
        <v>26</v>
      </c>
      <c r="Q23" t="s">
        <v>27</v>
      </c>
      <c r="R23">
        <v>0</v>
      </c>
      <c r="S23" t="s">
        <v>28</v>
      </c>
    </row>
    <row r="24" spans="1:19">
      <c r="A24" t="s">
        <v>132</v>
      </c>
      <c r="B24" t="s">
        <v>133</v>
      </c>
      <c r="C24" t="s">
        <v>31</v>
      </c>
      <c r="D24" t="s">
        <v>40</v>
      </c>
      <c r="E24" t="s">
        <v>134</v>
      </c>
      <c r="F24">
        <v>26</v>
      </c>
      <c r="G24" t="s">
        <v>34</v>
      </c>
      <c r="H24" t="s">
        <v>135</v>
      </c>
      <c r="I24">
        <f>91-876-543-2109</f>
        <v>-3437</v>
      </c>
      <c r="J24" s="1">
        <v>44995</v>
      </c>
      <c r="K24" s="1">
        <v>45305</v>
      </c>
      <c r="L24">
        <v>8900.4</v>
      </c>
      <c r="M24">
        <v>5200.25</v>
      </c>
      <c r="N24">
        <v>690</v>
      </c>
      <c r="O24">
        <v>35000</v>
      </c>
      <c r="P24" t="s">
        <v>26</v>
      </c>
      <c r="Q24" t="s">
        <v>43</v>
      </c>
      <c r="R24">
        <v>0</v>
      </c>
      <c r="S24" t="s">
        <v>28</v>
      </c>
    </row>
    <row r="25" spans="1:19">
      <c r="A25" t="s">
        <v>136</v>
      </c>
      <c r="B25" t="s">
        <v>137</v>
      </c>
      <c r="C25" t="s">
        <v>39</v>
      </c>
      <c r="D25" t="s">
        <v>79</v>
      </c>
      <c r="E25" t="s">
        <v>138</v>
      </c>
      <c r="F25">
        <v>49</v>
      </c>
      <c r="G25" t="s">
        <v>24</v>
      </c>
      <c r="H25" t="s">
        <v>139</v>
      </c>
      <c r="I25">
        <f>971-55-678-9012</f>
        <v>-8774</v>
      </c>
      <c r="J25" s="1">
        <v>43054</v>
      </c>
      <c r="K25" s="1">
        <v>45299</v>
      </c>
      <c r="L25">
        <v>156800.6</v>
      </c>
      <c r="M25">
        <v>78000.399999999994</v>
      </c>
      <c r="N25">
        <v>645</v>
      </c>
      <c r="O25">
        <v>165000</v>
      </c>
      <c r="P25" t="s">
        <v>76</v>
      </c>
      <c r="Q25" t="s">
        <v>27</v>
      </c>
      <c r="R25">
        <v>0</v>
      </c>
      <c r="S25" t="s">
        <v>28</v>
      </c>
    </row>
    <row r="26" spans="1:19">
      <c r="A26" t="s">
        <v>140</v>
      </c>
      <c r="B26" t="s">
        <v>141</v>
      </c>
      <c r="C26" t="s">
        <v>57</v>
      </c>
      <c r="D26" t="s">
        <v>63</v>
      </c>
      <c r="E26" t="s">
        <v>64</v>
      </c>
      <c r="F26">
        <v>30</v>
      </c>
      <c r="G26" t="s">
        <v>34</v>
      </c>
      <c r="H26" t="s">
        <v>142</v>
      </c>
      <c r="I26">
        <f>55-11-98765-4321</f>
        <v>-103042</v>
      </c>
      <c r="J26" s="1">
        <v>44535</v>
      </c>
      <c r="K26" s="1">
        <v>45303</v>
      </c>
      <c r="L26">
        <v>19200.75</v>
      </c>
      <c r="M26">
        <v>8600.9</v>
      </c>
      <c r="N26">
        <v>755</v>
      </c>
      <c r="O26">
        <v>58000</v>
      </c>
      <c r="P26" t="s">
        <v>36</v>
      </c>
      <c r="Q26" t="s">
        <v>27</v>
      </c>
      <c r="R26">
        <v>0</v>
      </c>
      <c r="S26" t="s">
        <v>28</v>
      </c>
    </row>
    <row r="27" spans="1:19">
      <c r="A27" t="s">
        <v>143</v>
      </c>
      <c r="B27" t="s">
        <v>144</v>
      </c>
      <c r="C27" t="s">
        <v>21</v>
      </c>
      <c r="D27" t="s">
        <v>32</v>
      </c>
      <c r="E27" t="s">
        <v>33</v>
      </c>
      <c r="F27">
        <v>53</v>
      </c>
      <c r="G27" t="s">
        <v>24</v>
      </c>
      <c r="H27" t="s">
        <v>145</v>
      </c>
      <c r="I27">
        <f>81-70-3456-7890</f>
        <v>-11335</v>
      </c>
      <c r="J27" s="1">
        <v>43159</v>
      </c>
      <c r="K27" s="1">
        <v>45301</v>
      </c>
      <c r="L27">
        <v>178900.25</v>
      </c>
      <c r="M27">
        <v>52000.800000000003</v>
      </c>
      <c r="N27">
        <v>790</v>
      </c>
      <c r="O27">
        <v>195000</v>
      </c>
      <c r="P27" t="s">
        <v>36</v>
      </c>
      <c r="Q27" t="s">
        <v>27</v>
      </c>
      <c r="R27">
        <v>0</v>
      </c>
      <c r="S27" t="s">
        <v>28</v>
      </c>
    </row>
    <row r="28" spans="1:19">
      <c r="A28" t="s">
        <v>146</v>
      </c>
      <c r="B28" t="s">
        <v>147</v>
      </c>
      <c r="C28" t="s">
        <v>52</v>
      </c>
      <c r="D28" t="s">
        <v>68</v>
      </c>
      <c r="E28" t="s">
        <v>69</v>
      </c>
      <c r="F28">
        <v>43</v>
      </c>
      <c r="G28" t="s">
        <v>24</v>
      </c>
      <c r="H28" t="s">
        <v>148</v>
      </c>
      <c r="I28">
        <f>234-815-678-9012</f>
        <v>-10271</v>
      </c>
      <c r="J28" s="1">
        <v>43660</v>
      </c>
      <c r="K28" s="1">
        <v>45302</v>
      </c>
      <c r="L28">
        <v>45600.9</v>
      </c>
      <c r="M28">
        <v>21300.6</v>
      </c>
      <c r="N28">
        <v>665</v>
      </c>
      <c r="O28">
        <v>95000</v>
      </c>
      <c r="P28" t="s">
        <v>26</v>
      </c>
      <c r="Q28" t="s">
        <v>27</v>
      </c>
      <c r="R28">
        <v>0</v>
      </c>
      <c r="S28" t="s">
        <v>28</v>
      </c>
    </row>
    <row r="29" spans="1:19">
      <c r="A29" t="s">
        <v>149</v>
      </c>
      <c r="B29" t="s">
        <v>150</v>
      </c>
      <c r="C29" t="s">
        <v>84</v>
      </c>
      <c r="D29" t="s">
        <v>47</v>
      </c>
      <c r="E29" t="s">
        <v>48</v>
      </c>
      <c r="F29">
        <v>19</v>
      </c>
      <c r="G29" t="s">
        <v>24</v>
      </c>
      <c r="H29" t="s">
        <v>151</v>
      </c>
      <c r="I29">
        <f>44-79-8765-4321</f>
        <v>-13121</v>
      </c>
      <c r="J29" s="1">
        <v>45207</v>
      </c>
      <c r="K29" s="1">
        <v>45304</v>
      </c>
      <c r="L29">
        <v>2250.8000000000002</v>
      </c>
      <c r="M29">
        <v>11200.75</v>
      </c>
      <c r="N29">
        <v>595</v>
      </c>
      <c r="O29">
        <v>16000</v>
      </c>
      <c r="P29" t="s">
        <v>76</v>
      </c>
      <c r="Q29" t="s">
        <v>43</v>
      </c>
      <c r="R29">
        <v>0</v>
      </c>
      <c r="S29" t="s">
        <v>28</v>
      </c>
    </row>
    <row r="30" spans="1:19">
      <c r="A30" t="s">
        <v>152</v>
      </c>
      <c r="B30" t="s">
        <v>153</v>
      </c>
      <c r="C30" t="s">
        <v>31</v>
      </c>
      <c r="D30" t="s">
        <v>58</v>
      </c>
      <c r="E30" t="s">
        <v>154</v>
      </c>
      <c r="F30">
        <v>29</v>
      </c>
      <c r="G30" t="s">
        <v>34</v>
      </c>
      <c r="H30" t="s">
        <v>155</v>
      </c>
      <c r="I30">
        <f>86-137-1234-5678</f>
        <v>-6963</v>
      </c>
      <c r="J30" s="1">
        <v>44788</v>
      </c>
      <c r="K30" s="1">
        <v>45305</v>
      </c>
      <c r="L30">
        <v>11200.3</v>
      </c>
      <c r="M30">
        <v>4800.3999999999996</v>
      </c>
      <c r="N30">
        <v>775</v>
      </c>
      <c r="O30">
        <v>43000</v>
      </c>
      <c r="P30" t="s">
        <v>36</v>
      </c>
      <c r="Q30" t="s">
        <v>27</v>
      </c>
      <c r="R30">
        <v>0</v>
      </c>
      <c r="S30" t="s">
        <v>28</v>
      </c>
    </row>
    <row r="31" spans="1:19">
      <c r="A31" t="s">
        <v>156</v>
      </c>
      <c r="B31" t="s">
        <v>157</v>
      </c>
      <c r="C31" t="s">
        <v>39</v>
      </c>
      <c r="D31" t="s">
        <v>73</v>
      </c>
      <c r="E31" t="s">
        <v>158</v>
      </c>
      <c r="F31">
        <v>47</v>
      </c>
      <c r="G31" t="s">
        <v>24</v>
      </c>
      <c r="H31" t="s">
        <v>159</v>
      </c>
      <c r="I31">
        <f>49-172-3456789</f>
        <v>-3456912</v>
      </c>
      <c r="J31" s="1">
        <v>43363</v>
      </c>
      <c r="K31" s="1">
        <v>45300</v>
      </c>
      <c r="L31">
        <v>134200.4</v>
      </c>
      <c r="M31">
        <v>65000.25</v>
      </c>
      <c r="N31">
        <v>670</v>
      </c>
      <c r="O31">
        <v>140000</v>
      </c>
      <c r="P31" t="s">
        <v>76</v>
      </c>
      <c r="Q31" t="s">
        <v>27</v>
      </c>
      <c r="R31">
        <v>0</v>
      </c>
      <c r="S31" t="s">
        <v>28</v>
      </c>
    </row>
    <row r="32" spans="1:19">
      <c r="A32" t="s">
        <v>160</v>
      </c>
      <c r="B32" t="s">
        <v>161</v>
      </c>
      <c r="C32" t="s">
        <v>46</v>
      </c>
      <c r="D32" t="s">
        <v>85</v>
      </c>
      <c r="E32" t="s">
        <v>162</v>
      </c>
      <c r="F32">
        <v>34</v>
      </c>
      <c r="G32" t="s">
        <v>34</v>
      </c>
      <c r="H32" t="s">
        <v>163</v>
      </c>
      <c r="I32">
        <f>1-514-555-154</f>
        <v>-1222</v>
      </c>
      <c r="J32" s="1">
        <v>44168</v>
      </c>
      <c r="K32" s="1">
        <v>45303</v>
      </c>
      <c r="L32">
        <v>62300.6</v>
      </c>
      <c r="M32">
        <v>24500.799999999999</v>
      </c>
      <c r="N32">
        <v>725</v>
      </c>
      <c r="O32">
        <v>98000</v>
      </c>
      <c r="P32" t="s">
        <v>26</v>
      </c>
      <c r="Q32" t="s">
        <v>27</v>
      </c>
      <c r="R32">
        <v>0</v>
      </c>
      <c r="S32" t="s">
        <v>28</v>
      </c>
    </row>
    <row r="33" spans="1:19">
      <c r="A33" t="s">
        <v>164</v>
      </c>
      <c r="B33" t="s">
        <v>165</v>
      </c>
      <c r="C33" t="s">
        <v>52</v>
      </c>
      <c r="D33" t="s">
        <v>40</v>
      </c>
      <c r="E33" t="s">
        <v>166</v>
      </c>
      <c r="F33">
        <v>40</v>
      </c>
      <c r="G33" t="s">
        <v>24</v>
      </c>
      <c r="H33" t="s">
        <v>167</v>
      </c>
      <c r="I33">
        <f>91-765-432-1098</f>
        <v>-2204</v>
      </c>
      <c r="J33" s="1">
        <v>43610</v>
      </c>
      <c r="K33" s="1">
        <v>45301</v>
      </c>
      <c r="L33">
        <v>51800.75</v>
      </c>
      <c r="M33">
        <v>23800.400000000001</v>
      </c>
      <c r="N33">
        <v>700</v>
      </c>
      <c r="O33">
        <v>110000</v>
      </c>
      <c r="P33" t="s">
        <v>26</v>
      </c>
      <c r="Q33" t="s">
        <v>27</v>
      </c>
      <c r="R33">
        <v>0</v>
      </c>
      <c r="S33" t="s">
        <v>28</v>
      </c>
    </row>
    <row r="34" spans="1:19">
      <c r="A34" t="s">
        <v>168</v>
      </c>
      <c r="B34" t="s">
        <v>169</v>
      </c>
      <c r="C34" t="s">
        <v>57</v>
      </c>
      <c r="D34" t="s">
        <v>79</v>
      </c>
      <c r="E34" t="s">
        <v>80</v>
      </c>
      <c r="F34">
        <v>27</v>
      </c>
      <c r="G34" t="s">
        <v>34</v>
      </c>
      <c r="H34" t="s">
        <v>170</v>
      </c>
      <c r="I34">
        <f>971-52-456-7890</f>
        <v>-7427</v>
      </c>
      <c r="J34" s="1">
        <v>44668</v>
      </c>
      <c r="K34" s="1">
        <v>45305</v>
      </c>
      <c r="L34">
        <v>14300.2</v>
      </c>
      <c r="M34">
        <v>6200.75</v>
      </c>
      <c r="N34">
        <v>740</v>
      </c>
      <c r="O34">
        <v>49000</v>
      </c>
      <c r="P34" t="s">
        <v>36</v>
      </c>
      <c r="Q34" t="s">
        <v>27</v>
      </c>
      <c r="R34">
        <v>0</v>
      </c>
      <c r="S34" t="s">
        <v>28</v>
      </c>
    </row>
    <row r="35" spans="1:19">
      <c r="A35" t="s">
        <v>171</v>
      </c>
      <c r="B35" t="s">
        <v>172</v>
      </c>
      <c r="C35" t="s">
        <v>21</v>
      </c>
      <c r="D35" t="s">
        <v>63</v>
      </c>
      <c r="E35" t="s">
        <v>106</v>
      </c>
      <c r="F35">
        <v>51</v>
      </c>
      <c r="G35" t="s">
        <v>24</v>
      </c>
      <c r="H35" t="s">
        <v>173</v>
      </c>
      <c r="I35">
        <f>55-21-97654-3210</f>
        <v>-100830</v>
      </c>
      <c r="J35" s="1">
        <v>42898</v>
      </c>
      <c r="K35" s="1">
        <v>45299</v>
      </c>
      <c r="L35">
        <v>198700.79999999999</v>
      </c>
      <c r="M35">
        <v>58000.6</v>
      </c>
      <c r="N35">
        <v>780</v>
      </c>
      <c r="O35">
        <v>210000</v>
      </c>
      <c r="P35" t="s">
        <v>36</v>
      </c>
      <c r="Q35" t="s">
        <v>27</v>
      </c>
      <c r="R35">
        <v>0</v>
      </c>
      <c r="S35" t="s">
        <v>28</v>
      </c>
    </row>
    <row r="36" spans="1:19">
      <c r="A36" t="s">
        <v>174</v>
      </c>
      <c r="B36" t="s">
        <v>175</v>
      </c>
      <c r="C36" t="s">
        <v>31</v>
      </c>
      <c r="D36" t="s">
        <v>32</v>
      </c>
      <c r="E36" t="s">
        <v>90</v>
      </c>
      <c r="F36">
        <v>25</v>
      </c>
      <c r="G36" t="s">
        <v>34</v>
      </c>
      <c r="H36" t="s">
        <v>176</v>
      </c>
      <c r="I36">
        <f>81-90-6789-123</f>
        <v>-6921</v>
      </c>
      <c r="J36" s="1">
        <v>45021</v>
      </c>
      <c r="K36" s="1">
        <v>45306</v>
      </c>
      <c r="L36">
        <v>6800.9</v>
      </c>
      <c r="M36">
        <v>3800.25</v>
      </c>
      <c r="N36">
        <v>720</v>
      </c>
      <c r="O36">
        <v>32000</v>
      </c>
      <c r="P36" t="s">
        <v>26</v>
      </c>
      <c r="Q36" t="s">
        <v>43</v>
      </c>
      <c r="R36">
        <v>0</v>
      </c>
      <c r="S36" t="s">
        <v>28</v>
      </c>
    </row>
    <row r="37" spans="1:19">
      <c r="A37" t="s">
        <v>177</v>
      </c>
      <c r="B37" t="s">
        <v>178</v>
      </c>
      <c r="C37" t="s">
        <v>39</v>
      </c>
      <c r="D37" t="s">
        <v>68</v>
      </c>
      <c r="E37" t="s">
        <v>179</v>
      </c>
      <c r="F37">
        <v>46</v>
      </c>
      <c r="G37" t="s">
        <v>24</v>
      </c>
      <c r="H37" t="s">
        <v>180</v>
      </c>
      <c r="I37">
        <f>234-706-789-123</f>
        <v>-1384</v>
      </c>
      <c r="J37" s="1">
        <v>43342</v>
      </c>
      <c r="K37" s="1">
        <v>45300</v>
      </c>
      <c r="L37">
        <v>123800.25</v>
      </c>
      <c r="M37">
        <v>59000.75</v>
      </c>
      <c r="N37">
        <v>635</v>
      </c>
      <c r="O37">
        <v>135000</v>
      </c>
      <c r="P37" t="s">
        <v>76</v>
      </c>
      <c r="Q37" t="s">
        <v>27</v>
      </c>
      <c r="R37">
        <v>0</v>
      </c>
      <c r="S37" t="s">
        <v>28</v>
      </c>
    </row>
    <row r="38" spans="1:19">
      <c r="A38" t="s">
        <v>181</v>
      </c>
      <c r="B38" t="s">
        <v>182</v>
      </c>
      <c r="C38" t="s">
        <v>46</v>
      </c>
      <c r="D38" t="s">
        <v>183</v>
      </c>
      <c r="E38" t="s">
        <v>184</v>
      </c>
      <c r="F38">
        <v>33</v>
      </c>
      <c r="G38" t="s">
        <v>34</v>
      </c>
      <c r="H38" t="s">
        <v>185</v>
      </c>
      <c r="I38">
        <f>33-6-1234-5678</f>
        <v>-6885</v>
      </c>
      <c r="J38" s="1">
        <v>44210</v>
      </c>
      <c r="K38" s="1">
        <v>45302</v>
      </c>
      <c r="L38">
        <v>47800.4</v>
      </c>
      <c r="M38">
        <v>19500.900000000001</v>
      </c>
      <c r="N38">
        <v>750</v>
      </c>
      <c r="O38">
        <v>92000</v>
      </c>
      <c r="P38" t="s">
        <v>36</v>
      </c>
      <c r="Q38" t="s">
        <v>27</v>
      </c>
      <c r="R38">
        <v>0</v>
      </c>
      <c r="S38" t="s">
        <v>28</v>
      </c>
    </row>
    <row r="39" spans="1:19">
      <c r="A39" t="s">
        <v>186</v>
      </c>
      <c r="B39" t="s">
        <v>187</v>
      </c>
      <c r="C39" t="s">
        <v>52</v>
      </c>
      <c r="D39" t="s">
        <v>22</v>
      </c>
      <c r="E39" t="s">
        <v>188</v>
      </c>
      <c r="F39">
        <v>39</v>
      </c>
      <c r="G39" t="s">
        <v>24</v>
      </c>
      <c r="H39" t="s">
        <v>189</v>
      </c>
      <c r="I39">
        <f>1-832-555-134</f>
        <v>-1520</v>
      </c>
      <c r="J39" s="1">
        <v>43791</v>
      </c>
      <c r="K39" s="1">
        <v>45301</v>
      </c>
      <c r="L39">
        <v>34200.6</v>
      </c>
      <c r="M39">
        <v>12800.25</v>
      </c>
      <c r="N39">
        <v>710</v>
      </c>
      <c r="O39">
        <v>78000</v>
      </c>
      <c r="P39" t="s">
        <v>26</v>
      </c>
      <c r="Q39" t="s">
        <v>27</v>
      </c>
      <c r="R39">
        <v>0</v>
      </c>
      <c r="S39" t="s">
        <v>28</v>
      </c>
    </row>
    <row r="40" spans="1:19">
      <c r="A40" t="s">
        <v>190</v>
      </c>
      <c r="B40" t="s">
        <v>191</v>
      </c>
      <c r="C40" t="s">
        <v>84</v>
      </c>
      <c r="D40" t="s">
        <v>40</v>
      </c>
      <c r="E40" t="s">
        <v>41</v>
      </c>
      <c r="F40">
        <v>22</v>
      </c>
      <c r="G40" t="s">
        <v>34</v>
      </c>
      <c r="H40" t="s">
        <v>192</v>
      </c>
      <c r="I40">
        <f>91-854-321-987</f>
        <v>-2071</v>
      </c>
      <c r="J40" s="1">
        <v>45126</v>
      </c>
      <c r="K40" s="1">
        <v>45304</v>
      </c>
      <c r="L40">
        <v>1950.4</v>
      </c>
      <c r="M40">
        <v>8800.6</v>
      </c>
      <c r="N40">
        <v>605</v>
      </c>
      <c r="O40">
        <v>20000</v>
      </c>
      <c r="P40" t="s">
        <v>76</v>
      </c>
      <c r="Q40" t="s">
        <v>43</v>
      </c>
      <c r="R40">
        <v>0</v>
      </c>
      <c r="S40" t="s">
        <v>28</v>
      </c>
    </row>
    <row r="41" spans="1:19">
      <c r="A41" t="s">
        <v>193</v>
      </c>
      <c r="B41" t="s">
        <v>194</v>
      </c>
      <c r="C41" t="s">
        <v>57</v>
      </c>
      <c r="D41" t="s">
        <v>195</v>
      </c>
      <c r="E41" t="s">
        <v>196</v>
      </c>
      <c r="F41">
        <v>28</v>
      </c>
      <c r="G41" t="s">
        <v>24</v>
      </c>
      <c r="H41" t="s">
        <v>197</v>
      </c>
      <c r="I41">
        <f>353-85-123-4567</f>
        <v>-4422</v>
      </c>
      <c r="J41" s="1">
        <v>44620</v>
      </c>
      <c r="K41" s="1">
        <v>45305</v>
      </c>
      <c r="L41">
        <v>12800.75</v>
      </c>
      <c r="M41">
        <v>5400.8</v>
      </c>
      <c r="N41">
        <v>730</v>
      </c>
      <c r="O41">
        <v>45000</v>
      </c>
      <c r="P41" t="s">
        <v>36</v>
      </c>
      <c r="Q41" t="s">
        <v>27</v>
      </c>
      <c r="R41">
        <v>0</v>
      </c>
      <c r="S41" t="s">
        <v>28</v>
      </c>
    </row>
    <row r="42" spans="1:19">
      <c r="A42" t="s">
        <v>198</v>
      </c>
      <c r="B42" t="s">
        <v>199</v>
      </c>
      <c r="C42" t="s">
        <v>39</v>
      </c>
      <c r="D42" t="s">
        <v>58</v>
      </c>
      <c r="E42" t="s">
        <v>200</v>
      </c>
      <c r="F42">
        <v>44</v>
      </c>
      <c r="G42" t="s">
        <v>24</v>
      </c>
      <c r="H42" t="s">
        <v>201</v>
      </c>
      <c r="I42">
        <f>86-136-8765-4321</f>
        <v>-13136</v>
      </c>
      <c r="J42" s="1">
        <v>43205</v>
      </c>
      <c r="K42" s="1">
        <v>45300</v>
      </c>
      <c r="L42">
        <v>167400.6</v>
      </c>
      <c r="M42">
        <v>82000.399999999994</v>
      </c>
      <c r="N42">
        <v>685</v>
      </c>
      <c r="O42">
        <v>175000</v>
      </c>
      <c r="P42" t="s">
        <v>76</v>
      </c>
      <c r="Q42" t="s">
        <v>27</v>
      </c>
      <c r="R42">
        <v>0</v>
      </c>
      <c r="S42" t="s">
        <v>28</v>
      </c>
    </row>
    <row r="43" spans="1:19">
      <c r="A43" t="s">
        <v>202</v>
      </c>
      <c r="B43" t="s">
        <v>203</v>
      </c>
      <c r="C43" t="s">
        <v>52</v>
      </c>
      <c r="D43" t="s">
        <v>204</v>
      </c>
      <c r="E43" t="s">
        <v>205</v>
      </c>
      <c r="F43">
        <v>36</v>
      </c>
      <c r="G43" t="s">
        <v>34</v>
      </c>
      <c r="H43" t="s">
        <v>206</v>
      </c>
      <c r="I43">
        <f>7-915-123-45-67</f>
        <v>-1143</v>
      </c>
      <c r="J43" s="1">
        <v>44020</v>
      </c>
      <c r="K43" s="1">
        <v>45303</v>
      </c>
      <c r="L43">
        <v>29800.799999999999</v>
      </c>
      <c r="M43">
        <v>13400.25</v>
      </c>
      <c r="N43">
        <v>695</v>
      </c>
      <c r="O43">
        <v>68000</v>
      </c>
      <c r="P43" t="s">
        <v>26</v>
      </c>
      <c r="Q43" t="s">
        <v>27</v>
      </c>
      <c r="R43">
        <v>0</v>
      </c>
      <c r="S43" t="s">
        <v>28</v>
      </c>
    </row>
    <row r="44" spans="1:19">
      <c r="A44" t="s">
        <v>207</v>
      </c>
      <c r="B44" t="s">
        <v>208</v>
      </c>
      <c r="C44" t="s">
        <v>31</v>
      </c>
      <c r="D44" t="s">
        <v>209</v>
      </c>
      <c r="E44" t="s">
        <v>210</v>
      </c>
      <c r="F44">
        <v>31</v>
      </c>
      <c r="G44" t="s">
        <v>24</v>
      </c>
      <c r="H44" t="s">
        <v>211</v>
      </c>
      <c r="I44">
        <f>52-55-1234-5678</f>
        <v>-6915</v>
      </c>
      <c r="J44" s="1">
        <v>44816</v>
      </c>
      <c r="K44" s="1">
        <v>45305</v>
      </c>
      <c r="L44">
        <v>10200.5</v>
      </c>
      <c r="M44">
        <v>4500.75</v>
      </c>
      <c r="N44">
        <v>715</v>
      </c>
      <c r="O44">
        <v>47000</v>
      </c>
      <c r="P44" t="s">
        <v>36</v>
      </c>
      <c r="Q44" t="s">
        <v>27</v>
      </c>
      <c r="R44">
        <v>0</v>
      </c>
      <c r="S44" t="s">
        <v>28</v>
      </c>
    </row>
    <row r="45" spans="1:19">
      <c r="A45" t="s">
        <v>212</v>
      </c>
      <c r="B45" t="s">
        <v>213</v>
      </c>
      <c r="C45" t="s">
        <v>46</v>
      </c>
      <c r="D45" t="s">
        <v>214</v>
      </c>
      <c r="E45" t="s">
        <v>215</v>
      </c>
      <c r="F45">
        <v>38</v>
      </c>
      <c r="G45" t="s">
        <v>34</v>
      </c>
      <c r="H45" t="s">
        <v>216</v>
      </c>
      <c r="I45">
        <f>34-612-345-678</f>
        <v>-1601</v>
      </c>
      <c r="J45" s="1">
        <v>43915</v>
      </c>
      <c r="K45" s="1">
        <v>45302</v>
      </c>
      <c r="L45">
        <v>56700.3</v>
      </c>
      <c r="M45">
        <v>22300.6</v>
      </c>
      <c r="N45">
        <v>740</v>
      </c>
      <c r="O45">
        <v>105000</v>
      </c>
      <c r="P45" t="s">
        <v>26</v>
      </c>
      <c r="Q45" t="s">
        <v>27</v>
      </c>
      <c r="R45">
        <v>0</v>
      </c>
      <c r="S45" t="s">
        <v>28</v>
      </c>
    </row>
    <row r="46" spans="1:19">
      <c r="A46" t="s">
        <v>217</v>
      </c>
      <c r="B46" t="s">
        <v>218</v>
      </c>
      <c r="C46" t="s">
        <v>52</v>
      </c>
      <c r="D46" t="s">
        <v>219</v>
      </c>
      <c r="E46" t="s">
        <v>220</v>
      </c>
      <c r="F46">
        <v>42</v>
      </c>
      <c r="G46" t="s">
        <v>24</v>
      </c>
      <c r="H46" t="s">
        <v>221</v>
      </c>
      <c r="I46">
        <f>233-24-456-7890</f>
        <v>-8137</v>
      </c>
      <c r="J46" s="1">
        <v>43634</v>
      </c>
      <c r="K46" s="1">
        <v>45301</v>
      </c>
      <c r="L46">
        <v>38700.75</v>
      </c>
      <c r="M46">
        <v>16800.400000000001</v>
      </c>
      <c r="N46">
        <v>660</v>
      </c>
      <c r="O46">
        <v>82000</v>
      </c>
      <c r="P46" t="s">
        <v>26</v>
      </c>
      <c r="Q46" t="s">
        <v>27</v>
      </c>
      <c r="R46">
        <v>0</v>
      </c>
      <c r="S46" t="s">
        <v>28</v>
      </c>
    </row>
    <row r="47" spans="1:19">
      <c r="A47" t="s">
        <v>222</v>
      </c>
      <c r="B47" t="s">
        <v>223</v>
      </c>
      <c r="C47" t="s">
        <v>21</v>
      </c>
      <c r="D47" t="s">
        <v>32</v>
      </c>
      <c r="E47" t="s">
        <v>224</v>
      </c>
      <c r="F47">
        <v>57</v>
      </c>
      <c r="G47" t="s">
        <v>24</v>
      </c>
      <c r="H47" t="s">
        <v>225</v>
      </c>
      <c r="I47">
        <f>81-80-2345-6789</f>
        <v>-9133</v>
      </c>
      <c r="J47" s="1">
        <v>42714</v>
      </c>
      <c r="K47" s="1">
        <v>45299</v>
      </c>
      <c r="L47">
        <v>234500.4</v>
      </c>
      <c r="M47">
        <v>62000.800000000003</v>
      </c>
      <c r="N47">
        <v>815</v>
      </c>
      <c r="O47">
        <v>240000</v>
      </c>
      <c r="P47" t="s">
        <v>36</v>
      </c>
      <c r="Q47" t="s">
        <v>27</v>
      </c>
      <c r="R47">
        <v>0</v>
      </c>
      <c r="S47" t="s">
        <v>28</v>
      </c>
    </row>
    <row r="48" spans="1:19">
      <c r="A48" t="s">
        <v>226</v>
      </c>
      <c r="B48" t="s">
        <v>227</v>
      </c>
      <c r="C48" t="s">
        <v>57</v>
      </c>
      <c r="D48" t="s">
        <v>228</v>
      </c>
      <c r="E48" t="s">
        <v>229</v>
      </c>
      <c r="F48">
        <v>26</v>
      </c>
      <c r="G48" t="s">
        <v>34</v>
      </c>
      <c r="H48" t="s">
        <v>230</v>
      </c>
      <c r="I48">
        <f>254-712-345-678</f>
        <v>-1481</v>
      </c>
      <c r="J48" s="1">
        <v>44956</v>
      </c>
      <c r="K48" s="1">
        <v>45306</v>
      </c>
      <c r="L48">
        <v>8900.25</v>
      </c>
      <c r="M48">
        <v>3800.9</v>
      </c>
      <c r="N48">
        <v>680</v>
      </c>
      <c r="O48">
        <v>36000</v>
      </c>
      <c r="P48" t="s">
        <v>26</v>
      </c>
      <c r="Q48" t="s">
        <v>43</v>
      </c>
      <c r="R48">
        <v>0</v>
      </c>
      <c r="S48" t="s">
        <v>28</v>
      </c>
    </row>
    <row r="49" spans="1:19">
      <c r="A49" t="s">
        <v>231</v>
      </c>
      <c r="B49" t="s">
        <v>232</v>
      </c>
      <c r="C49" t="s">
        <v>39</v>
      </c>
      <c r="D49" t="s">
        <v>233</v>
      </c>
      <c r="E49" t="s">
        <v>234</v>
      </c>
      <c r="F49">
        <v>48</v>
      </c>
      <c r="G49" t="s">
        <v>24</v>
      </c>
      <c r="H49" t="s">
        <v>235</v>
      </c>
      <c r="I49">
        <f>82-10-1234-5678</f>
        <v>-6840</v>
      </c>
      <c r="J49" s="1">
        <v>43013</v>
      </c>
      <c r="K49" s="1">
        <v>45300</v>
      </c>
      <c r="L49">
        <v>189600.75</v>
      </c>
      <c r="M49">
        <v>87000.25</v>
      </c>
      <c r="N49">
        <v>700</v>
      </c>
      <c r="O49">
        <v>190000</v>
      </c>
      <c r="P49" t="s">
        <v>76</v>
      </c>
      <c r="Q49" t="s">
        <v>27</v>
      </c>
      <c r="R49">
        <v>0</v>
      </c>
      <c r="S49" t="s">
        <v>28</v>
      </c>
    </row>
    <row r="50" spans="1:19">
      <c r="A50" t="s">
        <v>236</v>
      </c>
      <c r="B50" t="s">
        <v>237</v>
      </c>
      <c r="C50" t="s">
        <v>84</v>
      </c>
      <c r="D50" t="s">
        <v>73</v>
      </c>
      <c r="E50" t="s">
        <v>74</v>
      </c>
      <c r="F50">
        <v>20</v>
      </c>
      <c r="G50" t="s">
        <v>34</v>
      </c>
      <c r="H50" t="s">
        <v>238</v>
      </c>
      <c r="I50">
        <f>49-173-4567890</f>
        <v>-4568014</v>
      </c>
      <c r="J50" s="1">
        <v>45160</v>
      </c>
      <c r="K50" s="1">
        <v>45304</v>
      </c>
      <c r="L50">
        <v>2450.6</v>
      </c>
      <c r="M50">
        <v>10500.4</v>
      </c>
      <c r="N50">
        <v>615</v>
      </c>
      <c r="O50">
        <v>17000</v>
      </c>
      <c r="P50" t="s">
        <v>76</v>
      </c>
      <c r="Q50" t="s">
        <v>43</v>
      </c>
      <c r="R50">
        <v>0</v>
      </c>
      <c r="S50" t="s">
        <v>28</v>
      </c>
    </row>
    <row r="51" spans="1:19">
      <c r="A51" t="s">
        <v>239</v>
      </c>
      <c r="B51" t="s">
        <v>240</v>
      </c>
      <c r="C51" t="s">
        <v>46</v>
      </c>
      <c r="D51" t="s">
        <v>241</v>
      </c>
      <c r="E51" t="s">
        <v>242</v>
      </c>
      <c r="F51">
        <v>35</v>
      </c>
      <c r="G51" t="s">
        <v>24</v>
      </c>
      <c r="H51" t="s">
        <v>243</v>
      </c>
      <c r="I51">
        <f>39-345-678-9012</f>
        <v>-9996</v>
      </c>
      <c r="J51" s="1">
        <v>44330</v>
      </c>
      <c r="K51" s="1">
        <v>45303</v>
      </c>
      <c r="L51">
        <v>51200.9</v>
      </c>
      <c r="M51">
        <v>21800.75</v>
      </c>
      <c r="N51">
        <v>730</v>
      </c>
      <c r="O51">
        <v>96000</v>
      </c>
      <c r="P51" t="s">
        <v>26</v>
      </c>
      <c r="Q51" t="s">
        <v>27</v>
      </c>
      <c r="R51">
        <v>0</v>
      </c>
      <c r="S51" t="s">
        <v>28</v>
      </c>
    </row>
    <row r="52" spans="1:19">
      <c r="A52" t="s">
        <v>244</v>
      </c>
      <c r="B52" t="s">
        <v>245</v>
      </c>
      <c r="C52" t="s">
        <v>31</v>
      </c>
      <c r="D52" t="s">
        <v>22</v>
      </c>
      <c r="E52" t="s">
        <v>246</v>
      </c>
      <c r="F52">
        <v>29</v>
      </c>
      <c r="G52" t="s">
        <v>34</v>
      </c>
      <c r="H52" t="s">
        <v>247</v>
      </c>
      <c r="I52">
        <f>1-602-555-178</f>
        <v>-1334</v>
      </c>
      <c r="J52" s="1">
        <v>44872</v>
      </c>
      <c r="K52" s="1">
        <v>45305</v>
      </c>
      <c r="L52">
        <v>11500.8</v>
      </c>
      <c r="M52">
        <v>5200.3</v>
      </c>
      <c r="N52">
        <v>760</v>
      </c>
      <c r="O52">
        <v>52000</v>
      </c>
      <c r="P52" t="s">
        <v>36</v>
      </c>
      <c r="Q52" t="s">
        <v>27</v>
      </c>
      <c r="R52">
        <v>0</v>
      </c>
      <c r="S52" t="s">
        <v>28</v>
      </c>
    </row>
    <row r="53" spans="1:19">
      <c r="A53" t="s">
        <v>248</v>
      </c>
      <c r="B53" t="s">
        <v>249</v>
      </c>
      <c r="C53" t="s">
        <v>52</v>
      </c>
      <c r="D53" t="s">
        <v>40</v>
      </c>
      <c r="E53" t="s">
        <v>250</v>
      </c>
      <c r="F53">
        <v>45</v>
      </c>
      <c r="G53" t="s">
        <v>24</v>
      </c>
      <c r="H53" t="s">
        <v>251</v>
      </c>
      <c r="I53">
        <f>91-743-210-9876</f>
        <v>-10738</v>
      </c>
      <c r="J53" s="1">
        <v>43120</v>
      </c>
      <c r="K53" s="1">
        <v>45300</v>
      </c>
      <c r="L53">
        <v>67800.399999999994</v>
      </c>
      <c r="M53">
        <v>31200.6</v>
      </c>
      <c r="N53">
        <v>675</v>
      </c>
      <c r="O53">
        <v>125000</v>
      </c>
      <c r="P53" t="s">
        <v>26</v>
      </c>
      <c r="Q53" t="s">
        <v>27</v>
      </c>
      <c r="R53">
        <v>0</v>
      </c>
      <c r="S53" t="s">
        <v>28</v>
      </c>
    </row>
    <row r="54" spans="1:19">
      <c r="A54" t="s">
        <v>252</v>
      </c>
      <c r="B54" t="s">
        <v>253</v>
      </c>
      <c r="C54" t="s">
        <v>57</v>
      </c>
      <c r="D54" t="s">
        <v>254</v>
      </c>
      <c r="E54" t="s">
        <v>255</v>
      </c>
      <c r="F54">
        <v>32</v>
      </c>
      <c r="G54" t="s">
        <v>34</v>
      </c>
      <c r="H54" t="s">
        <v>256</v>
      </c>
      <c r="I54">
        <f>221-77-123-45-67</f>
        <v>-91</v>
      </c>
      <c r="J54" s="1">
        <v>44417</v>
      </c>
      <c r="K54" s="1">
        <v>45302</v>
      </c>
      <c r="L54">
        <v>23400.75</v>
      </c>
      <c r="M54">
        <v>9800.25</v>
      </c>
      <c r="N54">
        <v>710</v>
      </c>
      <c r="O54">
        <v>61000</v>
      </c>
      <c r="P54" t="s">
        <v>36</v>
      </c>
      <c r="Q54" t="s">
        <v>27</v>
      </c>
      <c r="R54">
        <v>0</v>
      </c>
      <c r="S54" t="s">
        <v>28</v>
      </c>
    </row>
    <row r="55" spans="1:19">
      <c r="A55" t="s">
        <v>257</v>
      </c>
      <c r="B55" t="s">
        <v>258</v>
      </c>
      <c r="C55" t="s">
        <v>39</v>
      </c>
      <c r="D55" t="s">
        <v>204</v>
      </c>
      <c r="E55" t="s">
        <v>259</v>
      </c>
      <c r="F55">
        <v>50</v>
      </c>
      <c r="G55" t="s">
        <v>24</v>
      </c>
      <c r="H55" t="s">
        <v>260</v>
      </c>
      <c r="I55">
        <f>7-921-987-65-43</f>
        <v>-2009</v>
      </c>
      <c r="J55" s="1">
        <v>42806</v>
      </c>
      <c r="K55" s="1">
        <v>45299</v>
      </c>
      <c r="L55">
        <v>156300.20000000001</v>
      </c>
      <c r="M55">
        <v>74000.800000000003</v>
      </c>
      <c r="N55">
        <v>655</v>
      </c>
      <c r="O55">
        <v>160000</v>
      </c>
      <c r="P55" t="s">
        <v>76</v>
      </c>
      <c r="Q55" t="s">
        <v>27</v>
      </c>
      <c r="R55">
        <v>0</v>
      </c>
      <c r="S55" t="s">
        <v>28</v>
      </c>
    </row>
    <row r="56" spans="1:19">
      <c r="A56" t="s">
        <v>261</v>
      </c>
      <c r="B56" t="s">
        <v>262</v>
      </c>
      <c r="C56" t="s">
        <v>21</v>
      </c>
      <c r="D56" t="s">
        <v>58</v>
      </c>
      <c r="E56" t="s">
        <v>122</v>
      </c>
      <c r="F56">
        <v>54</v>
      </c>
      <c r="G56" t="s">
        <v>34</v>
      </c>
      <c r="H56" t="s">
        <v>263</v>
      </c>
      <c r="I56">
        <f>86-139-2345-6789</f>
        <v>-9187</v>
      </c>
      <c r="J56" s="1">
        <v>42607</v>
      </c>
      <c r="K56" s="1">
        <v>45301</v>
      </c>
      <c r="L56">
        <v>287400.59999999998</v>
      </c>
      <c r="M56">
        <v>75000.399999999994</v>
      </c>
      <c r="N56">
        <v>825</v>
      </c>
      <c r="O56">
        <v>260000</v>
      </c>
      <c r="P56" t="s">
        <v>36</v>
      </c>
      <c r="Q56" t="s">
        <v>27</v>
      </c>
      <c r="R56">
        <v>0</v>
      </c>
      <c r="S56" t="s">
        <v>28</v>
      </c>
    </row>
    <row r="57" spans="1:19">
      <c r="A57" t="s">
        <v>264</v>
      </c>
      <c r="B57" t="s">
        <v>265</v>
      </c>
      <c r="C57" t="s">
        <v>46</v>
      </c>
      <c r="D57" t="s">
        <v>47</v>
      </c>
      <c r="E57" t="s">
        <v>266</v>
      </c>
      <c r="F57">
        <v>41</v>
      </c>
      <c r="G57" t="s">
        <v>24</v>
      </c>
      <c r="H57" t="s">
        <v>267</v>
      </c>
      <c r="I57">
        <f>44-78-9123-4567</f>
        <v>-13724</v>
      </c>
      <c r="J57" s="1">
        <v>43738</v>
      </c>
      <c r="K57" s="1">
        <v>45303</v>
      </c>
      <c r="L57">
        <v>73400.25</v>
      </c>
      <c r="M57">
        <v>28900.75</v>
      </c>
      <c r="N57">
        <v>720</v>
      </c>
      <c r="O57">
        <v>135000</v>
      </c>
      <c r="P57" t="s">
        <v>26</v>
      </c>
      <c r="Q57" t="s">
        <v>27</v>
      </c>
      <c r="R57">
        <v>0</v>
      </c>
      <c r="S57" t="s">
        <v>28</v>
      </c>
    </row>
    <row r="58" spans="1:19">
      <c r="A58" t="s">
        <v>268</v>
      </c>
      <c r="B58" t="s">
        <v>269</v>
      </c>
      <c r="C58" t="s">
        <v>39</v>
      </c>
      <c r="D58" t="s">
        <v>68</v>
      </c>
      <c r="E58" t="s">
        <v>69</v>
      </c>
      <c r="F58">
        <v>47</v>
      </c>
      <c r="G58" t="s">
        <v>34</v>
      </c>
      <c r="H58" t="s">
        <v>270</v>
      </c>
      <c r="I58">
        <f>234-803-456-7890</f>
        <v>-8915</v>
      </c>
      <c r="J58" s="1">
        <v>43237</v>
      </c>
      <c r="K58" s="1">
        <v>45300</v>
      </c>
      <c r="L58">
        <v>142800.9</v>
      </c>
      <c r="M58">
        <v>68000.600000000006</v>
      </c>
      <c r="N58">
        <v>640</v>
      </c>
      <c r="O58">
        <v>145000</v>
      </c>
      <c r="P58" t="s">
        <v>76</v>
      </c>
      <c r="Q58" t="s">
        <v>27</v>
      </c>
      <c r="R58">
        <v>0</v>
      </c>
      <c r="S58" t="s">
        <v>28</v>
      </c>
    </row>
    <row r="59" spans="1:19">
      <c r="A59" t="s">
        <v>271</v>
      </c>
      <c r="B59" t="s">
        <v>272</v>
      </c>
      <c r="C59" t="s">
        <v>52</v>
      </c>
      <c r="D59" t="s">
        <v>183</v>
      </c>
      <c r="E59" t="s">
        <v>273</v>
      </c>
      <c r="F59">
        <v>37</v>
      </c>
      <c r="G59" t="s">
        <v>24</v>
      </c>
      <c r="H59" t="s">
        <v>274</v>
      </c>
      <c r="I59">
        <f>33-7-8765-4321</f>
        <v>-13060</v>
      </c>
      <c r="J59" s="1">
        <v>43932</v>
      </c>
      <c r="K59" s="1">
        <v>45302</v>
      </c>
      <c r="L59">
        <v>42300.800000000003</v>
      </c>
      <c r="M59">
        <v>15600.4</v>
      </c>
      <c r="N59">
        <v>745</v>
      </c>
      <c r="O59">
        <v>88000</v>
      </c>
      <c r="P59" t="s">
        <v>36</v>
      </c>
      <c r="Q59" t="s">
        <v>27</v>
      </c>
      <c r="R59">
        <v>0</v>
      </c>
      <c r="S59" t="s">
        <v>28</v>
      </c>
    </row>
    <row r="60" spans="1:19">
      <c r="A60" t="s">
        <v>275</v>
      </c>
      <c r="B60" t="s">
        <v>276</v>
      </c>
      <c r="C60" t="s">
        <v>31</v>
      </c>
      <c r="D60" t="s">
        <v>277</v>
      </c>
      <c r="E60" t="s">
        <v>278</v>
      </c>
      <c r="F60">
        <v>24</v>
      </c>
      <c r="G60" t="s">
        <v>34</v>
      </c>
      <c r="H60" t="s">
        <v>279</v>
      </c>
      <c r="I60">
        <f>20-100-123-4567</f>
        <v>-4770</v>
      </c>
      <c r="J60" s="1">
        <v>44985</v>
      </c>
      <c r="K60" s="1">
        <v>45306</v>
      </c>
      <c r="L60">
        <v>7400.6</v>
      </c>
      <c r="M60">
        <v>4200.75</v>
      </c>
      <c r="N60">
        <v>695</v>
      </c>
      <c r="O60">
        <v>31000</v>
      </c>
      <c r="P60" t="s">
        <v>26</v>
      </c>
      <c r="Q60" t="s">
        <v>43</v>
      </c>
      <c r="R60">
        <v>0</v>
      </c>
      <c r="S60" t="s">
        <v>28</v>
      </c>
    </row>
    <row r="61" spans="1:19">
      <c r="A61" t="s">
        <v>280</v>
      </c>
      <c r="B61" t="s">
        <v>281</v>
      </c>
      <c r="C61" t="s">
        <v>57</v>
      </c>
      <c r="D61" t="s">
        <v>22</v>
      </c>
      <c r="E61" t="s">
        <v>282</v>
      </c>
      <c r="F61">
        <v>33</v>
      </c>
      <c r="G61" t="s">
        <v>24</v>
      </c>
      <c r="H61" t="s">
        <v>283</v>
      </c>
      <c r="I61">
        <f>1-206-555-162</f>
        <v>-922</v>
      </c>
      <c r="J61" s="1">
        <v>44396</v>
      </c>
      <c r="K61" s="1">
        <v>45303</v>
      </c>
      <c r="L61">
        <v>18700.400000000001</v>
      </c>
      <c r="M61">
        <v>7200.9</v>
      </c>
      <c r="N61">
        <v>770</v>
      </c>
      <c r="O61">
        <v>63000</v>
      </c>
      <c r="P61" t="s">
        <v>36</v>
      </c>
      <c r="Q61" t="s">
        <v>27</v>
      </c>
      <c r="R61">
        <v>0</v>
      </c>
      <c r="S61" t="s">
        <v>28</v>
      </c>
    </row>
    <row r="62" spans="1:19">
      <c r="A62" t="s">
        <v>284</v>
      </c>
      <c r="B62" t="s">
        <v>285</v>
      </c>
      <c r="C62" t="s">
        <v>46</v>
      </c>
      <c r="D62" t="s">
        <v>286</v>
      </c>
      <c r="E62" t="s">
        <v>287</v>
      </c>
      <c r="F62">
        <v>39</v>
      </c>
      <c r="G62" t="s">
        <v>34</v>
      </c>
      <c r="H62" t="s">
        <v>288</v>
      </c>
      <c r="I62">
        <f>60-12-345-6789</f>
        <v>-7086</v>
      </c>
      <c r="J62" s="1">
        <v>44109</v>
      </c>
      <c r="K62" s="1">
        <v>45301</v>
      </c>
      <c r="L62">
        <v>58900.75</v>
      </c>
      <c r="M62">
        <v>23400.25</v>
      </c>
      <c r="N62">
        <v>705</v>
      </c>
      <c r="O62">
        <v>112000</v>
      </c>
      <c r="P62" t="s">
        <v>26</v>
      </c>
      <c r="Q62" t="s">
        <v>27</v>
      </c>
      <c r="R62">
        <v>0</v>
      </c>
      <c r="S62" t="s">
        <v>28</v>
      </c>
    </row>
    <row r="63" spans="1:19">
      <c r="A63" t="s">
        <v>289</v>
      </c>
      <c r="B63" t="s">
        <v>290</v>
      </c>
      <c r="C63" t="s">
        <v>52</v>
      </c>
      <c r="D63" t="s">
        <v>291</v>
      </c>
      <c r="E63" t="s">
        <v>292</v>
      </c>
      <c r="F63">
        <v>43</v>
      </c>
      <c r="G63" t="s">
        <v>24</v>
      </c>
      <c r="H63" t="s">
        <v>293</v>
      </c>
      <c r="I63">
        <f>57-300-123-4567</f>
        <v>-4933</v>
      </c>
      <c r="J63" s="1">
        <v>43510</v>
      </c>
      <c r="K63" s="1">
        <v>45300</v>
      </c>
      <c r="L63">
        <v>45600.3</v>
      </c>
      <c r="M63">
        <v>19800.8</v>
      </c>
      <c r="N63">
        <v>680</v>
      </c>
      <c r="O63">
        <v>97000</v>
      </c>
      <c r="P63" t="s">
        <v>26</v>
      </c>
      <c r="Q63" t="s">
        <v>27</v>
      </c>
      <c r="R63">
        <v>0</v>
      </c>
      <c r="S63" t="s">
        <v>28</v>
      </c>
    </row>
    <row r="64" spans="1:19">
      <c r="A64" t="s">
        <v>294</v>
      </c>
      <c r="B64" t="s">
        <v>295</v>
      </c>
      <c r="C64" t="s">
        <v>21</v>
      </c>
      <c r="D64" t="s">
        <v>233</v>
      </c>
      <c r="E64" t="s">
        <v>296</v>
      </c>
      <c r="F64">
        <v>52</v>
      </c>
      <c r="G64" t="s">
        <v>34</v>
      </c>
      <c r="H64" t="s">
        <v>297</v>
      </c>
      <c r="I64">
        <f>82-10-9876-5432</f>
        <v>-15236</v>
      </c>
      <c r="J64" s="1">
        <v>43047</v>
      </c>
      <c r="K64" s="1">
        <v>45299</v>
      </c>
      <c r="L64">
        <v>213800.4</v>
      </c>
      <c r="M64">
        <v>58000.75</v>
      </c>
      <c r="N64">
        <v>795</v>
      </c>
      <c r="O64">
        <v>225000</v>
      </c>
      <c r="P64" t="s">
        <v>36</v>
      </c>
      <c r="Q64" t="s">
        <v>27</v>
      </c>
      <c r="R64">
        <v>0</v>
      </c>
      <c r="S64" t="s">
        <v>28</v>
      </c>
    </row>
    <row r="65" spans="1:19">
      <c r="A65" t="s">
        <v>298</v>
      </c>
      <c r="B65" t="s">
        <v>299</v>
      </c>
      <c r="C65" t="s">
        <v>84</v>
      </c>
      <c r="D65" t="s">
        <v>195</v>
      </c>
      <c r="E65" t="s">
        <v>300</v>
      </c>
      <c r="F65">
        <v>21</v>
      </c>
      <c r="G65" t="s">
        <v>24</v>
      </c>
      <c r="H65" t="s">
        <v>301</v>
      </c>
      <c r="I65">
        <f>353-86-234-5678</f>
        <v>-5645</v>
      </c>
      <c r="J65" s="1">
        <v>45184</v>
      </c>
      <c r="K65" s="1">
        <v>45304</v>
      </c>
      <c r="L65">
        <v>2100.25</v>
      </c>
      <c r="M65">
        <v>9800.6</v>
      </c>
      <c r="N65">
        <v>600</v>
      </c>
      <c r="O65">
        <v>19000</v>
      </c>
      <c r="P65" t="s">
        <v>76</v>
      </c>
      <c r="Q65" t="s">
        <v>43</v>
      </c>
      <c r="R65">
        <v>0</v>
      </c>
      <c r="S65" t="s">
        <v>28</v>
      </c>
    </row>
    <row r="66" spans="1:19">
      <c r="A66" t="s">
        <v>302</v>
      </c>
      <c r="B66" t="s">
        <v>303</v>
      </c>
      <c r="C66" t="s">
        <v>39</v>
      </c>
      <c r="D66" t="s">
        <v>304</v>
      </c>
      <c r="E66" t="s">
        <v>304</v>
      </c>
      <c r="F66">
        <v>49</v>
      </c>
      <c r="G66" t="s">
        <v>24</v>
      </c>
      <c r="H66" t="s">
        <v>305</v>
      </c>
      <c r="I66">
        <f>65-9123-4567</f>
        <v>-13625</v>
      </c>
      <c r="J66" s="1">
        <v>43303</v>
      </c>
      <c r="K66" s="1">
        <v>45300</v>
      </c>
      <c r="L66">
        <v>178900.75</v>
      </c>
      <c r="M66">
        <v>85000.4</v>
      </c>
      <c r="N66">
        <v>690</v>
      </c>
      <c r="O66">
        <v>185000</v>
      </c>
      <c r="P66" t="s">
        <v>76</v>
      </c>
      <c r="Q66" t="s">
        <v>27</v>
      </c>
      <c r="R66">
        <v>0</v>
      </c>
      <c r="S66" t="s">
        <v>28</v>
      </c>
    </row>
    <row r="67" spans="1:19">
      <c r="A67" t="s">
        <v>306</v>
      </c>
      <c r="B67" t="s">
        <v>307</v>
      </c>
      <c r="C67" t="s">
        <v>57</v>
      </c>
      <c r="D67" t="s">
        <v>308</v>
      </c>
      <c r="E67" t="s">
        <v>309</v>
      </c>
      <c r="F67">
        <v>30</v>
      </c>
      <c r="G67" t="s">
        <v>34</v>
      </c>
      <c r="H67" t="s">
        <v>310</v>
      </c>
      <c r="I67">
        <f>54-9-11-2345-6789</f>
        <v>-9100</v>
      </c>
      <c r="J67" s="1">
        <v>44586</v>
      </c>
      <c r="K67" s="1">
        <v>45305</v>
      </c>
      <c r="L67">
        <v>12300.9</v>
      </c>
      <c r="M67">
        <v>5400.25</v>
      </c>
      <c r="N67">
        <v>740</v>
      </c>
      <c r="O67">
        <v>55000</v>
      </c>
      <c r="P67" t="s">
        <v>36</v>
      </c>
      <c r="Q67" t="s">
        <v>27</v>
      </c>
      <c r="R67">
        <v>0</v>
      </c>
      <c r="S67" t="s">
        <v>28</v>
      </c>
    </row>
    <row r="68" spans="1:19">
      <c r="A68" t="s">
        <v>311</v>
      </c>
      <c r="B68" t="s">
        <v>312</v>
      </c>
      <c r="C68" t="s">
        <v>52</v>
      </c>
      <c r="D68" t="s">
        <v>313</v>
      </c>
      <c r="E68" t="s">
        <v>314</v>
      </c>
      <c r="F68">
        <v>44</v>
      </c>
      <c r="G68" t="s">
        <v>24</v>
      </c>
      <c r="H68" t="s">
        <v>315</v>
      </c>
      <c r="I68">
        <f>92-300-1234567</f>
        <v>-1234775</v>
      </c>
      <c r="J68" s="1">
        <v>43558</v>
      </c>
      <c r="K68" s="1">
        <v>45301</v>
      </c>
      <c r="L68">
        <v>51200.6</v>
      </c>
      <c r="M68">
        <v>23500.75</v>
      </c>
      <c r="N68">
        <v>665</v>
      </c>
      <c r="O68">
        <v>108000</v>
      </c>
      <c r="P68" t="s">
        <v>26</v>
      </c>
      <c r="Q68" t="s">
        <v>27</v>
      </c>
      <c r="R68">
        <v>0</v>
      </c>
      <c r="S68" t="s">
        <v>28</v>
      </c>
    </row>
    <row r="69" spans="1:19">
      <c r="A69" t="s">
        <v>316</v>
      </c>
      <c r="B69" t="s">
        <v>317</v>
      </c>
      <c r="C69" t="s">
        <v>31</v>
      </c>
      <c r="D69" t="s">
        <v>32</v>
      </c>
      <c r="E69" t="s">
        <v>33</v>
      </c>
      <c r="F69">
        <v>27</v>
      </c>
      <c r="G69" t="s">
        <v>34</v>
      </c>
      <c r="H69" t="s">
        <v>318</v>
      </c>
      <c r="I69">
        <f>81-90-4567-8901</f>
        <v>-13477</v>
      </c>
      <c r="J69" s="1">
        <v>45003</v>
      </c>
      <c r="K69" s="1">
        <v>45305</v>
      </c>
      <c r="L69">
        <v>8300.4</v>
      </c>
      <c r="M69">
        <v>4600.8</v>
      </c>
      <c r="N69">
        <v>710</v>
      </c>
      <c r="O69">
        <v>34000</v>
      </c>
      <c r="P69" t="s">
        <v>26</v>
      </c>
      <c r="Q69" t="s">
        <v>43</v>
      </c>
      <c r="R69">
        <v>0</v>
      </c>
      <c r="S69" t="s">
        <v>28</v>
      </c>
    </row>
    <row r="70" spans="1:19">
      <c r="A70" t="s">
        <v>319</v>
      </c>
      <c r="B70" t="s">
        <v>320</v>
      </c>
      <c r="C70" t="s">
        <v>46</v>
      </c>
      <c r="D70" t="s">
        <v>321</v>
      </c>
      <c r="E70" t="s">
        <v>322</v>
      </c>
      <c r="F70">
        <v>38</v>
      </c>
      <c r="G70" t="s">
        <v>24</v>
      </c>
      <c r="H70" t="s">
        <v>323</v>
      </c>
      <c r="I70">
        <f>61-412-345-678</f>
        <v>-1374</v>
      </c>
      <c r="J70" s="1">
        <v>44055</v>
      </c>
      <c r="K70" s="1">
        <v>45302</v>
      </c>
      <c r="L70">
        <v>67800.25</v>
      </c>
      <c r="M70">
        <v>25600.400000000001</v>
      </c>
      <c r="N70">
        <v>730</v>
      </c>
      <c r="O70">
        <v>121000</v>
      </c>
      <c r="P70" t="s">
        <v>26</v>
      </c>
      <c r="Q70" t="s">
        <v>27</v>
      </c>
      <c r="R70">
        <v>0</v>
      </c>
      <c r="S70" t="s">
        <v>28</v>
      </c>
    </row>
    <row r="71" spans="1:19">
      <c r="A71" t="s">
        <v>324</v>
      </c>
      <c r="B71" t="s">
        <v>325</v>
      </c>
      <c r="C71" t="s">
        <v>57</v>
      </c>
      <c r="D71" t="s">
        <v>326</v>
      </c>
      <c r="E71" t="s">
        <v>327</v>
      </c>
      <c r="F71">
        <v>31</v>
      </c>
      <c r="G71" t="s">
        <v>34</v>
      </c>
      <c r="H71" t="s">
        <v>328</v>
      </c>
      <c r="I71">
        <f>212-612-345-678</f>
        <v>-1423</v>
      </c>
      <c r="J71" s="1">
        <v>44538</v>
      </c>
      <c r="K71" s="1">
        <v>45303</v>
      </c>
      <c r="L71">
        <v>15600.8</v>
      </c>
      <c r="M71">
        <v>6800.9</v>
      </c>
      <c r="N71">
        <v>725</v>
      </c>
      <c r="O71">
        <v>59000</v>
      </c>
      <c r="P71" t="s">
        <v>36</v>
      </c>
      <c r="Q71" t="s">
        <v>27</v>
      </c>
      <c r="R71">
        <v>0</v>
      </c>
      <c r="S71" t="s">
        <v>28</v>
      </c>
    </row>
    <row r="72" spans="1:19">
      <c r="A72" t="s">
        <v>329</v>
      </c>
      <c r="B72" t="s">
        <v>330</v>
      </c>
      <c r="C72" t="s">
        <v>39</v>
      </c>
      <c r="D72" t="s">
        <v>63</v>
      </c>
      <c r="E72" t="s">
        <v>64</v>
      </c>
      <c r="F72">
        <v>53</v>
      </c>
      <c r="G72" t="s">
        <v>24</v>
      </c>
      <c r="H72" t="s">
        <v>331</v>
      </c>
      <c r="I72">
        <f>55-11-93456-7890</f>
        <v>-101302</v>
      </c>
      <c r="J72" s="1">
        <v>42983</v>
      </c>
      <c r="K72" s="1">
        <v>45299</v>
      </c>
      <c r="L72">
        <v>198500.6</v>
      </c>
      <c r="M72">
        <v>92000.25</v>
      </c>
      <c r="N72">
        <v>675</v>
      </c>
      <c r="O72">
        <v>205000</v>
      </c>
      <c r="P72" t="s">
        <v>76</v>
      </c>
      <c r="Q72" t="s">
        <v>27</v>
      </c>
      <c r="R72">
        <v>0</v>
      </c>
      <c r="S72" t="s">
        <v>28</v>
      </c>
    </row>
    <row r="73" spans="1:19">
      <c r="A73" t="s">
        <v>332</v>
      </c>
      <c r="B73" t="s">
        <v>333</v>
      </c>
      <c r="C73" t="s">
        <v>21</v>
      </c>
      <c r="D73" t="s">
        <v>85</v>
      </c>
      <c r="E73" t="s">
        <v>86</v>
      </c>
      <c r="F73">
        <v>46</v>
      </c>
      <c r="G73" t="s">
        <v>34</v>
      </c>
      <c r="H73" t="s">
        <v>334</v>
      </c>
      <c r="I73">
        <f>1-647-555-192</f>
        <v>-1393</v>
      </c>
      <c r="J73" s="1">
        <v>43454</v>
      </c>
      <c r="K73" s="1">
        <v>45301</v>
      </c>
      <c r="L73">
        <v>187600.4</v>
      </c>
      <c r="M73">
        <v>52000.800000000003</v>
      </c>
      <c r="N73">
        <v>810</v>
      </c>
      <c r="O73">
        <v>195000</v>
      </c>
      <c r="P73" t="s">
        <v>36</v>
      </c>
      <c r="Q73" t="s">
        <v>27</v>
      </c>
      <c r="R73">
        <v>0</v>
      </c>
      <c r="S73" t="s">
        <v>28</v>
      </c>
    </row>
    <row r="74" spans="1:19">
      <c r="A74" t="s">
        <v>335</v>
      </c>
      <c r="B74" t="s">
        <v>336</v>
      </c>
      <c r="C74" t="s">
        <v>52</v>
      </c>
      <c r="D74" t="s">
        <v>40</v>
      </c>
      <c r="E74" t="s">
        <v>94</v>
      </c>
      <c r="F74">
        <v>41</v>
      </c>
      <c r="G74" t="s">
        <v>24</v>
      </c>
      <c r="H74" t="s">
        <v>337</v>
      </c>
      <c r="I74">
        <f>91-832-109-8765</f>
        <v>-9615</v>
      </c>
      <c r="J74" s="1">
        <v>43753</v>
      </c>
      <c r="K74" s="1">
        <v>45302</v>
      </c>
      <c r="L74">
        <v>62300.75</v>
      </c>
      <c r="M74">
        <v>28500.6</v>
      </c>
      <c r="N74">
        <v>690</v>
      </c>
      <c r="O74">
        <v>132000</v>
      </c>
      <c r="P74" t="s">
        <v>26</v>
      </c>
      <c r="Q74" t="s">
        <v>27</v>
      </c>
      <c r="R74">
        <v>0</v>
      </c>
      <c r="S74" t="s">
        <v>28</v>
      </c>
    </row>
    <row r="75" spans="1:19">
      <c r="A75" t="s">
        <v>338</v>
      </c>
      <c r="B75" t="s">
        <v>339</v>
      </c>
      <c r="C75" t="s">
        <v>57</v>
      </c>
      <c r="D75" t="s">
        <v>340</v>
      </c>
      <c r="E75" t="s">
        <v>341</v>
      </c>
      <c r="F75">
        <v>29</v>
      </c>
      <c r="G75" t="s">
        <v>34</v>
      </c>
      <c r="H75" t="s">
        <v>342</v>
      </c>
      <c r="I75">
        <f>31-6-1234-5678</f>
        <v>-6887</v>
      </c>
      <c r="J75" s="1">
        <v>44703</v>
      </c>
      <c r="K75" s="1">
        <v>45305</v>
      </c>
      <c r="L75">
        <v>13400.2</v>
      </c>
      <c r="M75">
        <v>5800.75</v>
      </c>
      <c r="N75">
        <v>755</v>
      </c>
      <c r="O75">
        <v>51000</v>
      </c>
      <c r="P75" t="s">
        <v>36</v>
      </c>
      <c r="Q75" t="s">
        <v>27</v>
      </c>
      <c r="R75">
        <v>0</v>
      </c>
      <c r="S75" t="s">
        <v>28</v>
      </c>
    </row>
    <row r="76" spans="1:19">
      <c r="A76" t="s">
        <v>343</v>
      </c>
      <c r="B76" t="s">
        <v>344</v>
      </c>
      <c r="C76" t="s">
        <v>39</v>
      </c>
      <c r="D76" t="s">
        <v>345</v>
      </c>
      <c r="E76" t="s">
        <v>346</v>
      </c>
      <c r="F76">
        <v>48</v>
      </c>
      <c r="G76" t="s">
        <v>24</v>
      </c>
      <c r="H76" t="s">
        <v>347</v>
      </c>
      <c r="I76">
        <f>880-1712-345678</f>
        <v>-346510</v>
      </c>
      <c r="J76" s="1">
        <v>43187</v>
      </c>
      <c r="K76" s="1">
        <v>45300</v>
      </c>
      <c r="L76">
        <v>123700.8</v>
      </c>
      <c r="M76">
        <v>59000.4</v>
      </c>
      <c r="N76">
        <v>645</v>
      </c>
      <c r="O76">
        <v>135000</v>
      </c>
      <c r="P76" t="s">
        <v>76</v>
      </c>
      <c r="Q76" t="s">
        <v>27</v>
      </c>
      <c r="R76">
        <v>0</v>
      </c>
      <c r="S76" t="s">
        <v>28</v>
      </c>
    </row>
    <row r="77" spans="1:19">
      <c r="A77" t="s">
        <v>348</v>
      </c>
      <c r="B77" t="s">
        <v>349</v>
      </c>
      <c r="C77" t="s">
        <v>84</v>
      </c>
      <c r="D77" t="s">
        <v>183</v>
      </c>
      <c r="E77" t="s">
        <v>184</v>
      </c>
      <c r="F77">
        <v>20</v>
      </c>
      <c r="G77" t="s">
        <v>34</v>
      </c>
      <c r="H77" t="s">
        <v>350</v>
      </c>
      <c r="I77">
        <f>33-7-2345-6789</f>
        <v>-9108</v>
      </c>
      <c r="J77" s="1">
        <v>45209</v>
      </c>
      <c r="K77" s="1">
        <v>45304</v>
      </c>
      <c r="L77">
        <v>1950.8</v>
      </c>
      <c r="M77">
        <v>9200.25</v>
      </c>
      <c r="N77">
        <v>610</v>
      </c>
      <c r="O77">
        <v>17000</v>
      </c>
      <c r="P77" t="s">
        <v>76</v>
      </c>
      <c r="Q77" t="s">
        <v>43</v>
      </c>
      <c r="R77">
        <v>0</v>
      </c>
      <c r="S77" t="s">
        <v>28</v>
      </c>
    </row>
    <row r="78" spans="1:19">
      <c r="A78" t="s">
        <v>351</v>
      </c>
      <c r="B78" t="s">
        <v>352</v>
      </c>
      <c r="C78" t="s">
        <v>21</v>
      </c>
      <c r="D78" t="s">
        <v>32</v>
      </c>
      <c r="E78" t="s">
        <v>90</v>
      </c>
      <c r="F78">
        <v>58</v>
      </c>
      <c r="G78" t="s">
        <v>24</v>
      </c>
      <c r="H78" t="s">
        <v>353</v>
      </c>
      <c r="I78">
        <f>81-80-5678-9012</f>
        <v>-14689</v>
      </c>
      <c r="J78" s="1">
        <v>42504</v>
      </c>
      <c r="K78" s="1">
        <v>45299</v>
      </c>
      <c r="L78">
        <v>256300.75</v>
      </c>
      <c r="M78">
        <v>68000.899999999994</v>
      </c>
      <c r="N78">
        <v>820</v>
      </c>
      <c r="O78">
        <v>270000</v>
      </c>
      <c r="P78" t="s">
        <v>36</v>
      </c>
      <c r="Q78" t="s">
        <v>27</v>
      </c>
      <c r="R78">
        <v>0</v>
      </c>
      <c r="S78" t="s">
        <v>28</v>
      </c>
    </row>
    <row r="79" spans="1:19">
      <c r="A79" t="s">
        <v>354</v>
      </c>
      <c r="B79" t="s">
        <v>355</v>
      </c>
      <c r="C79" t="s">
        <v>52</v>
      </c>
      <c r="D79" t="s">
        <v>68</v>
      </c>
      <c r="E79" t="s">
        <v>356</v>
      </c>
      <c r="F79">
        <v>39</v>
      </c>
      <c r="G79" t="s">
        <v>24</v>
      </c>
      <c r="H79" t="s">
        <v>357</v>
      </c>
      <c r="I79">
        <f>234-807-890-1234</f>
        <v>-2697</v>
      </c>
      <c r="J79" s="1">
        <v>43890</v>
      </c>
      <c r="K79" s="1">
        <v>45301</v>
      </c>
      <c r="L79">
        <v>34500.6</v>
      </c>
      <c r="M79">
        <v>15200.75</v>
      </c>
      <c r="N79">
        <v>670</v>
      </c>
      <c r="O79">
        <v>78000</v>
      </c>
      <c r="P79" t="s">
        <v>26</v>
      </c>
      <c r="Q79" t="s">
        <v>27</v>
      </c>
      <c r="R79">
        <v>0</v>
      </c>
      <c r="S79" t="s">
        <v>28</v>
      </c>
    </row>
    <row r="80" spans="1:19">
      <c r="A80" t="s">
        <v>358</v>
      </c>
      <c r="B80" t="s">
        <v>359</v>
      </c>
      <c r="C80" t="s">
        <v>46</v>
      </c>
      <c r="D80" t="s">
        <v>360</v>
      </c>
      <c r="E80" t="s">
        <v>361</v>
      </c>
      <c r="F80">
        <v>36</v>
      </c>
      <c r="G80" t="s">
        <v>34</v>
      </c>
      <c r="H80" t="s">
        <v>362</v>
      </c>
      <c r="I80">
        <f>41-76-123-45-67</f>
        <v>-270</v>
      </c>
      <c r="J80" s="1">
        <v>44293</v>
      </c>
      <c r="K80" s="1">
        <v>45303</v>
      </c>
      <c r="L80">
        <v>78900.399999999994</v>
      </c>
      <c r="M80">
        <v>31200.799999999999</v>
      </c>
      <c r="N80">
        <v>760</v>
      </c>
      <c r="O80">
        <v>142000</v>
      </c>
      <c r="P80" t="s">
        <v>26</v>
      </c>
      <c r="Q80" t="s">
        <v>27</v>
      </c>
      <c r="R80">
        <v>0</v>
      </c>
      <c r="S80" t="s">
        <v>28</v>
      </c>
    </row>
    <row r="81" spans="1:19">
      <c r="A81" t="s">
        <v>363</v>
      </c>
      <c r="B81" t="s">
        <v>364</v>
      </c>
      <c r="C81" t="s">
        <v>31</v>
      </c>
      <c r="D81" t="s">
        <v>233</v>
      </c>
      <c r="E81" t="s">
        <v>234</v>
      </c>
      <c r="F81">
        <v>26</v>
      </c>
      <c r="G81" t="s">
        <v>24</v>
      </c>
      <c r="H81" t="s">
        <v>365</v>
      </c>
      <c r="I81">
        <f>82-10-2345-6789</f>
        <v>-9062</v>
      </c>
      <c r="J81" s="1">
        <v>45089</v>
      </c>
      <c r="K81" s="1">
        <v>45305</v>
      </c>
      <c r="L81">
        <v>9200.75</v>
      </c>
      <c r="M81">
        <v>5100.3999999999996</v>
      </c>
      <c r="N81">
        <v>730</v>
      </c>
      <c r="O81">
        <v>38000</v>
      </c>
      <c r="P81" t="s">
        <v>36</v>
      </c>
      <c r="Q81" t="s">
        <v>27</v>
      </c>
      <c r="R81">
        <v>0</v>
      </c>
      <c r="S81" t="s">
        <v>28</v>
      </c>
    </row>
    <row r="82" spans="1:19">
      <c r="A82" t="s">
        <v>366</v>
      </c>
      <c r="B82" t="s">
        <v>367</v>
      </c>
      <c r="C82" t="s">
        <v>57</v>
      </c>
      <c r="D82" t="s">
        <v>47</v>
      </c>
      <c r="E82" t="s">
        <v>48</v>
      </c>
      <c r="F82">
        <v>32</v>
      </c>
      <c r="G82" t="s">
        <v>34</v>
      </c>
      <c r="H82" t="s">
        <v>368</v>
      </c>
      <c r="I82">
        <f>44-79-8234-5678</f>
        <v>-13947</v>
      </c>
      <c r="J82" s="1">
        <v>44530</v>
      </c>
      <c r="K82" s="1">
        <v>45302</v>
      </c>
      <c r="L82">
        <v>17800.900000000001</v>
      </c>
      <c r="M82">
        <v>7600.25</v>
      </c>
      <c r="N82">
        <v>740</v>
      </c>
      <c r="O82">
        <v>67000</v>
      </c>
      <c r="P82" t="s">
        <v>36</v>
      </c>
      <c r="Q82" t="s">
        <v>27</v>
      </c>
      <c r="R82">
        <v>0</v>
      </c>
      <c r="S82" t="s">
        <v>28</v>
      </c>
    </row>
    <row r="83" spans="1:19">
      <c r="A83" t="s">
        <v>369</v>
      </c>
      <c r="B83" t="s">
        <v>370</v>
      </c>
      <c r="C83" t="s">
        <v>39</v>
      </c>
      <c r="D83" t="s">
        <v>371</v>
      </c>
      <c r="E83" t="s">
        <v>372</v>
      </c>
      <c r="F83">
        <v>51</v>
      </c>
      <c r="G83" t="s">
        <v>24</v>
      </c>
      <c r="H83" t="s">
        <v>373</v>
      </c>
      <c r="I83">
        <f>966-50-123-4567</f>
        <v>-3774</v>
      </c>
      <c r="J83" s="1">
        <v>42934</v>
      </c>
      <c r="K83" s="1">
        <v>45299</v>
      </c>
      <c r="L83">
        <v>234800.2</v>
      </c>
      <c r="M83">
        <v>105000.6</v>
      </c>
      <c r="N83">
        <v>660</v>
      </c>
      <c r="O83">
        <v>240000</v>
      </c>
      <c r="P83" t="s">
        <v>76</v>
      </c>
      <c r="Q83" t="s">
        <v>27</v>
      </c>
      <c r="R83">
        <v>0</v>
      </c>
      <c r="S83" t="s">
        <v>28</v>
      </c>
    </row>
    <row r="84" spans="1:19">
      <c r="A84" t="s">
        <v>374</v>
      </c>
      <c r="B84" t="s">
        <v>375</v>
      </c>
      <c r="C84" t="s">
        <v>52</v>
      </c>
      <c r="D84" t="s">
        <v>376</v>
      </c>
      <c r="E84" t="s">
        <v>377</v>
      </c>
      <c r="F84">
        <v>35</v>
      </c>
      <c r="G84" t="s">
        <v>34</v>
      </c>
      <c r="H84" t="s">
        <v>378</v>
      </c>
      <c r="I84">
        <f>84-912-345-678</f>
        <v>-1851</v>
      </c>
      <c r="J84" s="1">
        <v>44099</v>
      </c>
      <c r="K84" s="1">
        <v>45301</v>
      </c>
      <c r="L84">
        <v>29800.400000000001</v>
      </c>
      <c r="M84">
        <v>12300.75</v>
      </c>
      <c r="N84">
        <v>700</v>
      </c>
      <c r="O84">
        <v>71000</v>
      </c>
      <c r="P84" t="s">
        <v>26</v>
      </c>
      <c r="Q84" t="s">
        <v>27</v>
      </c>
      <c r="R84">
        <v>0</v>
      </c>
      <c r="S84" t="s">
        <v>28</v>
      </c>
    </row>
    <row r="85" spans="1:19">
      <c r="A85" t="s">
        <v>379</v>
      </c>
      <c r="B85" t="s">
        <v>380</v>
      </c>
      <c r="C85" t="s">
        <v>46</v>
      </c>
      <c r="D85" t="s">
        <v>22</v>
      </c>
      <c r="E85" t="s">
        <v>381</v>
      </c>
      <c r="F85">
        <v>42</v>
      </c>
      <c r="G85" t="s">
        <v>24</v>
      </c>
      <c r="H85" t="s">
        <v>382</v>
      </c>
      <c r="I85">
        <f>1-415-555-183</f>
        <v>-1152</v>
      </c>
      <c r="J85" s="1">
        <v>43807</v>
      </c>
      <c r="K85" s="1">
        <v>45303</v>
      </c>
      <c r="L85">
        <v>85600.75</v>
      </c>
      <c r="M85">
        <v>34200.400000000001</v>
      </c>
      <c r="N85">
        <v>715</v>
      </c>
      <c r="O85">
        <v>148000</v>
      </c>
      <c r="P85" t="s">
        <v>26</v>
      </c>
      <c r="Q85" t="s">
        <v>27</v>
      </c>
      <c r="R85">
        <v>0</v>
      </c>
      <c r="S85" t="s">
        <v>28</v>
      </c>
    </row>
    <row r="86" spans="1:19">
      <c r="A86" t="s">
        <v>383</v>
      </c>
      <c r="B86" t="s">
        <v>384</v>
      </c>
      <c r="C86" t="s">
        <v>84</v>
      </c>
      <c r="D86" t="s">
        <v>313</v>
      </c>
      <c r="E86" t="s">
        <v>385</v>
      </c>
      <c r="F86">
        <v>23</v>
      </c>
      <c r="G86" t="s">
        <v>34</v>
      </c>
      <c r="H86" t="s">
        <v>386</v>
      </c>
      <c r="I86">
        <f>92-322-9876543</f>
        <v>-9876773</v>
      </c>
      <c r="J86" s="1">
        <v>45143</v>
      </c>
      <c r="K86" s="1">
        <v>45304</v>
      </c>
      <c r="L86">
        <v>1650.2</v>
      </c>
      <c r="M86">
        <v>7500.8</v>
      </c>
      <c r="N86">
        <v>615</v>
      </c>
      <c r="O86">
        <v>21000</v>
      </c>
      <c r="P86" t="s">
        <v>76</v>
      </c>
      <c r="Q86" t="s">
        <v>43</v>
      </c>
      <c r="R86">
        <v>0</v>
      </c>
      <c r="S86" t="s">
        <v>28</v>
      </c>
    </row>
    <row r="87" spans="1:19">
      <c r="A87" t="s">
        <v>387</v>
      </c>
      <c r="B87" t="s">
        <v>388</v>
      </c>
      <c r="C87" t="s">
        <v>21</v>
      </c>
      <c r="D87" t="s">
        <v>241</v>
      </c>
      <c r="E87" t="s">
        <v>389</v>
      </c>
      <c r="F87">
        <v>55</v>
      </c>
      <c r="G87" t="s">
        <v>24</v>
      </c>
      <c r="H87" t="s">
        <v>390</v>
      </c>
      <c r="I87">
        <f>39-347-123-4567</f>
        <v>-4998</v>
      </c>
      <c r="J87" s="1">
        <v>42665</v>
      </c>
      <c r="K87" s="1">
        <v>45299</v>
      </c>
      <c r="L87">
        <v>298700.40000000002</v>
      </c>
      <c r="M87">
        <v>72000.25</v>
      </c>
      <c r="N87">
        <v>835</v>
      </c>
      <c r="O87">
        <v>280000</v>
      </c>
      <c r="P87" t="s">
        <v>36</v>
      </c>
      <c r="Q87" t="s">
        <v>27</v>
      </c>
      <c r="R87">
        <v>0</v>
      </c>
      <c r="S87" t="s">
        <v>28</v>
      </c>
    </row>
    <row r="88" spans="1:19">
      <c r="A88" t="s">
        <v>391</v>
      </c>
      <c r="B88" t="s">
        <v>392</v>
      </c>
      <c r="C88" t="s">
        <v>57</v>
      </c>
      <c r="D88" t="s">
        <v>393</v>
      </c>
      <c r="E88" t="s">
        <v>394</v>
      </c>
      <c r="F88">
        <v>33</v>
      </c>
      <c r="G88" t="s">
        <v>34</v>
      </c>
      <c r="H88" t="s">
        <v>395</v>
      </c>
      <c r="I88">
        <f>380-67-123-4567</f>
        <v>-4377</v>
      </c>
      <c r="J88" s="1">
        <v>44269</v>
      </c>
      <c r="K88" s="1">
        <v>45302</v>
      </c>
      <c r="L88">
        <v>14200.6</v>
      </c>
      <c r="M88">
        <v>6100.9</v>
      </c>
      <c r="N88">
        <v>725</v>
      </c>
      <c r="O88">
        <v>57000</v>
      </c>
      <c r="P88" t="s">
        <v>36</v>
      </c>
      <c r="Q88" t="s">
        <v>27</v>
      </c>
      <c r="R88">
        <v>0</v>
      </c>
      <c r="S88" t="s">
        <v>28</v>
      </c>
    </row>
    <row r="89" spans="1:19">
      <c r="A89" t="s">
        <v>396</v>
      </c>
      <c r="B89" t="s">
        <v>397</v>
      </c>
      <c r="C89" t="s">
        <v>39</v>
      </c>
      <c r="D89" t="s">
        <v>195</v>
      </c>
      <c r="E89" t="s">
        <v>196</v>
      </c>
      <c r="F89">
        <v>49</v>
      </c>
      <c r="G89" t="s">
        <v>24</v>
      </c>
      <c r="H89" t="s">
        <v>398</v>
      </c>
      <c r="I89">
        <f>353-87-234-5678</f>
        <v>-5646</v>
      </c>
      <c r="J89" s="1">
        <v>43281</v>
      </c>
      <c r="K89" s="1">
        <v>45300</v>
      </c>
      <c r="L89">
        <v>167800.75</v>
      </c>
      <c r="M89">
        <v>78000.600000000006</v>
      </c>
      <c r="N89">
        <v>675</v>
      </c>
      <c r="O89">
        <v>175000</v>
      </c>
      <c r="P89" t="s">
        <v>76</v>
      </c>
      <c r="Q89" t="s">
        <v>27</v>
      </c>
      <c r="R89">
        <v>0</v>
      </c>
      <c r="S89" t="s">
        <v>28</v>
      </c>
    </row>
    <row r="90" spans="1:19">
      <c r="A90" t="s">
        <v>399</v>
      </c>
      <c r="B90" t="s">
        <v>400</v>
      </c>
      <c r="C90" t="s">
        <v>31</v>
      </c>
      <c r="D90" t="s">
        <v>233</v>
      </c>
      <c r="E90" t="s">
        <v>234</v>
      </c>
      <c r="F90">
        <v>28</v>
      </c>
      <c r="G90" t="s">
        <v>34</v>
      </c>
      <c r="H90" t="s">
        <v>401</v>
      </c>
      <c r="I90">
        <f>82-10-3456-7890</f>
        <v>-11274</v>
      </c>
      <c r="J90" s="1">
        <v>44898</v>
      </c>
      <c r="K90" s="1">
        <v>45305</v>
      </c>
      <c r="L90">
        <v>10800.25</v>
      </c>
      <c r="M90">
        <v>5900.4</v>
      </c>
      <c r="N90">
        <v>745</v>
      </c>
      <c r="O90">
        <v>46000</v>
      </c>
      <c r="P90" t="s">
        <v>36</v>
      </c>
      <c r="Q90" t="s">
        <v>27</v>
      </c>
      <c r="R90">
        <v>0</v>
      </c>
      <c r="S90" t="s">
        <v>28</v>
      </c>
    </row>
    <row r="91" spans="1:19">
      <c r="A91" t="s">
        <v>402</v>
      </c>
      <c r="B91" t="s">
        <v>403</v>
      </c>
      <c r="C91" t="s">
        <v>52</v>
      </c>
      <c r="D91" t="s">
        <v>277</v>
      </c>
      <c r="E91" t="s">
        <v>404</v>
      </c>
      <c r="F91">
        <v>40</v>
      </c>
      <c r="G91" t="s">
        <v>24</v>
      </c>
      <c r="H91" t="s">
        <v>405</v>
      </c>
      <c r="I91">
        <f>20-122-345-6789</f>
        <v>-7236</v>
      </c>
      <c r="J91" s="1">
        <v>43847</v>
      </c>
      <c r="K91" s="1">
        <v>45301</v>
      </c>
      <c r="L91">
        <v>43200.800000000003</v>
      </c>
      <c r="M91">
        <v>18700.25</v>
      </c>
      <c r="N91">
        <v>680</v>
      </c>
      <c r="O91">
        <v>93000</v>
      </c>
      <c r="P91" t="s">
        <v>26</v>
      </c>
      <c r="Q91" t="s">
        <v>27</v>
      </c>
      <c r="R91">
        <v>0</v>
      </c>
      <c r="S91" t="s">
        <v>28</v>
      </c>
    </row>
    <row r="92" spans="1:19">
      <c r="A92" t="s">
        <v>406</v>
      </c>
      <c r="B92" t="s">
        <v>407</v>
      </c>
      <c r="C92" t="s">
        <v>46</v>
      </c>
      <c r="D92" t="s">
        <v>22</v>
      </c>
      <c r="E92" t="s">
        <v>408</v>
      </c>
      <c r="F92">
        <v>37</v>
      </c>
      <c r="G92" t="s">
        <v>34</v>
      </c>
      <c r="H92" t="s">
        <v>409</v>
      </c>
      <c r="I92">
        <f>1-617-555-156</f>
        <v>-1327</v>
      </c>
      <c r="J92" s="1">
        <v>44034</v>
      </c>
      <c r="K92" s="1">
        <v>45302</v>
      </c>
      <c r="L92">
        <v>72300.600000000006</v>
      </c>
      <c r="M92">
        <v>28900.75</v>
      </c>
      <c r="N92">
        <v>750</v>
      </c>
      <c r="O92">
        <v>128000</v>
      </c>
      <c r="P92" t="s">
        <v>26</v>
      </c>
      <c r="Q92" t="s">
        <v>27</v>
      </c>
      <c r="R92">
        <v>0</v>
      </c>
      <c r="S92" t="s">
        <v>28</v>
      </c>
    </row>
    <row r="93" spans="1:19">
      <c r="A93" t="s">
        <v>410</v>
      </c>
      <c r="B93" t="s">
        <v>411</v>
      </c>
      <c r="C93" t="s">
        <v>39</v>
      </c>
      <c r="D93" t="s">
        <v>40</v>
      </c>
      <c r="E93" t="s">
        <v>41</v>
      </c>
      <c r="F93">
        <v>52</v>
      </c>
      <c r="G93" t="s">
        <v>24</v>
      </c>
      <c r="H93" t="s">
        <v>412</v>
      </c>
      <c r="I93">
        <f>91-876-543-2109</f>
        <v>-3437</v>
      </c>
      <c r="J93" s="1">
        <v>42837</v>
      </c>
      <c r="K93" s="1">
        <v>45299</v>
      </c>
      <c r="L93">
        <v>198400.25</v>
      </c>
      <c r="M93">
        <v>89000.4</v>
      </c>
      <c r="N93">
        <v>655</v>
      </c>
      <c r="O93">
        <v>210000</v>
      </c>
      <c r="P93" t="s">
        <v>76</v>
      </c>
      <c r="Q93" t="s">
        <v>27</v>
      </c>
      <c r="R93">
        <v>0</v>
      </c>
      <c r="S93" t="s">
        <v>28</v>
      </c>
    </row>
    <row r="94" spans="1:19">
      <c r="A94" t="s">
        <v>413</v>
      </c>
      <c r="B94" t="s">
        <v>414</v>
      </c>
      <c r="C94" t="s">
        <v>57</v>
      </c>
      <c r="D94" t="s">
        <v>415</v>
      </c>
      <c r="E94" t="s">
        <v>416</v>
      </c>
      <c r="F94">
        <v>31</v>
      </c>
      <c r="G94" t="s">
        <v>34</v>
      </c>
      <c r="H94" t="s">
        <v>417</v>
      </c>
      <c r="I94">
        <f>351-912-345-678</f>
        <v>-1584</v>
      </c>
      <c r="J94" s="1">
        <v>44444</v>
      </c>
      <c r="K94" s="1">
        <v>45303</v>
      </c>
      <c r="L94">
        <v>12300.4</v>
      </c>
      <c r="M94">
        <v>5200.8</v>
      </c>
      <c r="N94">
        <v>735</v>
      </c>
      <c r="O94">
        <v>54000</v>
      </c>
      <c r="P94" t="s">
        <v>36</v>
      </c>
      <c r="Q94" t="s">
        <v>27</v>
      </c>
      <c r="R94">
        <v>0</v>
      </c>
      <c r="S94" t="s">
        <v>28</v>
      </c>
    </row>
    <row r="95" spans="1:19">
      <c r="A95" t="s">
        <v>418</v>
      </c>
      <c r="B95" t="s">
        <v>419</v>
      </c>
      <c r="C95" t="s">
        <v>21</v>
      </c>
      <c r="D95" t="s">
        <v>32</v>
      </c>
      <c r="E95" t="s">
        <v>33</v>
      </c>
      <c r="F95">
        <v>59</v>
      </c>
      <c r="G95" t="s">
        <v>24</v>
      </c>
      <c r="H95" t="s">
        <v>420</v>
      </c>
      <c r="I95">
        <f>81-90-6789-123</f>
        <v>-6921</v>
      </c>
      <c r="J95" s="1">
        <v>42454</v>
      </c>
      <c r="K95" s="1">
        <v>45299</v>
      </c>
      <c r="L95">
        <v>312500.59999999998</v>
      </c>
      <c r="M95">
        <v>85000.75</v>
      </c>
      <c r="N95">
        <v>845</v>
      </c>
      <c r="O95">
        <v>295000</v>
      </c>
      <c r="P95" t="s">
        <v>36</v>
      </c>
      <c r="Q95" t="s">
        <v>27</v>
      </c>
      <c r="R95">
        <v>0</v>
      </c>
      <c r="S95" t="s">
        <v>28</v>
      </c>
    </row>
    <row r="96" spans="1:19">
      <c r="A96" t="s">
        <v>421</v>
      </c>
      <c r="B96" t="s">
        <v>422</v>
      </c>
      <c r="C96" t="s">
        <v>52</v>
      </c>
      <c r="D96" t="s">
        <v>68</v>
      </c>
      <c r="E96" t="s">
        <v>69</v>
      </c>
      <c r="F96">
        <v>45</v>
      </c>
      <c r="G96" t="s">
        <v>24</v>
      </c>
      <c r="H96" t="s">
        <v>423</v>
      </c>
      <c r="I96">
        <f>234-809-12-3456</f>
        <v>-4043</v>
      </c>
      <c r="J96" s="1">
        <v>43696</v>
      </c>
      <c r="K96" s="1">
        <v>45301</v>
      </c>
      <c r="L96">
        <v>56700.3</v>
      </c>
      <c r="M96">
        <v>24500.400000000001</v>
      </c>
      <c r="N96">
        <v>665</v>
      </c>
      <c r="O96">
        <v>118000</v>
      </c>
      <c r="P96" t="s">
        <v>26</v>
      </c>
      <c r="Q96" t="s">
        <v>27</v>
      </c>
      <c r="R96">
        <v>0</v>
      </c>
      <c r="S96" t="s">
        <v>28</v>
      </c>
    </row>
    <row r="97" spans="1:19">
      <c r="A97" t="s">
        <v>424</v>
      </c>
      <c r="B97" t="s">
        <v>425</v>
      </c>
      <c r="C97" t="s">
        <v>46</v>
      </c>
      <c r="D97" t="s">
        <v>63</v>
      </c>
      <c r="E97" t="s">
        <v>64</v>
      </c>
      <c r="F97">
        <v>34</v>
      </c>
      <c r="G97" t="s">
        <v>34</v>
      </c>
      <c r="H97" t="s">
        <v>426</v>
      </c>
      <c r="I97">
        <f>55-11-94567-8901</f>
        <v>-103424</v>
      </c>
      <c r="J97" s="1">
        <v>44255</v>
      </c>
      <c r="K97" s="1">
        <v>45303</v>
      </c>
      <c r="L97">
        <v>67800.75</v>
      </c>
      <c r="M97">
        <v>25600.9</v>
      </c>
      <c r="N97">
        <v>740</v>
      </c>
      <c r="O97">
        <v>124000</v>
      </c>
      <c r="P97" t="s">
        <v>26</v>
      </c>
      <c r="Q97" t="s">
        <v>27</v>
      </c>
      <c r="R97">
        <v>0</v>
      </c>
      <c r="S97" t="s">
        <v>28</v>
      </c>
    </row>
    <row r="98" spans="1:19">
      <c r="A98" t="s">
        <v>427</v>
      </c>
      <c r="B98" t="s">
        <v>428</v>
      </c>
      <c r="C98" t="s">
        <v>31</v>
      </c>
      <c r="D98" t="s">
        <v>22</v>
      </c>
      <c r="E98" t="s">
        <v>53</v>
      </c>
      <c r="F98">
        <v>27</v>
      </c>
      <c r="G98" t="s">
        <v>24</v>
      </c>
      <c r="H98" t="s">
        <v>429</v>
      </c>
      <c r="I98">
        <f>1-773-555-198</f>
        <v>-1525</v>
      </c>
      <c r="J98" s="1">
        <v>45031</v>
      </c>
      <c r="K98" s="1">
        <v>45305</v>
      </c>
      <c r="L98">
        <v>8900.6</v>
      </c>
      <c r="M98">
        <v>4800.25</v>
      </c>
      <c r="N98">
        <v>710</v>
      </c>
      <c r="O98">
        <v>43000</v>
      </c>
      <c r="P98" t="s">
        <v>26</v>
      </c>
      <c r="Q98" t="s">
        <v>43</v>
      </c>
      <c r="R98">
        <v>0</v>
      </c>
      <c r="S98" t="s">
        <v>28</v>
      </c>
    </row>
    <row r="99" spans="1:19">
      <c r="A99" t="s">
        <v>430</v>
      </c>
      <c r="B99" t="s">
        <v>431</v>
      </c>
      <c r="C99" t="s">
        <v>39</v>
      </c>
      <c r="D99" t="s">
        <v>376</v>
      </c>
      <c r="E99" t="s">
        <v>432</v>
      </c>
      <c r="F99">
        <v>47</v>
      </c>
      <c r="G99" t="s">
        <v>24</v>
      </c>
      <c r="H99" t="s">
        <v>433</v>
      </c>
      <c r="I99">
        <f>84-903-456-789</f>
        <v>-2064</v>
      </c>
      <c r="J99" s="1">
        <v>43424</v>
      </c>
      <c r="K99" s="1">
        <v>45300</v>
      </c>
      <c r="L99">
        <v>134600.4</v>
      </c>
      <c r="M99">
        <v>62000.75</v>
      </c>
      <c r="N99">
        <v>670</v>
      </c>
      <c r="O99">
        <v>145000</v>
      </c>
      <c r="P99" t="s">
        <v>76</v>
      </c>
      <c r="Q99" t="s">
        <v>27</v>
      </c>
      <c r="R99">
        <v>0</v>
      </c>
      <c r="S99" t="s">
        <v>28</v>
      </c>
    </row>
    <row r="100" spans="1:19">
      <c r="A100" t="s">
        <v>434</v>
      </c>
      <c r="B100" t="s">
        <v>435</v>
      </c>
      <c r="C100" t="s">
        <v>84</v>
      </c>
      <c r="D100" t="s">
        <v>73</v>
      </c>
      <c r="E100" t="s">
        <v>126</v>
      </c>
      <c r="F100">
        <v>22</v>
      </c>
      <c r="G100" t="s">
        <v>34</v>
      </c>
      <c r="H100" t="s">
        <v>436</v>
      </c>
      <c r="I100">
        <f>49-174-5678901</f>
        <v>-5679026</v>
      </c>
      <c r="J100" s="1">
        <v>45119</v>
      </c>
      <c r="K100" s="1">
        <v>45304</v>
      </c>
      <c r="L100">
        <v>2280.4</v>
      </c>
      <c r="M100">
        <v>10800.6</v>
      </c>
      <c r="N100">
        <v>605</v>
      </c>
      <c r="O100">
        <v>18000</v>
      </c>
      <c r="P100" t="s">
        <v>76</v>
      </c>
      <c r="Q100" t="s">
        <v>43</v>
      </c>
      <c r="R100">
        <v>0</v>
      </c>
      <c r="S100" t="s">
        <v>28</v>
      </c>
    </row>
    <row r="101" spans="1:19">
      <c r="A101" t="s">
        <v>437</v>
      </c>
      <c r="B101" t="s">
        <v>438</v>
      </c>
      <c r="C101" t="s">
        <v>46</v>
      </c>
      <c r="D101" t="s">
        <v>47</v>
      </c>
      <c r="E101" t="s">
        <v>98</v>
      </c>
      <c r="F101">
        <v>39</v>
      </c>
      <c r="G101" t="s">
        <v>24</v>
      </c>
      <c r="H101" t="s">
        <v>439</v>
      </c>
      <c r="I101">
        <f>44-77-4567-8901</f>
        <v>-13501</v>
      </c>
      <c r="J101" s="1">
        <v>43959</v>
      </c>
      <c r="K101" s="1">
        <v>45302</v>
      </c>
      <c r="L101">
        <v>81200.25</v>
      </c>
      <c r="M101">
        <v>32500.799999999999</v>
      </c>
      <c r="N101">
        <v>725</v>
      </c>
      <c r="O101">
        <v>139000</v>
      </c>
      <c r="P101" t="s">
        <v>26</v>
      </c>
      <c r="Q101" t="s">
        <v>27</v>
      </c>
      <c r="R101">
        <v>0</v>
      </c>
      <c r="S101" t="s">
        <v>28</v>
      </c>
    </row>
    <row r="102" spans="1:19">
      <c r="A102" t="s">
        <v>440</v>
      </c>
      <c r="B102" t="s">
        <v>441</v>
      </c>
      <c r="C102" t="s">
        <v>57</v>
      </c>
      <c r="D102" t="s">
        <v>442</v>
      </c>
      <c r="E102" t="s">
        <v>443</v>
      </c>
      <c r="F102">
        <v>30</v>
      </c>
      <c r="G102" t="s">
        <v>34</v>
      </c>
      <c r="H102" t="s">
        <v>444</v>
      </c>
      <c r="I102">
        <f>968-9212-3456</f>
        <v>-11700</v>
      </c>
      <c r="J102" s="1">
        <v>44606</v>
      </c>
      <c r="K102" s="1">
        <v>45305</v>
      </c>
      <c r="L102">
        <v>13400.9</v>
      </c>
      <c r="M102">
        <v>5800.4</v>
      </c>
      <c r="N102">
        <v>750</v>
      </c>
      <c r="O102">
        <v>56000</v>
      </c>
      <c r="P102" t="s">
        <v>36</v>
      </c>
      <c r="Q102" t="s">
        <v>27</v>
      </c>
      <c r="R102">
        <v>0</v>
      </c>
      <c r="S102" t="s">
        <v>28</v>
      </c>
    </row>
    <row r="103" spans="1:19">
      <c r="A103" t="s">
        <v>445</v>
      </c>
      <c r="B103" t="s">
        <v>446</v>
      </c>
      <c r="C103" t="s">
        <v>52</v>
      </c>
      <c r="D103" t="s">
        <v>209</v>
      </c>
      <c r="E103" t="s">
        <v>447</v>
      </c>
      <c r="F103">
        <v>43</v>
      </c>
      <c r="G103" t="s">
        <v>24</v>
      </c>
      <c r="H103" t="s">
        <v>448</v>
      </c>
      <c r="I103">
        <f>52-33-1234-5678</f>
        <v>-6893</v>
      </c>
      <c r="J103" s="1">
        <v>43641</v>
      </c>
      <c r="K103" s="1">
        <v>45301</v>
      </c>
      <c r="L103">
        <v>49800.6</v>
      </c>
      <c r="M103">
        <v>21300.25</v>
      </c>
      <c r="N103">
        <v>690</v>
      </c>
      <c r="O103">
        <v>102000</v>
      </c>
      <c r="P103" t="s">
        <v>26</v>
      </c>
      <c r="Q103" t="s">
        <v>27</v>
      </c>
      <c r="R103">
        <v>0</v>
      </c>
      <c r="S103" t="s">
        <v>28</v>
      </c>
    </row>
    <row r="104" spans="1:19">
      <c r="A104" t="s">
        <v>449</v>
      </c>
      <c r="B104" t="s">
        <v>450</v>
      </c>
      <c r="C104" t="s">
        <v>21</v>
      </c>
      <c r="D104" t="s">
        <v>32</v>
      </c>
      <c r="E104" t="s">
        <v>110</v>
      </c>
      <c r="F104">
        <v>56</v>
      </c>
      <c r="G104" t="s">
        <v>34</v>
      </c>
      <c r="H104" t="s">
        <v>451</v>
      </c>
      <c r="I104">
        <f>81-80-7890-1234</f>
        <v>-9123</v>
      </c>
      <c r="J104" s="1">
        <v>42765</v>
      </c>
      <c r="K104" s="1">
        <v>45299</v>
      </c>
      <c r="L104">
        <v>267800.75</v>
      </c>
      <c r="M104">
        <v>72000.899999999994</v>
      </c>
      <c r="N104">
        <v>830</v>
      </c>
      <c r="O104">
        <v>285000</v>
      </c>
      <c r="P104" t="s">
        <v>36</v>
      </c>
      <c r="Q104" t="s">
        <v>27</v>
      </c>
      <c r="R104">
        <v>0</v>
      </c>
      <c r="S104" t="s">
        <v>28</v>
      </c>
    </row>
    <row r="105" spans="1:19">
      <c r="A105" t="s">
        <v>452</v>
      </c>
      <c r="B105" t="s">
        <v>453</v>
      </c>
      <c r="C105" t="s">
        <v>39</v>
      </c>
      <c r="D105" t="s">
        <v>68</v>
      </c>
      <c r="E105" t="s">
        <v>179</v>
      </c>
      <c r="F105">
        <v>50</v>
      </c>
      <c r="G105" t="s">
        <v>24</v>
      </c>
      <c r="H105" t="s">
        <v>454</v>
      </c>
      <c r="I105">
        <f>234-812-345-6789</f>
        <v>-7712</v>
      </c>
      <c r="J105" s="1">
        <v>43195</v>
      </c>
      <c r="K105" s="1">
        <v>45300</v>
      </c>
      <c r="L105">
        <v>178900.4</v>
      </c>
      <c r="M105">
        <v>82000.25</v>
      </c>
      <c r="N105">
        <v>645</v>
      </c>
      <c r="O105">
        <v>185000</v>
      </c>
      <c r="P105" t="s">
        <v>76</v>
      </c>
      <c r="Q105" t="s">
        <v>27</v>
      </c>
      <c r="R105">
        <v>0</v>
      </c>
      <c r="S105" t="s">
        <v>28</v>
      </c>
    </row>
    <row r="106" spans="1:19">
      <c r="A106" t="s">
        <v>455</v>
      </c>
      <c r="B106" t="s">
        <v>456</v>
      </c>
      <c r="C106" t="s">
        <v>46</v>
      </c>
      <c r="D106" t="s">
        <v>85</v>
      </c>
      <c r="E106" t="s">
        <v>130</v>
      </c>
      <c r="F106">
        <v>35</v>
      </c>
      <c r="G106" t="s">
        <v>34</v>
      </c>
      <c r="H106" t="s">
        <v>457</v>
      </c>
      <c r="I106">
        <f>1-778-555-172</f>
        <v>-1504</v>
      </c>
      <c r="J106" s="1">
        <v>44422</v>
      </c>
      <c r="K106" s="1">
        <v>45303</v>
      </c>
      <c r="L106">
        <v>73400.800000000003</v>
      </c>
      <c r="M106">
        <v>29800.6</v>
      </c>
      <c r="N106">
        <v>760</v>
      </c>
      <c r="O106">
        <v>131000</v>
      </c>
      <c r="P106" t="s">
        <v>26</v>
      </c>
      <c r="Q106" t="s">
        <v>27</v>
      </c>
      <c r="R106">
        <v>0</v>
      </c>
      <c r="S106" t="s">
        <v>28</v>
      </c>
    </row>
    <row r="107" spans="1:19">
      <c r="A107" t="s">
        <v>458</v>
      </c>
      <c r="B107" t="s">
        <v>459</v>
      </c>
      <c r="C107" t="s">
        <v>31</v>
      </c>
      <c r="D107" t="s">
        <v>460</v>
      </c>
      <c r="E107" t="s">
        <v>461</v>
      </c>
      <c r="F107">
        <v>26</v>
      </c>
      <c r="G107" t="s">
        <v>24</v>
      </c>
      <c r="H107" t="s">
        <v>462</v>
      </c>
      <c r="I107">
        <f>62-812-3456-7890</f>
        <v>-12096</v>
      </c>
      <c r="J107" s="1">
        <v>44948</v>
      </c>
      <c r="K107" s="1">
        <v>45306</v>
      </c>
      <c r="L107">
        <v>7800.25</v>
      </c>
      <c r="M107">
        <v>4500.75</v>
      </c>
      <c r="N107">
        <v>695</v>
      </c>
      <c r="O107">
        <v>35000</v>
      </c>
      <c r="P107" t="s">
        <v>26</v>
      </c>
      <c r="Q107" t="s">
        <v>43</v>
      </c>
      <c r="R107">
        <v>0</v>
      </c>
      <c r="S107" t="s">
        <v>28</v>
      </c>
    </row>
    <row r="108" spans="1:19">
      <c r="A108" t="s">
        <v>463</v>
      </c>
      <c r="B108" t="s">
        <v>464</v>
      </c>
      <c r="C108" t="s">
        <v>57</v>
      </c>
      <c r="D108" t="s">
        <v>195</v>
      </c>
      <c r="E108" t="s">
        <v>196</v>
      </c>
      <c r="F108">
        <v>33</v>
      </c>
      <c r="G108" t="s">
        <v>34</v>
      </c>
      <c r="H108" t="s">
        <v>465</v>
      </c>
      <c r="I108">
        <f>353-85-345-6789</f>
        <v>-6866</v>
      </c>
      <c r="J108" s="1">
        <v>44487</v>
      </c>
      <c r="K108" s="1">
        <v>45302</v>
      </c>
      <c r="L108">
        <v>15600.4</v>
      </c>
      <c r="M108">
        <v>6800.9</v>
      </c>
      <c r="N108">
        <v>740</v>
      </c>
      <c r="O108">
        <v>62000</v>
      </c>
      <c r="P108" t="s">
        <v>36</v>
      </c>
      <c r="Q108" t="s">
        <v>27</v>
      </c>
      <c r="R108">
        <v>0</v>
      </c>
      <c r="S108" t="s">
        <v>28</v>
      </c>
    </row>
    <row r="109" spans="1:19">
      <c r="A109" t="s">
        <v>466</v>
      </c>
      <c r="B109" t="s">
        <v>467</v>
      </c>
      <c r="C109" t="s">
        <v>39</v>
      </c>
      <c r="D109" t="s">
        <v>58</v>
      </c>
      <c r="E109" t="s">
        <v>59</v>
      </c>
      <c r="F109">
        <v>48</v>
      </c>
      <c r="G109" t="s">
        <v>24</v>
      </c>
      <c r="H109" t="s">
        <v>468</v>
      </c>
      <c r="I109">
        <f>86-138-5678-9012</f>
        <v>-14742</v>
      </c>
      <c r="J109" s="1">
        <v>43293</v>
      </c>
      <c r="K109" s="1">
        <v>45300</v>
      </c>
      <c r="L109">
        <v>189500.6</v>
      </c>
      <c r="M109">
        <v>87000.4</v>
      </c>
      <c r="N109">
        <v>685</v>
      </c>
      <c r="O109">
        <v>195000</v>
      </c>
      <c r="P109" t="s">
        <v>76</v>
      </c>
      <c r="Q109" t="s">
        <v>27</v>
      </c>
      <c r="R109">
        <v>0</v>
      </c>
      <c r="S109" t="s">
        <v>28</v>
      </c>
    </row>
    <row r="110" spans="1:19">
      <c r="A110" t="s">
        <v>469</v>
      </c>
      <c r="B110" t="s">
        <v>470</v>
      </c>
      <c r="C110" t="s">
        <v>52</v>
      </c>
      <c r="D110" t="s">
        <v>471</v>
      </c>
      <c r="E110" t="s">
        <v>472</v>
      </c>
      <c r="F110">
        <v>38</v>
      </c>
      <c r="G110" t="s">
        <v>34</v>
      </c>
      <c r="H110" t="s">
        <v>473</v>
      </c>
      <c r="I110">
        <f>48-600-123-456</f>
        <v>-1131</v>
      </c>
      <c r="J110" s="1">
        <v>43919</v>
      </c>
      <c r="K110" s="1">
        <v>45301</v>
      </c>
      <c r="L110">
        <v>38700.75</v>
      </c>
      <c r="M110">
        <v>15600.8</v>
      </c>
      <c r="N110">
        <v>715</v>
      </c>
      <c r="O110">
        <v>86000</v>
      </c>
      <c r="P110" t="s">
        <v>26</v>
      </c>
      <c r="Q110" t="s">
        <v>27</v>
      </c>
      <c r="R110">
        <v>0</v>
      </c>
      <c r="S110" t="s">
        <v>28</v>
      </c>
    </row>
    <row r="111" spans="1:19">
      <c r="A111" t="s">
        <v>474</v>
      </c>
      <c r="B111" t="s">
        <v>475</v>
      </c>
      <c r="C111" t="s">
        <v>46</v>
      </c>
      <c r="D111" t="s">
        <v>345</v>
      </c>
      <c r="E111" t="s">
        <v>476</v>
      </c>
      <c r="F111">
        <v>41</v>
      </c>
      <c r="G111" t="s">
        <v>24</v>
      </c>
      <c r="H111" t="s">
        <v>477</v>
      </c>
      <c r="I111">
        <f>880-1812-345678</f>
        <v>-346610</v>
      </c>
      <c r="J111" s="1">
        <v>43804</v>
      </c>
      <c r="K111" s="1">
        <v>45302</v>
      </c>
      <c r="L111">
        <v>62300.2</v>
      </c>
      <c r="M111">
        <v>24500.75</v>
      </c>
      <c r="N111">
        <v>680</v>
      </c>
      <c r="O111">
        <v>117000</v>
      </c>
      <c r="P111" t="s">
        <v>26</v>
      </c>
      <c r="Q111" t="s">
        <v>27</v>
      </c>
      <c r="R111">
        <v>0</v>
      </c>
      <c r="S111" t="s">
        <v>28</v>
      </c>
    </row>
    <row r="112" spans="1:19">
      <c r="A112" t="s">
        <v>478</v>
      </c>
      <c r="B112" t="s">
        <v>479</v>
      </c>
      <c r="C112" t="s">
        <v>84</v>
      </c>
      <c r="D112" t="s">
        <v>32</v>
      </c>
      <c r="E112" t="s">
        <v>33</v>
      </c>
      <c r="F112">
        <v>21</v>
      </c>
      <c r="G112" t="s">
        <v>34</v>
      </c>
      <c r="H112" t="s">
        <v>480</v>
      </c>
      <c r="I112">
        <f>81-90-9012-3456</f>
        <v>-12477</v>
      </c>
      <c r="J112" s="1">
        <v>45177</v>
      </c>
      <c r="K112" s="1">
        <v>45304</v>
      </c>
      <c r="L112">
        <v>1950.6</v>
      </c>
      <c r="M112">
        <v>9200.4</v>
      </c>
      <c r="N112">
        <v>610</v>
      </c>
      <c r="O112">
        <v>19000</v>
      </c>
      <c r="P112" t="s">
        <v>76</v>
      </c>
      <c r="Q112" t="s">
        <v>43</v>
      </c>
      <c r="R112">
        <v>0</v>
      </c>
      <c r="S112" t="s">
        <v>28</v>
      </c>
    </row>
    <row r="113" spans="1:19">
      <c r="A113" t="s">
        <v>481</v>
      </c>
      <c r="B113" t="s">
        <v>482</v>
      </c>
      <c r="C113" t="s">
        <v>21</v>
      </c>
      <c r="D113" t="s">
        <v>214</v>
      </c>
      <c r="E113" t="s">
        <v>483</v>
      </c>
      <c r="F113">
        <v>54</v>
      </c>
      <c r="G113" t="s">
        <v>24</v>
      </c>
      <c r="H113" t="s">
        <v>484</v>
      </c>
      <c r="I113">
        <f>34-622-345-678</f>
        <v>-1611</v>
      </c>
      <c r="J113" s="1">
        <v>42874</v>
      </c>
      <c r="K113" s="1">
        <v>45299</v>
      </c>
      <c r="L113">
        <v>287600.40000000002</v>
      </c>
      <c r="M113">
        <v>78000.25</v>
      </c>
      <c r="N113">
        <v>825</v>
      </c>
      <c r="O113">
        <v>275000</v>
      </c>
      <c r="P113" t="s">
        <v>36</v>
      </c>
      <c r="Q113" t="s">
        <v>27</v>
      </c>
      <c r="R113">
        <v>0</v>
      </c>
      <c r="S113" t="s">
        <v>28</v>
      </c>
    </row>
    <row r="114" spans="1:19">
      <c r="A114" t="s">
        <v>485</v>
      </c>
      <c r="B114" t="s">
        <v>486</v>
      </c>
      <c r="C114" t="s">
        <v>57</v>
      </c>
      <c r="D114" t="s">
        <v>228</v>
      </c>
      <c r="E114" t="s">
        <v>229</v>
      </c>
      <c r="F114">
        <v>29</v>
      </c>
      <c r="G114" t="s">
        <v>34</v>
      </c>
      <c r="H114" t="s">
        <v>487</v>
      </c>
      <c r="I114">
        <f>254-723-456-789</f>
        <v>-1714</v>
      </c>
      <c r="J114" s="1">
        <v>44654</v>
      </c>
      <c r="K114" s="1">
        <v>45305</v>
      </c>
      <c r="L114">
        <v>11200.75</v>
      </c>
      <c r="M114">
        <v>4800.6000000000004</v>
      </c>
      <c r="N114">
        <v>720</v>
      </c>
      <c r="O114">
        <v>48000</v>
      </c>
      <c r="P114" t="s">
        <v>36</v>
      </c>
      <c r="Q114" t="s">
        <v>27</v>
      </c>
      <c r="R114">
        <v>0</v>
      </c>
      <c r="S114" t="s">
        <v>28</v>
      </c>
    </row>
    <row r="115" spans="1:19">
      <c r="A115" t="s">
        <v>488</v>
      </c>
      <c r="B115" t="s">
        <v>489</v>
      </c>
      <c r="C115" t="s">
        <v>39</v>
      </c>
      <c r="D115" t="s">
        <v>304</v>
      </c>
      <c r="E115" t="s">
        <v>304</v>
      </c>
      <c r="F115">
        <v>46</v>
      </c>
      <c r="G115" t="s">
        <v>24</v>
      </c>
      <c r="H115" t="s">
        <v>490</v>
      </c>
      <c r="I115">
        <f>65-8234-5678</f>
        <v>-13847</v>
      </c>
      <c r="J115" s="1">
        <v>43368</v>
      </c>
      <c r="K115" s="1">
        <v>45300</v>
      </c>
      <c r="L115">
        <v>156700.79999999999</v>
      </c>
      <c r="M115">
        <v>72000.899999999994</v>
      </c>
      <c r="N115">
        <v>675</v>
      </c>
      <c r="O115">
        <v>165000</v>
      </c>
      <c r="P115" t="s">
        <v>76</v>
      </c>
      <c r="Q115" t="s">
        <v>27</v>
      </c>
      <c r="R115">
        <v>0</v>
      </c>
      <c r="S115" t="s">
        <v>28</v>
      </c>
    </row>
    <row r="116" spans="1:19">
      <c r="A116" t="s">
        <v>491</v>
      </c>
      <c r="B116" t="s">
        <v>492</v>
      </c>
      <c r="C116" t="s">
        <v>52</v>
      </c>
      <c r="D116" t="s">
        <v>493</v>
      </c>
      <c r="E116" t="s">
        <v>494</v>
      </c>
      <c r="F116">
        <v>37</v>
      </c>
      <c r="G116" t="s">
        <v>34</v>
      </c>
      <c r="H116" t="s">
        <v>495</v>
      </c>
      <c r="I116">
        <f>30-691-234-5678</f>
        <v>-6573</v>
      </c>
      <c r="J116" s="1">
        <v>44165</v>
      </c>
      <c r="K116" s="1">
        <v>45302</v>
      </c>
      <c r="L116">
        <v>34500.400000000001</v>
      </c>
      <c r="M116">
        <v>12300.25</v>
      </c>
      <c r="N116">
        <v>705</v>
      </c>
      <c r="O116">
        <v>79000</v>
      </c>
      <c r="P116" t="s">
        <v>26</v>
      </c>
      <c r="Q116" t="s">
        <v>27</v>
      </c>
      <c r="R116">
        <v>0</v>
      </c>
      <c r="S116" t="s">
        <v>28</v>
      </c>
    </row>
    <row r="117" spans="1:19">
      <c r="A117" t="s">
        <v>496</v>
      </c>
      <c r="B117" t="s">
        <v>497</v>
      </c>
      <c r="C117" t="s">
        <v>46</v>
      </c>
      <c r="D117" t="s">
        <v>321</v>
      </c>
      <c r="E117" t="s">
        <v>498</v>
      </c>
      <c r="F117">
        <v>40</v>
      </c>
      <c r="G117" t="s">
        <v>24</v>
      </c>
      <c r="H117" t="s">
        <v>499</v>
      </c>
      <c r="I117">
        <f>61-423-456-789</f>
        <v>-1607</v>
      </c>
      <c r="J117" s="1">
        <v>43660</v>
      </c>
      <c r="K117" s="1">
        <v>45301</v>
      </c>
      <c r="L117">
        <v>85600.75</v>
      </c>
      <c r="M117">
        <v>34200.800000000003</v>
      </c>
      <c r="N117">
        <v>730</v>
      </c>
      <c r="O117">
        <v>147000</v>
      </c>
      <c r="P117" t="s">
        <v>26</v>
      </c>
      <c r="Q117" t="s">
        <v>27</v>
      </c>
      <c r="R117">
        <v>0</v>
      </c>
      <c r="S117" t="s">
        <v>28</v>
      </c>
    </row>
    <row r="118" spans="1:19">
      <c r="A118" t="s">
        <v>324</v>
      </c>
      <c r="B118" t="s">
        <v>500</v>
      </c>
      <c r="C118" t="s">
        <v>31</v>
      </c>
      <c r="D118" t="s">
        <v>313</v>
      </c>
      <c r="E118" t="s">
        <v>501</v>
      </c>
      <c r="F118">
        <v>25</v>
      </c>
      <c r="G118" t="s">
        <v>34</v>
      </c>
      <c r="H118" t="s">
        <v>502</v>
      </c>
      <c r="I118">
        <f>92-321-9876543</f>
        <v>-9876772</v>
      </c>
      <c r="J118" s="1">
        <v>44985</v>
      </c>
      <c r="K118" s="1">
        <v>45306</v>
      </c>
      <c r="L118">
        <v>7200.9</v>
      </c>
      <c r="M118">
        <v>4100.75</v>
      </c>
      <c r="N118">
        <v>680</v>
      </c>
      <c r="O118">
        <v>33000</v>
      </c>
      <c r="P118" t="s">
        <v>26</v>
      </c>
      <c r="Q118" t="s">
        <v>43</v>
      </c>
      <c r="R118">
        <v>0</v>
      </c>
      <c r="S118" t="s">
        <v>28</v>
      </c>
    </row>
    <row r="119" spans="1:19">
      <c r="A119" t="s">
        <v>503</v>
      </c>
      <c r="B119" t="s">
        <v>504</v>
      </c>
      <c r="C119" t="s">
        <v>21</v>
      </c>
      <c r="D119" t="s">
        <v>32</v>
      </c>
      <c r="E119" t="s">
        <v>90</v>
      </c>
      <c r="F119">
        <v>57</v>
      </c>
      <c r="G119" t="s">
        <v>24</v>
      </c>
      <c r="H119" t="s">
        <v>505</v>
      </c>
      <c r="I119">
        <f>81-80-1234-5678</f>
        <v>-6911</v>
      </c>
      <c r="J119" s="1">
        <v>42594</v>
      </c>
      <c r="K119" s="1">
        <v>45299</v>
      </c>
      <c r="L119">
        <v>298400.25</v>
      </c>
      <c r="M119">
        <v>82000.399999999994</v>
      </c>
      <c r="N119">
        <v>840</v>
      </c>
      <c r="O119">
        <v>290000</v>
      </c>
      <c r="P119" t="s">
        <v>36</v>
      </c>
      <c r="Q119" t="s">
        <v>27</v>
      </c>
      <c r="R119">
        <v>0</v>
      </c>
      <c r="S119" t="s">
        <v>28</v>
      </c>
    </row>
    <row r="120" spans="1:19">
      <c r="A120" t="s">
        <v>506</v>
      </c>
      <c r="B120" t="s">
        <v>507</v>
      </c>
      <c r="C120" t="s">
        <v>39</v>
      </c>
      <c r="D120" t="s">
        <v>68</v>
      </c>
      <c r="E120" t="s">
        <v>69</v>
      </c>
      <c r="F120">
        <v>49</v>
      </c>
      <c r="G120" t="s">
        <v>34</v>
      </c>
      <c r="H120" t="s">
        <v>508</v>
      </c>
      <c r="I120">
        <f>234-813-456-7890</f>
        <v>-8925</v>
      </c>
      <c r="J120" s="1">
        <v>43115</v>
      </c>
      <c r="K120" s="1">
        <v>45300</v>
      </c>
      <c r="L120">
        <v>167800.6</v>
      </c>
      <c r="M120">
        <v>78000.75</v>
      </c>
      <c r="N120">
        <v>650</v>
      </c>
      <c r="O120">
        <v>175000</v>
      </c>
      <c r="P120" t="s">
        <v>76</v>
      </c>
      <c r="Q120" t="s">
        <v>27</v>
      </c>
      <c r="R120">
        <v>0</v>
      </c>
      <c r="S120" t="s">
        <v>28</v>
      </c>
    </row>
    <row r="121" spans="1:19">
      <c r="A121" t="s">
        <v>509</v>
      </c>
      <c r="B121" t="s">
        <v>510</v>
      </c>
      <c r="C121" t="s">
        <v>46</v>
      </c>
      <c r="D121" t="s">
        <v>73</v>
      </c>
      <c r="E121" t="s">
        <v>511</v>
      </c>
      <c r="F121">
        <v>36</v>
      </c>
      <c r="G121" t="s">
        <v>24</v>
      </c>
      <c r="H121" t="s">
        <v>512</v>
      </c>
      <c r="I121">
        <f>49-175-6789012</f>
        <v>-6789138</v>
      </c>
      <c r="J121" s="1">
        <v>44375</v>
      </c>
      <c r="K121" s="1">
        <v>45303</v>
      </c>
      <c r="L121">
        <v>72300.399999999994</v>
      </c>
      <c r="M121">
        <v>28900.25</v>
      </c>
      <c r="N121">
        <v>745</v>
      </c>
      <c r="O121">
        <v>128000</v>
      </c>
      <c r="P121" t="s">
        <v>26</v>
      </c>
      <c r="Q121" t="s">
        <v>27</v>
      </c>
      <c r="R121">
        <v>0</v>
      </c>
      <c r="S121" t="s">
        <v>28</v>
      </c>
    </row>
    <row r="122" spans="1:19">
      <c r="A122" t="s">
        <v>513</v>
      </c>
      <c r="B122" t="s">
        <v>514</v>
      </c>
      <c r="C122" t="s">
        <v>57</v>
      </c>
      <c r="D122" t="s">
        <v>58</v>
      </c>
      <c r="E122" t="s">
        <v>122</v>
      </c>
      <c r="F122">
        <v>31</v>
      </c>
      <c r="G122" t="s">
        <v>34</v>
      </c>
      <c r="H122" t="s">
        <v>515</v>
      </c>
      <c r="I122">
        <f>86-137-6789-123</f>
        <v>-6963</v>
      </c>
      <c r="J122" s="1">
        <v>44545</v>
      </c>
      <c r="K122" s="1">
        <v>45302</v>
      </c>
      <c r="L122">
        <v>13400.8</v>
      </c>
      <c r="M122">
        <v>5600.9</v>
      </c>
      <c r="N122">
        <v>765</v>
      </c>
      <c r="O122">
        <v>59000</v>
      </c>
      <c r="P122" t="s">
        <v>36</v>
      </c>
      <c r="Q122" t="s">
        <v>27</v>
      </c>
      <c r="R122">
        <v>0</v>
      </c>
      <c r="S122" t="s">
        <v>28</v>
      </c>
    </row>
    <row r="123" spans="1:19">
      <c r="A123" t="s">
        <v>516</v>
      </c>
      <c r="B123" t="s">
        <v>517</v>
      </c>
      <c r="C123" t="s">
        <v>52</v>
      </c>
      <c r="D123" t="s">
        <v>277</v>
      </c>
      <c r="E123" t="s">
        <v>278</v>
      </c>
      <c r="F123">
        <v>44</v>
      </c>
      <c r="G123" t="s">
        <v>24</v>
      </c>
      <c r="H123" t="s">
        <v>518</v>
      </c>
      <c r="I123">
        <f>20-100-987-6543</f>
        <v>-7610</v>
      </c>
      <c r="J123" s="1">
        <v>43730</v>
      </c>
      <c r="K123" s="1">
        <v>45301</v>
      </c>
      <c r="L123">
        <v>45600.75</v>
      </c>
      <c r="M123">
        <v>19800.400000000001</v>
      </c>
      <c r="N123">
        <v>675</v>
      </c>
      <c r="O123">
        <v>98000</v>
      </c>
      <c r="P123" t="s">
        <v>26</v>
      </c>
      <c r="Q123" t="s">
        <v>27</v>
      </c>
      <c r="R123">
        <v>0</v>
      </c>
      <c r="S123" t="s">
        <v>28</v>
      </c>
    </row>
    <row r="124" spans="1:19">
      <c r="A124" t="s">
        <v>519</v>
      </c>
      <c r="B124" t="s">
        <v>520</v>
      </c>
      <c r="C124" t="s">
        <v>84</v>
      </c>
      <c r="D124" t="s">
        <v>183</v>
      </c>
      <c r="E124" t="s">
        <v>184</v>
      </c>
      <c r="F124">
        <v>23</v>
      </c>
      <c r="G124" t="s">
        <v>34</v>
      </c>
      <c r="H124" t="s">
        <v>521</v>
      </c>
      <c r="I124">
        <f>33-6-3456-7890</f>
        <v>-11319</v>
      </c>
      <c r="J124" s="1">
        <v>45156</v>
      </c>
      <c r="K124" s="1">
        <v>45304</v>
      </c>
      <c r="L124">
        <v>2100.25</v>
      </c>
      <c r="M124">
        <v>9800.6</v>
      </c>
      <c r="N124">
        <v>615</v>
      </c>
      <c r="O124">
        <v>20000</v>
      </c>
      <c r="P124" t="s">
        <v>76</v>
      </c>
      <c r="Q124" t="s">
        <v>43</v>
      </c>
      <c r="R124">
        <v>0</v>
      </c>
      <c r="S124" t="s">
        <v>28</v>
      </c>
    </row>
    <row r="125" spans="1:19">
      <c r="A125" t="s">
        <v>522</v>
      </c>
      <c r="B125" t="s">
        <v>523</v>
      </c>
      <c r="C125" t="s">
        <v>39</v>
      </c>
      <c r="D125" t="s">
        <v>40</v>
      </c>
      <c r="E125" t="s">
        <v>94</v>
      </c>
      <c r="F125">
        <v>51</v>
      </c>
      <c r="G125" t="s">
        <v>24</v>
      </c>
      <c r="H125" t="s">
        <v>524</v>
      </c>
      <c r="I125">
        <f>91-765-432-1098</f>
        <v>-2204</v>
      </c>
      <c r="J125" s="1">
        <v>43047</v>
      </c>
      <c r="K125" s="1">
        <v>45299</v>
      </c>
      <c r="L125">
        <v>213400.8</v>
      </c>
      <c r="M125">
        <v>95000.25</v>
      </c>
      <c r="N125">
        <v>660</v>
      </c>
      <c r="O125">
        <v>220000</v>
      </c>
      <c r="P125" t="s">
        <v>76</v>
      </c>
      <c r="Q125" t="s">
        <v>27</v>
      </c>
      <c r="R125">
        <v>0</v>
      </c>
      <c r="S125" t="s">
        <v>28</v>
      </c>
    </row>
    <row r="126" spans="1:19">
      <c r="A126" t="s">
        <v>306</v>
      </c>
      <c r="B126" t="s">
        <v>525</v>
      </c>
      <c r="C126" t="s">
        <v>46</v>
      </c>
      <c r="D126" t="s">
        <v>209</v>
      </c>
      <c r="E126" t="s">
        <v>210</v>
      </c>
      <c r="F126">
        <v>38</v>
      </c>
      <c r="G126" t="s">
        <v>34</v>
      </c>
      <c r="H126" t="s">
        <v>526</v>
      </c>
      <c r="I126">
        <f>52-55-2345-6789</f>
        <v>-9137</v>
      </c>
      <c r="J126" s="1">
        <v>43938</v>
      </c>
      <c r="K126" s="1">
        <v>45302</v>
      </c>
      <c r="L126">
        <v>67800.899999999994</v>
      </c>
      <c r="M126">
        <v>25600.75</v>
      </c>
      <c r="N126">
        <v>730</v>
      </c>
      <c r="O126">
        <v>121000</v>
      </c>
      <c r="P126" t="s">
        <v>26</v>
      </c>
      <c r="Q126" t="s">
        <v>27</v>
      </c>
      <c r="R126">
        <v>0</v>
      </c>
      <c r="S126" t="s">
        <v>28</v>
      </c>
    </row>
    <row r="127" spans="1:19">
      <c r="A127" t="s">
        <v>527</v>
      </c>
      <c r="B127" t="s">
        <v>528</v>
      </c>
      <c r="C127" t="s">
        <v>31</v>
      </c>
      <c r="D127" t="s">
        <v>32</v>
      </c>
      <c r="E127" t="s">
        <v>33</v>
      </c>
      <c r="F127">
        <v>27</v>
      </c>
      <c r="G127" t="s">
        <v>34</v>
      </c>
      <c r="H127" t="s">
        <v>529</v>
      </c>
      <c r="I127">
        <f>81-90-2345-6789</f>
        <v>-9143</v>
      </c>
      <c r="J127" s="1">
        <v>44997</v>
      </c>
      <c r="K127" s="1">
        <v>45305</v>
      </c>
      <c r="L127">
        <v>8900.4</v>
      </c>
      <c r="M127">
        <v>5200.25</v>
      </c>
      <c r="N127">
        <v>705</v>
      </c>
      <c r="O127">
        <v>37000</v>
      </c>
      <c r="P127" t="s">
        <v>26</v>
      </c>
      <c r="Q127" t="s">
        <v>43</v>
      </c>
      <c r="R127">
        <v>0</v>
      </c>
      <c r="S127" t="s">
        <v>28</v>
      </c>
    </row>
    <row r="128" spans="1:19">
      <c r="A128" t="s">
        <v>530</v>
      </c>
      <c r="B128" t="s">
        <v>531</v>
      </c>
      <c r="C128" t="s">
        <v>57</v>
      </c>
      <c r="D128" t="s">
        <v>219</v>
      </c>
      <c r="E128" t="s">
        <v>220</v>
      </c>
      <c r="F128">
        <v>32</v>
      </c>
      <c r="G128" t="s">
        <v>24</v>
      </c>
      <c r="H128" t="s">
        <v>532</v>
      </c>
      <c r="I128">
        <f>233-54-567-8901</f>
        <v>-9289</v>
      </c>
      <c r="J128" s="1">
        <v>44474</v>
      </c>
      <c r="K128" s="1">
        <v>45303</v>
      </c>
      <c r="L128">
        <v>12300.6</v>
      </c>
      <c r="M128">
        <v>5400.8</v>
      </c>
      <c r="N128">
        <v>710</v>
      </c>
      <c r="O128">
        <v>53000</v>
      </c>
      <c r="P128" t="s">
        <v>36</v>
      </c>
      <c r="Q128" t="s">
        <v>27</v>
      </c>
      <c r="R128">
        <v>0</v>
      </c>
      <c r="S128" t="s">
        <v>28</v>
      </c>
    </row>
    <row r="129" spans="1:19">
      <c r="A129" t="s">
        <v>533</v>
      </c>
      <c r="B129" t="s">
        <v>534</v>
      </c>
      <c r="C129" t="s">
        <v>52</v>
      </c>
      <c r="D129" t="s">
        <v>204</v>
      </c>
      <c r="E129" t="s">
        <v>205</v>
      </c>
      <c r="F129">
        <v>39</v>
      </c>
      <c r="G129" t="s">
        <v>34</v>
      </c>
      <c r="H129" t="s">
        <v>535</v>
      </c>
      <c r="I129">
        <f>7-915-987-65-43</f>
        <v>-2003</v>
      </c>
      <c r="J129" s="1">
        <v>43819</v>
      </c>
      <c r="K129" s="1">
        <v>45301</v>
      </c>
      <c r="L129">
        <v>43200.25</v>
      </c>
      <c r="M129">
        <v>16700.900000000001</v>
      </c>
      <c r="N129">
        <v>695</v>
      </c>
      <c r="O129">
        <v>87000</v>
      </c>
      <c r="P129" t="s">
        <v>26</v>
      </c>
      <c r="Q129" t="s">
        <v>27</v>
      </c>
      <c r="R129">
        <v>0</v>
      </c>
      <c r="S129" t="s">
        <v>28</v>
      </c>
    </row>
    <row r="130" spans="1:19">
      <c r="A130" t="s">
        <v>536</v>
      </c>
      <c r="B130" t="s">
        <v>537</v>
      </c>
      <c r="C130" t="s">
        <v>39</v>
      </c>
      <c r="D130" t="s">
        <v>195</v>
      </c>
      <c r="E130" t="s">
        <v>196</v>
      </c>
      <c r="F130">
        <v>47</v>
      </c>
      <c r="G130" t="s">
        <v>24</v>
      </c>
      <c r="H130" t="s">
        <v>538</v>
      </c>
      <c r="I130">
        <f>353-86-456-7890</f>
        <v>-8079</v>
      </c>
      <c r="J130" s="1">
        <v>43245</v>
      </c>
      <c r="K130" s="1">
        <v>45300</v>
      </c>
      <c r="L130">
        <v>145600.4</v>
      </c>
      <c r="M130">
        <v>68000.600000000006</v>
      </c>
      <c r="N130">
        <v>670</v>
      </c>
      <c r="O130">
        <v>155000</v>
      </c>
      <c r="P130" t="s">
        <v>76</v>
      </c>
      <c r="Q130" t="s">
        <v>27</v>
      </c>
      <c r="R130">
        <v>0</v>
      </c>
      <c r="S130" t="s">
        <v>28</v>
      </c>
    </row>
    <row r="131" spans="1:19">
      <c r="A131" t="s">
        <v>539</v>
      </c>
      <c r="B131" t="s">
        <v>540</v>
      </c>
      <c r="C131" t="s">
        <v>21</v>
      </c>
      <c r="D131" t="s">
        <v>58</v>
      </c>
      <c r="E131" t="s">
        <v>59</v>
      </c>
      <c r="F131">
        <v>55</v>
      </c>
      <c r="G131" t="s">
        <v>34</v>
      </c>
      <c r="H131" t="s">
        <v>541</v>
      </c>
      <c r="I131">
        <f>86-139-3456-7890</f>
        <v>-11399</v>
      </c>
      <c r="J131" s="1">
        <v>42780</v>
      </c>
      <c r="K131" s="1">
        <v>45299</v>
      </c>
      <c r="L131">
        <v>312500.75</v>
      </c>
      <c r="M131">
        <v>85000.8</v>
      </c>
      <c r="N131">
        <v>835</v>
      </c>
      <c r="O131">
        <v>300000</v>
      </c>
      <c r="P131" t="s">
        <v>36</v>
      </c>
      <c r="Q131" t="s">
        <v>27</v>
      </c>
      <c r="R131">
        <v>0</v>
      </c>
      <c r="S131" t="s">
        <v>28</v>
      </c>
    </row>
    <row r="132" spans="1:19">
      <c r="A132" t="s">
        <v>542</v>
      </c>
      <c r="B132" t="s">
        <v>543</v>
      </c>
      <c r="C132" t="s">
        <v>52</v>
      </c>
      <c r="D132" t="s">
        <v>68</v>
      </c>
      <c r="E132" t="s">
        <v>114</v>
      </c>
      <c r="F132">
        <v>42</v>
      </c>
      <c r="G132" t="s">
        <v>34</v>
      </c>
      <c r="H132" t="s">
        <v>544</v>
      </c>
      <c r="I132">
        <f>234-814-567-8901</f>
        <v>-10048</v>
      </c>
      <c r="J132" s="1">
        <v>43777</v>
      </c>
      <c r="K132" s="1">
        <v>45302</v>
      </c>
      <c r="L132">
        <v>52300.6</v>
      </c>
      <c r="M132">
        <v>22300.25</v>
      </c>
      <c r="N132">
        <v>665</v>
      </c>
      <c r="O132">
        <v>108000</v>
      </c>
      <c r="P132" t="s">
        <v>26</v>
      </c>
      <c r="Q132" t="s">
        <v>27</v>
      </c>
      <c r="R132">
        <v>0</v>
      </c>
      <c r="S132" t="s">
        <v>28</v>
      </c>
    </row>
    <row r="133" spans="1:19">
      <c r="A133" t="s">
        <v>545</v>
      </c>
      <c r="B133" t="s">
        <v>546</v>
      </c>
      <c r="C133" t="s">
        <v>46</v>
      </c>
      <c r="D133" t="s">
        <v>241</v>
      </c>
      <c r="E133" t="s">
        <v>242</v>
      </c>
      <c r="F133">
        <v>34</v>
      </c>
      <c r="G133" t="s">
        <v>24</v>
      </c>
      <c r="H133" t="s">
        <v>547</v>
      </c>
      <c r="I133">
        <f>39-348-234-5678</f>
        <v>-6221</v>
      </c>
      <c r="J133" s="1">
        <v>44396</v>
      </c>
      <c r="K133" s="1">
        <v>45303</v>
      </c>
      <c r="L133">
        <v>75600.800000000003</v>
      </c>
      <c r="M133">
        <v>29800.400000000001</v>
      </c>
      <c r="N133">
        <v>750</v>
      </c>
      <c r="O133">
        <v>134000</v>
      </c>
      <c r="P133" t="s">
        <v>26</v>
      </c>
      <c r="Q133" t="s">
        <v>27</v>
      </c>
      <c r="R133">
        <v>0</v>
      </c>
      <c r="S133" t="s">
        <v>28</v>
      </c>
    </row>
    <row r="134" spans="1:19">
      <c r="A134" t="s">
        <v>548</v>
      </c>
      <c r="B134" t="s">
        <v>549</v>
      </c>
      <c r="C134" t="s">
        <v>57</v>
      </c>
      <c r="D134" t="s">
        <v>22</v>
      </c>
      <c r="E134" t="s">
        <v>118</v>
      </c>
      <c r="F134">
        <v>30</v>
      </c>
      <c r="G134" t="s">
        <v>34</v>
      </c>
      <c r="H134" t="s">
        <v>550</v>
      </c>
      <c r="I134">
        <f>1-310-555-194</f>
        <v>-1058</v>
      </c>
      <c r="J134" s="1">
        <v>44591</v>
      </c>
      <c r="K134" s="1">
        <v>45305</v>
      </c>
      <c r="L134">
        <v>14500.9</v>
      </c>
      <c r="M134">
        <v>6200.75</v>
      </c>
      <c r="N134">
        <v>770</v>
      </c>
      <c r="O134">
        <v>65000</v>
      </c>
      <c r="P134" t="s">
        <v>36</v>
      </c>
      <c r="Q134" t="s">
        <v>27</v>
      </c>
      <c r="R134">
        <v>0</v>
      </c>
      <c r="S134" t="s">
        <v>28</v>
      </c>
    </row>
    <row r="135" spans="1:19">
      <c r="A135" t="s">
        <v>551</v>
      </c>
      <c r="B135" t="s">
        <v>552</v>
      </c>
      <c r="C135" t="s">
        <v>39</v>
      </c>
      <c r="D135" t="s">
        <v>313</v>
      </c>
      <c r="E135" t="s">
        <v>314</v>
      </c>
      <c r="F135">
        <v>53</v>
      </c>
      <c r="G135" t="s">
        <v>24</v>
      </c>
      <c r="H135" t="s">
        <v>553</v>
      </c>
      <c r="I135">
        <f>92-300-9876543</f>
        <v>-9876751</v>
      </c>
      <c r="J135" s="1">
        <v>42969</v>
      </c>
      <c r="K135" s="1">
        <v>45299</v>
      </c>
      <c r="L135">
        <v>198700.25</v>
      </c>
      <c r="M135">
        <v>89000.8</v>
      </c>
      <c r="N135">
        <v>645</v>
      </c>
      <c r="O135">
        <v>205000</v>
      </c>
      <c r="P135" t="s">
        <v>76</v>
      </c>
      <c r="Q135" t="s">
        <v>27</v>
      </c>
      <c r="R135">
        <v>0</v>
      </c>
      <c r="S135" t="s">
        <v>28</v>
      </c>
    </row>
    <row r="136" spans="1:19">
      <c r="A136" t="s">
        <v>554</v>
      </c>
      <c r="B136" t="s">
        <v>555</v>
      </c>
      <c r="C136" t="s">
        <v>31</v>
      </c>
      <c r="D136" t="s">
        <v>214</v>
      </c>
      <c r="E136" t="s">
        <v>215</v>
      </c>
      <c r="F136">
        <v>26</v>
      </c>
      <c r="G136" t="s">
        <v>34</v>
      </c>
      <c r="H136" t="s">
        <v>556</v>
      </c>
      <c r="I136">
        <f>34-623-456-789</f>
        <v>-1834</v>
      </c>
      <c r="J136" s="1">
        <v>45024</v>
      </c>
      <c r="K136" s="1">
        <v>45306</v>
      </c>
      <c r="L136">
        <v>10200.5</v>
      </c>
      <c r="M136">
        <v>5800.4</v>
      </c>
      <c r="N136">
        <v>720</v>
      </c>
      <c r="O136">
        <v>42000</v>
      </c>
      <c r="P136" t="s">
        <v>36</v>
      </c>
      <c r="Q136" t="s">
        <v>27</v>
      </c>
      <c r="R136">
        <v>0</v>
      </c>
      <c r="S136" t="s">
        <v>28</v>
      </c>
    </row>
    <row r="137" spans="1:19">
      <c r="A137" t="s">
        <v>108</v>
      </c>
      <c r="B137" t="s">
        <v>557</v>
      </c>
      <c r="C137" t="s">
        <v>84</v>
      </c>
      <c r="D137" t="s">
        <v>32</v>
      </c>
      <c r="E137" t="s">
        <v>90</v>
      </c>
      <c r="F137">
        <v>22</v>
      </c>
      <c r="G137" t="s">
        <v>24</v>
      </c>
      <c r="H137" t="s">
        <v>558</v>
      </c>
      <c r="I137">
        <f>81-90-5678-9012</f>
        <v>-14699</v>
      </c>
      <c r="J137" s="1">
        <v>45211</v>
      </c>
      <c r="K137" s="1">
        <v>45304</v>
      </c>
      <c r="L137">
        <v>1850.8</v>
      </c>
      <c r="M137">
        <v>8500.25</v>
      </c>
      <c r="N137">
        <v>605</v>
      </c>
      <c r="O137">
        <v>18000</v>
      </c>
      <c r="P137" t="s">
        <v>76</v>
      </c>
      <c r="Q137" t="s">
        <v>43</v>
      </c>
      <c r="R137">
        <v>0</v>
      </c>
      <c r="S137" t="s">
        <v>28</v>
      </c>
    </row>
    <row r="138" spans="1:19">
      <c r="A138" t="s">
        <v>559</v>
      </c>
      <c r="B138" t="s">
        <v>560</v>
      </c>
      <c r="C138" t="s">
        <v>46</v>
      </c>
      <c r="D138" t="s">
        <v>254</v>
      </c>
      <c r="E138" t="s">
        <v>255</v>
      </c>
      <c r="F138">
        <v>36</v>
      </c>
      <c r="G138" t="s">
        <v>34</v>
      </c>
      <c r="H138" t="s">
        <v>561</v>
      </c>
      <c r="I138">
        <f>221-78-234-5678</f>
        <v>-5769</v>
      </c>
      <c r="J138" s="1">
        <v>44280</v>
      </c>
      <c r="K138" s="1">
        <v>45302</v>
      </c>
      <c r="L138">
        <v>62300.4</v>
      </c>
      <c r="M138">
        <v>24500.75</v>
      </c>
      <c r="N138">
        <v>710</v>
      </c>
      <c r="O138">
        <v>116000</v>
      </c>
      <c r="P138" t="s">
        <v>26</v>
      </c>
      <c r="Q138" t="s">
        <v>27</v>
      </c>
      <c r="R138">
        <v>0</v>
      </c>
      <c r="S138" t="s">
        <v>28</v>
      </c>
    </row>
    <row r="139" spans="1:19">
      <c r="A139" t="s">
        <v>562</v>
      </c>
      <c r="B139" t="s">
        <v>563</v>
      </c>
      <c r="C139" t="s">
        <v>39</v>
      </c>
      <c r="D139" t="s">
        <v>47</v>
      </c>
      <c r="E139" t="s">
        <v>48</v>
      </c>
      <c r="F139">
        <v>50</v>
      </c>
      <c r="G139" t="s">
        <v>24</v>
      </c>
      <c r="H139" t="s">
        <v>564</v>
      </c>
      <c r="I139">
        <f>44-79-5678-9012</f>
        <v>-14725</v>
      </c>
      <c r="J139" s="1">
        <v>43149</v>
      </c>
      <c r="K139" s="1">
        <v>45300</v>
      </c>
      <c r="L139">
        <v>178900.6</v>
      </c>
      <c r="M139">
        <v>82000.25</v>
      </c>
      <c r="N139">
        <v>675</v>
      </c>
      <c r="O139">
        <v>185000</v>
      </c>
      <c r="P139" t="s">
        <v>76</v>
      </c>
      <c r="Q139" t="s">
        <v>27</v>
      </c>
      <c r="R139">
        <v>0</v>
      </c>
      <c r="S139" t="s">
        <v>28</v>
      </c>
    </row>
    <row r="140" spans="1:19">
      <c r="A140" t="s">
        <v>565</v>
      </c>
      <c r="B140" t="s">
        <v>566</v>
      </c>
      <c r="C140" t="s">
        <v>52</v>
      </c>
      <c r="D140" t="s">
        <v>233</v>
      </c>
      <c r="E140" t="s">
        <v>234</v>
      </c>
      <c r="F140">
        <v>35</v>
      </c>
      <c r="G140" t="s">
        <v>34</v>
      </c>
      <c r="H140" t="s">
        <v>567</v>
      </c>
      <c r="I140">
        <f>82-10-4567-8901</f>
        <v>-13396</v>
      </c>
      <c r="J140" s="1">
        <v>44073</v>
      </c>
      <c r="K140" s="1">
        <v>45301</v>
      </c>
      <c r="L140">
        <v>38700.75</v>
      </c>
      <c r="M140">
        <v>15600.8</v>
      </c>
      <c r="N140">
        <v>725</v>
      </c>
      <c r="O140">
        <v>82000</v>
      </c>
      <c r="P140" t="s">
        <v>26</v>
      </c>
      <c r="Q140" t="s">
        <v>27</v>
      </c>
      <c r="R140">
        <v>0</v>
      </c>
      <c r="S140" t="s">
        <v>28</v>
      </c>
    </row>
    <row r="141" spans="1:19">
      <c r="A141" t="s">
        <v>568</v>
      </c>
      <c r="B141" t="s">
        <v>569</v>
      </c>
      <c r="C141" t="s">
        <v>57</v>
      </c>
      <c r="D141" t="s">
        <v>79</v>
      </c>
      <c r="E141" t="s">
        <v>80</v>
      </c>
      <c r="F141">
        <v>33</v>
      </c>
      <c r="G141" t="s">
        <v>24</v>
      </c>
      <c r="H141" t="s">
        <v>570</v>
      </c>
      <c r="I141">
        <f>971-50-678-9012</f>
        <v>-8769</v>
      </c>
      <c r="J141" s="1">
        <v>44522</v>
      </c>
      <c r="K141" s="1">
        <v>45303</v>
      </c>
      <c r="L141">
        <v>16700.400000000001</v>
      </c>
      <c r="M141">
        <v>7200.9</v>
      </c>
      <c r="N141">
        <v>740</v>
      </c>
      <c r="O141">
        <v>68000</v>
      </c>
      <c r="P141" t="s">
        <v>36</v>
      </c>
      <c r="Q141" t="s">
        <v>27</v>
      </c>
      <c r="R141">
        <v>0</v>
      </c>
      <c r="S141" t="s">
        <v>28</v>
      </c>
    </row>
    <row r="142" spans="1:19">
      <c r="A142" t="s">
        <v>571</v>
      </c>
      <c r="B142" t="s">
        <v>572</v>
      </c>
      <c r="C142" t="s">
        <v>21</v>
      </c>
      <c r="D142" t="s">
        <v>63</v>
      </c>
      <c r="E142" t="s">
        <v>64</v>
      </c>
      <c r="F142">
        <v>56</v>
      </c>
      <c r="G142" t="s">
        <v>34</v>
      </c>
      <c r="H142" t="s">
        <v>573</v>
      </c>
      <c r="I142">
        <f>55-11-95678-9012</f>
        <v>-104646</v>
      </c>
      <c r="J142" s="1">
        <v>42709</v>
      </c>
      <c r="K142" s="1">
        <v>45299</v>
      </c>
      <c r="L142">
        <v>267800.90000000002</v>
      </c>
      <c r="M142">
        <v>72000.600000000006</v>
      </c>
      <c r="N142">
        <v>830</v>
      </c>
      <c r="O142">
        <v>280000</v>
      </c>
      <c r="P142" t="s">
        <v>36</v>
      </c>
      <c r="Q142" t="s">
        <v>27</v>
      </c>
      <c r="R142">
        <v>0</v>
      </c>
      <c r="S142" t="s">
        <v>28</v>
      </c>
    </row>
    <row r="143" spans="1:19">
      <c r="A143" t="s">
        <v>574</v>
      </c>
      <c r="B143" t="s">
        <v>575</v>
      </c>
      <c r="C143" t="s">
        <v>39</v>
      </c>
      <c r="D143" t="s">
        <v>68</v>
      </c>
      <c r="E143" t="s">
        <v>69</v>
      </c>
      <c r="F143">
        <v>48</v>
      </c>
      <c r="G143" t="s">
        <v>24</v>
      </c>
      <c r="H143" t="s">
        <v>576</v>
      </c>
      <c r="I143">
        <f>234-815-678-9012</f>
        <v>-10271</v>
      </c>
      <c r="J143" s="1">
        <v>43295</v>
      </c>
      <c r="K143" s="1">
        <v>45300</v>
      </c>
      <c r="L143">
        <v>156700.25</v>
      </c>
      <c r="M143">
        <v>74000.399999999994</v>
      </c>
      <c r="N143">
        <v>655</v>
      </c>
      <c r="O143">
        <v>170000</v>
      </c>
      <c r="P143" t="s">
        <v>76</v>
      </c>
      <c r="Q143" t="s">
        <v>27</v>
      </c>
      <c r="R143">
        <v>0</v>
      </c>
      <c r="S143" t="s">
        <v>28</v>
      </c>
    </row>
    <row r="144" spans="1:19">
      <c r="A144" t="s">
        <v>577</v>
      </c>
      <c r="B144" t="s">
        <v>578</v>
      </c>
      <c r="C144" t="s">
        <v>46</v>
      </c>
      <c r="D144" t="s">
        <v>85</v>
      </c>
      <c r="E144" t="s">
        <v>162</v>
      </c>
      <c r="F144">
        <v>37</v>
      </c>
      <c r="G144" t="s">
        <v>34</v>
      </c>
      <c r="H144" t="s">
        <v>579</v>
      </c>
      <c r="I144">
        <f>1-438-555-187</f>
        <v>-1179</v>
      </c>
      <c r="J144" s="1">
        <v>44193</v>
      </c>
      <c r="K144" s="1">
        <v>45302</v>
      </c>
      <c r="L144">
        <v>81200.600000000006</v>
      </c>
      <c r="M144">
        <v>32500.75</v>
      </c>
      <c r="N144">
        <v>760</v>
      </c>
      <c r="O144">
        <v>139000</v>
      </c>
      <c r="P144" t="s">
        <v>26</v>
      </c>
      <c r="Q144" t="s">
        <v>27</v>
      </c>
      <c r="R144">
        <v>0</v>
      </c>
      <c r="S144" t="s">
        <v>28</v>
      </c>
    </row>
    <row r="145" spans="1:19">
      <c r="A145" t="s">
        <v>458</v>
      </c>
      <c r="B145" t="s">
        <v>580</v>
      </c>
      <c r="C145" t="s">
        <v>31</v>
      </c>
      <c r="D145" t="s">
        <v>286</v>
      </c>
      <c r="E145" t="s">
        <v>287</v>
      </c>
      <c r="F145">
        <v>28</v>
      </c>
      <c r="G145" t="s">
        <v>24</v>
      </c>
      <c r="H145" t="s">
        <v>581</v>
      </c>
      <c r="I145">
        <f>60-13-456-7890</f>
        <v>-8299</v>
      </c>
      <c r="J145" s="1">
        <v>44971</v>
      </c>
      <c r="K145" s="1">
        <v>45306</v>
      </c>
      <c r="L145">
        <v>8400.25</v>
      </c>
      <c r="M145">
        <v>4900.8</v>
      </c>
      <c r="N145">
        <v>695</v>
      </c>
      <c r="O145">
        <v>39000</v>
      </c>
      <c r="P145" t="s">
        <v>26</v>
      </c>
      <c r="Q145" t="s">
        <v>43</v>
      </c>
      <c r="R145">
        <v>0</v>
      </c>
      <c r="S145" t="s">
        <v>28</v>
      </c>
    </row>
    <row r="146" spans="1:19">
      <c r="A146" t="s">
        <v>582</v>
      </c>
      <c r="B146" t="s">
        <v>583</v>
      </c>
      <c r="C146" t="s">
        <v>57</v>
      </c>
      <c r="D146" t="s">
        <v>22</v>
      </c>
      <c r="E146" t="s">
        <v>23</v>
      </c>
      <c r="F146">
        <v>31</v>
      </c>
      <c r="G146" t="s">
        <v>34</v>
      </c>
      <c r="H146" t="s">
        <v>584</v>
      </c>
      <c r="I146">
        <f>1-646-555-168</f>
        <v>-1368</v>
      </c>
      <c r="J146" s="1">
        <v>44444</v>
      </c>
      <c r="K146" s="1">
        <v>45303</v>
      </c>
      <c r="L146">
        <v>15600.9</v>
      </c>
      <c r="M146">
        <v>6800.25</v>
      </c>
      <c r="N146">
        <v>755</v>
      </c>
      <c r="O146">
        <v>61000</v>
      </c>
      <c r="P146" t="s">
        <v>36</v>
      </c>
      <c r="Q146" t="s">
        <v>27</v>
      </c>
      <c r="R146">
        <v>0</v>
      </c>
      <c r="S146" t="s">
        <v>28</v>
      </c>
    </row>
    <row r="147" spans="1:19">
      <c r="A147" t="s">
        <v>55</v>
      </c>
      <c r="B147" t="s">
        <v>585</v>
      </c>
      <c r="C147" t="s">
        <v>39</v>
      </c>
      <c r="D147" t="s">
        <v>58</v>
      </c>
      <c r="E147" t="s">
        <v>122</v>
      </c>
      <c r="F147">
        <v>49</v>
      </c>
      <c r="G147" t="s">
        <v>24</v>
      </c>
      <c r="H147" t="s">
        <v>586</v>
      </c>
      <c r="I147">
        <f>86-138-7890-1234</f>
        <v>-9176</v>
      </c>
      <c r="J147" s="1">
        <v>43210</v>
      </c>
      <c r="K147" s="1">
        <v>45300</v>
      </c>
      <c r="L147">
        <v>189600.4</v>
      </c>
      <c r="M147">
        <v>87000.75</v>
      </c>
      <c r="N147">
        <v>685</v>
      </c>
      <c r="O147">
        <v>195000</v>
      </c>
      <c r="P147" t="s">
        <v>76</v>
      </c>
      <c r="Q147" t="s">
        <v>27</v>
      </c>
      <c r="R147">
        <v>0</v>
      </c>
      <c r="S147" t="s">
        <v>28</v>
      </c>
    </row>
    <row r="148" spans="1:19">
      <c r="A148" t="s">
        <v>469</v>
      </c>
      <c r="B148" t="s">
        <v>587</v>
      </c>
      <c r="C148" t="s">
        <v>52</v>
      </c>
      <c r="D148" t="s">
        <v>471</v>
      </c>
      <c r="E148" t="s">
        <v>588</v>
      </c>
      <c r="F148">
        <v>40</v>
      </c>
      <c r="G148" t="s">
        <v>34</v>
      </c>
      <c r="H148" t="s">
        <v>589</v>
      </c>
      <c r="I148">
        <f>48-700-234-567</f>
        <v>-1453</v>
      </c>
      <c r="J148" s="1">
        <v>43845</v>
      </c>
      <c r="K148" s="1">
        <v>45301</v>
      </c>
      <c r="L148">
        <v>45600.800000000003</v>
      </c>
      <c r="M148">
        <v>18700.599999999999</v>
      </c>
      <c r="N148">
        <v>715</v>
      </c>
      <c r="O148">
        <v>94000</v>
      </c>
      <c r="P148" t="s">
        <v>26</v>
      </c>
      <c r="Q148" t="s">
        <v>27</v>
      </c>
      <c r="R148">
        <v>0</v>
      </c>
      <c r="S148" t="s">
        <v>28</v>
      </c>
    </row>
    <row r="149" spans="1:19">
      <c r="A149" t="s">
        <v>474</v>
      </c>
      <c r="B149" t="s">
        <v>590</v>
      </c>
      <c r="C149" t="s">
        <v>46</v>
      </c>
      <c r="D149" t="s">
        <v>345</v>
      </c>
      <c r="E149" t="s">
        <v>346</v>
      </c>
      <c r="F149">
        <v>43</v>
      </c>
      <c r="G149" t="s">
        <v>24</v>
      </c>
      <c r="H149" t="s">
        <v>591</v>
      </c>
      <c r="I149">
        <f>880-1712-456789</f>
        <v>-457621</v>
      </c>
      <c r="J149" s="1">
        <v>43746</v>
      </c>
      <c r="K149" s="1">
        <v>45302</v>
      </c>
      <c r="L149">
        <v>73400.25</v>
      </c>
      <c r="M149">
        <v>28900.400000000001</v>
      </c>
      <c r="N149">
        <v>680</v>
      </c>
      <c r="O149">
        <v>123000</v>
      </c>
      <c r="P149" t="s">
        <v>26</v>
      </c>
      <c r="Q149" t="s">
        <v>27</v>
      </c>
      <c r="R149">
        <v>0</v>
      </c>
      <c r="S149" t="s">
        <v>28</v>
      </c>
    </row>
    <row r="150" spans="1:19">
      <c r="A150" t="s">
        <v>592</v>
      </c>
      <c r="B150" t="s">
        <v>593</v>
      </c>
      <c r="C150" t="s">
        <v>84</v>
      </c>
      <c r="D150" t="s">
        <v>32</v>
      </c>
      <c r="E150" t="s">
        <v>33</v>
      </c>
      <c r="F150">
        <v>23</v>
      </c>
      <c r="G150" t="s">
        <v>34</v>
      </c>
      <c r="H150" t="s">
        <v>594</v>
      </c>
      <c r="I150">
        <f>81-90-6789-123</f>
        <v>-6921</v>
      </c>
      <c r="J150" s="1">
        <v>45187</v>
      </c>
      <c r="K150" s="1">
        <v>45304</v>
      </c>
      <c r="L150">
        <v>1950.4</v>
      </c>
      <c r="M150">
        <v>9200.75</v>
      </c>
      <c r="N150">
        <v>610</v>
      </c>
      <c r="O150">
        <v>19000</v>
      </c>
      <c r="P150" t="s">
        <v>76</v>
      </c>
      <c r="Q150" t="s">
        <v>43</v>
      </c>
      <c r="R150">
        <v>0</v>
      </c>
      <c r="S150" t="s">
        <v>28</v>
      </c>
    </row>
    <row r="151" spans="1:19">
      <c r="A151" t="s">
        <v>595</v>
      </c>
      <c r="B151" t="s">
        <v>596</v>
      </c>
      <c r="C151" t="s">
        <v>21</v>
      </c>
      <c r="D151" t="s">
        <v>209</v>
      </c>
      <c r="E151" t="s">
        <v>210</v>
      </c>
      <c r="F151">
        <v>55</v>
      </c>
      <c r="G151" t="s">
        <v>24</v>
      </c>
      <c r="H151" t="s">
        <v>597</v>
      </c>
      <c r="I151">
        <f>52-55-3456-7890</f>
        <v>-11349</v>
      </c>
      <c r="J151" s="1">
        <v>42916</v>
      </c>
      <c r="K151" s="1">
        <v>45299</v>
      </c>
      <c r="L151">
        <v>287600.8</v>
      </c>
      <c r="M151">
        <v>78000.25</v>
      </c>
      <c r="N151">
        <v>825</v>
      </c>
      <c r="O151">
        <v>275000</v>
      </c>
      <c r="P151" t="s">
        <v>36</v>
      </c>
      <c r="Q151" t="s">
        <v>27</v>
      </c>
      <c r="R151">
        <v>0</v>
      </c>
      <c r="S151" t="s">
        <v>28</v>
      </c>
    </row>
    <row r="152" spans="1:19">
      <c r="A152" t="s">
        <v>226</v>
      </c>
      <c r="B152" t="s">
        <v>598</v>
      </c>
      <c r="C152" t="s">
        <v>57</v>
      </c>
      <c r="D152" t="s">
        <v>228</v>
      </c>
      <c r="E152" t="s">
        <v>229</v>
      </c>
      <c r="F152">
        <v>30</v>
      </c>
      <c r="G152" t="s">
        <v>34</v>
      </c>
      <c r="H152" t="s">
        <v>599</v>
      </c>
      <c r="I152">
        <f>254-724-567-890</f>
        <v>-1927</v>
      </c>
      <c r="J152" s="1">
        <v>44632</v>
      </c>
      <c r="K152" s="1">
        <v>45305</v>
      </c>
      <c r="L152">
        <v>12300.75</v>
      </c>
      <c r="M152">
        <v>5200.3999999999996</v>
      </c>
      <c r="N152">
        <v>725</v>
      </c>
      <c r="O152">
        <v>51000</v>
      </c>
      <c r="P152" t="s">
        <v>36</v>
      </c>
      <c r="Q152" t="s">
        <v>27</v>
      </c>
      <c r="R152">
        <v>0</v>
      </c>
      <c r="S152" t="s">
        <v>28</v>
      </c>
    </row>
    <row r="153" spans="1:19">
      <c r="A153" t="s">
        <v>488</v>
      </c>
      <c r="B153" t="s">
        <v>600</v>
      </c>
      <c r="C153" t="s">
        <v>39</v>
      </c>
      <c r="D153" t="s">
        <v>304</v>
      </c>
      <c r="E153" t="s">
        <v>304</v>
      </c>
      <c r="F153">
        <v>47</v>
      </c>
      <c r="G153" t="s">
        <v>24</v>
      </c>
      <c r="H153" t="s">
        <v>601</v>
      </c>
      <c r="I153">
        <f>65-8345-6789</f>
        <v>-15069</v>
      </c>
      <c r="J153" s="1">
        <v>43378</v>
      </c>
      <c r="K153" s="1">
        <v>45300</v>
      </c>
      <c r="L153">
        <v>167800.6</v>
      </c>
      <c r="M153">
        <v>78000.899999999994</v>
      </c>
      <c r="N153">
        <v>675</v>
      </c>
      <c r="O153">
        <v>175000</v>
      </c>
      <c r="P153" t="s">
        <v>76</v>
      </c>
      <c r="Q153" t="s">
        <v>27</v>
      </c>
      <c r="R153">
        <v>0</v>
      </c>
      <c r="S153" t="s">
        <v>28</v>
      </c>
    </row>
    <row r="154" spans="1:19">
      <c r="A154" t="s">
        <v>491</v>
      </c>
      <c r="B154" t="s">
        <v>602</v>
      </c>
      <c r="C154" t="s">
        <v>52</v>
      </c>
      <c r="D154" t="s">
        <v>493</v>
      </c>
      <c r="E154" t="s">
        <v>603</v>
      </c>
      <c r="F154">
        <v>38</v>
      </c>
      <c r="G154" t="s">
        <v>34</v>
      </c>
      <c r="H154" t="s">
        <v>604</v>
      </c>
      <c r="I154">
        <f>30-692-345-6789</f>
        <v>-7796</v>
      </c>
      <c r="J154" s="1">
        <v>44150</v>
      </c>
      <c r="K154" s="1">
        <v>45302</v>
      </c>
      <c r="L154">
        <v>39800.400000000001</v>
      </c>
      <c r="M154">
        <v>14500.25</v>
      </c>
      <c r="N154">
        <v>705</v>
      </c>
      <c r="O154">
        <v>83000</v>
      </c>
      <c r="P154" t="s">
        <v>26</v>
      </c>
      <c r="Q154" t="s">
        <v>27</v>
      </c>
      <c r="R154">
        <v>0</v>
      </c>
      <c r="S154" t="s">
        <v>28</v>
      </c>
    </row>
    <row r="155" spans="1:19">
      <c r="A155" t="s">
        <v>496</v>
      </c>
      <c r="B155" t="s">
        <v>605</v>
      </c>
      <c r="C155" t="s">
        <v>46</v>
      </c>
      <c r="D155" t="s">
        <v>321</v>
      </c>
      <c r="E155" t="s">
        <v>322</v>
      </c>
      <c r="F155">
        <v>41</v>
      </c>
      <c r="G155" t="s">
        <v>24</v>
      </c>
      <c r="H155" t="s">
        <v>606</v>
      </c>
      <c r="I155">
        <f>61-424-567-890</f>
        <v>-1820</v>
      </c>
      <c r="J155" s="1">
        <v>43668</v>
      </c>
      <c r="K155" s="1">
        <v>45301</v>
      </c>
      <c r="L155">
        <v>86700.75</v>
      </c>
      <c r="M155">
        <v>35600.800000000003</v>
      </c>
      <c r="N155">
        <v>730</v>
      </c>
      <c r="O155">
        <v>149000</v>
      </c>
      <c r="P155" t="s">
        <v>26</v>
      </c>
      <c r="Q155" t="s">
        <v>27</v>
      </c>
      <c r="R155">
        <v>0</v>
      </c>
      <c r="S155" t="s">
        <v>28</v>
      </c>
    </row>
    <row r="156" spans="1:19">
      <c r="A156" t="s">
        <v>324</v>
      </c>
      <c r="B156" t="s">
        <v>607</v>
      </c>
      <c r="C156" t="s">
        <v>31</v>
      </c>
      <c r="D156" t="s">
        <v>313</v>
      </c>
      <c r="E156" t="s">
        <v>385</v>
      </c>
      <c r="F156">
        <v>26</v>
      </c>
      <c r="G156" t="s">
        <v>34</v>
      </c>
      <c r="H156" t="s">
        <v>608</v>
      </c>
      <c r="I156">
        <f>92-322-8765432</f>
        <v>-8765662</v>
      </c>
      <c r="J156" s="1">
        <v>44993</v>
      </c>
      <c r="K156" s="1">
        <v>45306</v>
      </c>
      <c r="L156">
        <v>7800.9</v>
      </c>
      <c r="M156">
        <v>4500.75</v>
      </c>
      <c r="N156">
        <v>685</v>
      </c>
      <c r="O156">
        <v>36000</v>
      </c>
      <c r="P156" t="s">
        <v>26</v>
      </c>
      <c r="Q156" t="s">
        <v>43</v>
      </c>
      <c r="R156">
        <v>0</v>
      </c>
      <c r="S156" t="s">
        <v>28</v>
      </c>
    </row>
    <row r="157" spans="1:19">
      <c r="A157" t="s">
        <v>503</v>
      </c>
      <c r="B157" t="s">
        <v>609</v>
      </c>
      <c r="C157" t="s">
        <v>21</v>
      </c>
      <c r="D157" t="s">
        <v>32</v>
      </c>
      <c r="E157" t="s">
        <v>33</v>
      </c>
      <c r="F157">
        <v>58</v>
      </c>
      <c r="G157" t="s">
        <v>24</v>
      </c>
      <c r="H157" t="s">
        <v>610</v>
      </c>
      <c r="I157">
        <f>81-80-2345-6789</f>
        <v>-9133</v>
      </c>
      <c r="J157" s="1">
        <v>42628</v>
      </c>
      <c r="K157" s="1">
        <v>45299</v>
      </c>
      <c r="L157">
        <v>298500.25</v>
      </c>
      <c r="M157">
        <v>82000.399999999994</v>
      </c>
      <c r="N157">
        <v>840</v>
      </c>
      <c r="O157">
        <v>290000</v>
      </c>
      <c r="P157" t="s">
        <v>36</v>
      </c>
      <c r="Q157" t="s">
        <v>27</v>
      </c>
      <c r="R157">
        <v>0</v>
      </c>
      <c r="S157" t="s">
        <v>28</v>
      </c>
    </row>
    <row r="158" spans="1:19">
      <c r="A158" t="s">
        <v>506</v>
      </c>
      <c r="B158" t="s">
        <v>611</v>
      </c>
      <c r="C158" t="s">
        <v>39</v>
      </c>
      <c r="D158" t="s">
        <v>68</v>
      </c>
      <c r="E158" t="s">
        <v>179</v>
      </c>
      <c r="F158">
        <v>50</v>
      </c>
      <c r="G158" t="s">
        <v>34</v>
      </c>
      <c r="H158" t="s">
        <v>612</v>
      </c>
      <c r="I158">
        <f>234-814-567-8901</f>
        <v>-10048</v>
      </c>
      <c r="J158" s="1">
        <v>43159</v>
      </c>
      <c r="K158" s="1">
        <v>45300</v>
      </c>
      <c r="L158">
        <v>178900.4</v>
      </c>
      <c r="M158">
        <v>82000.75</v>
      </c>
      <c r="N158">
        <v>650</v>
      </c>
      <c r="O158">
        <v>185000</v>
      </c>
      <c r="P158" t="s">
        <v>76</v>
      </c>
      <c r="Q158" t="s">
        <v>27</v>
      </c>
      <c r="R158">
        <v>0</v>
      </c>
      <c r="S158" t="s">
        <v>28</v>
      </c>
    </row>
    <row r="159" spans="1:19">
      <c r="A159" t="s">
        <v>509</v>
      </c>
      <c r="B159" t="s">
        <v>613</v>
      </c>
      <c r="C159" t="s">
        <v>46</v>
      </c>
      <c r="D159" t="s">
        <v>73</v>
      </c>
      <c r="E159" t="s">
        <v>74</v>
      </c>
      <c r="F159">
        <v>37</v>
      </c>
      <c r="G159" t="s">
        <v>24</v>
      </c>
      <c r="H159" t="s">
        <v>614</v>
      </c>
      <c r="I159">
        <f>49-176-7890123</f>
        <v>-7890250</v>
      </c>
      <c r="J159" s="1">
        <v>44362</v>
      </c>
      <c r="K159" s="1">
        <v>45303</v>
      </c>
      <c r="L159">
        <v>74500.399999999994</v>
      </c>
      <c r="M159">
        <v>29800.25</v>
      </c>
      <c r="N159">
        <v>745</v>
      </c>
      <c r="O159">
        <v>129000</v>
      </c>
      <c r="P159" t="s">
        <v>26</v>
      </c>
      <c r="Q159" t="s">
        <v>27</v>
      </c>
      <c r="R159">
        <v>0</v>
      </c>
      <c r="S159" t="s">
        <v>28</v>
      </c>
    </row>
    <row r="160" spans="1:19">
      <c r="A160" t="s">
        <v>513</v>
      </c>
      <c r="B160" t="s">
        <v>615</v>
      </c>
      <c r="C160" t="s">
        <v>57</v>
      </c>
      <c r="D160" t="s">
        <v>58</v>
      </c>
      <c r="E160" t="s">
        <v>59</v>
      </c>
      <c r="F160">
        <v>32</v>
      </c>
      <c r="G160" t="s">
        <v>34</v>
      </c>
      <c r="H160" t="s">
        <v>616</v>
      </c>
      <c r="I160">
        <f>86-137-7890-1234</f>
        <v>-9175</v>
      </c>
      <c r="J160" s="1">
        <v>44552</v>
      </c>
      <c r="K160" s="1">
        <v>45302</v>
      </c>
      <c r="L160">
        <v>14500.8</v>
      </c>
      <c r="M160">
        <v>6200.9</v>
      </c>
      <c r="N160">
        <v>765</v>
      </c>
      <c r="O160">
        <v>61000</v>
      </c>
      <c r="P160" t="s">
        <v>36</v>
      </c>
      <c r="Q160" t="s">
        <v>27</v>
      </c>
      <c r="R160">
        <v>0</v>
      </c>
      <c r="S160" t="s">
        <v>28</v>
      </c>
    </row>
    <row r="161" spans="1:19">
      <c r="A161" t="s">
        <v>516</v>
      </c>
      <c r="B161" t="s">
        <v>617</v>
      </c>
      <c r="C161" t="s">
        <v>52</v>
      </c>
      <c r="D161" t="s">
        <v>277</v>
      </c>
      <c r="E161" t="s">
        <v>404</v>
      </c>
      <c r="F161">
        <v>45</v>
      </c>
      <c r="G161" t="s">
        <v>24</v>
      </c>
      <c r="H161" t="s">
        <v>618</v>
      </c>
      <c r="I161">
        <f>20-122-876-5432</f>
        <v>-6410</v>
      </c>
      <c r="J161" s="1">
        <v>43743</v>
      </c>
      <c r="K161" s="1">
        <v>45301</v>
      </c>
      <c r="L161">
        <v>47800.75</v>
      </c>
      <c r="M161">
        <v>20900.400000000001</v>
      </c>
      <c r="N161">
        <v>675</v>
      </c>
      <c r="O161">
        <v>101000</v>
      </c>
      <c r="P161" t="s">
        <v>26</v>
      </c>
      <c r="Q161" t="s">
        <v>27</v>
      </c>
      <c r="R161">
        <v>0</v>
      </c>
      <c r="S161" t="s">
        <v>28</v>
      </c>
    </row>
    <row r="162" spans="1:19">
      <c r="A162" t="s">
        <v>519</v>
      </c>
      <c r="B162" t="s">
        <v>619</v>
      </c>
      <c r="C162" t="s">
        <v>84</v>
      </c>
      <c r="D162" t="s">
        <v>183</v>
      </c>
      <c r="E162" t="s">
        <v>273</v>
      </c>
      <c r="F162">
        <v>24</v>
      </c>
      <c r="G162" t="s">
        <v>34</v>
      </c>
      <c r="H162" t="s">
        <v>620</v>
      </c>
      <c r="I162">
        <f>33-6-4567-8901</f>
        <v>-13441</v>
      </c>
      <c r="J162" s="1">
        <v>45163</v>
      </c>
      <c r="K162" s="1">
        <v>45304</v>
      </c>
      <c r="L162">
        <v>2200.25</v>
      </c>
      <c r="M162">
        <v>10200.6</v>
      </c>
      <c r="N162">
        <v>615</v>
      </c>
      <c r="O162">
        <v>21000</v>
      </c>
      <c r="P162" t="s">
        <v>76</v>
      </c>
      <c r="Q162" t="s">
        <v>43</v>
      </c>
      <c r="R162">
        <v>0</v>
      </c>
      <c r="S162" t="s">
        <v>28</v>
      </c>
    </row>
    <row r="163" spans="1:19">
      <c r="A163" t="s">
        <v>522</v>
      </c>
      <c r="B163" t="s">
        <v>621</v>
      </c>
      <c r="C163" t="s">
        <v>39</v>
      </c>
      <c r="D163" t="s">
        <v>40</v>
      </c>
      <c r="E163" t="s">
        <v>41</v>
      </c>
      <c r="F163">
        <v>52</v>
      </c>
      <c r="G163" t="s">
        <v>24</v>
      </c>
      <c r="H163" t="s">
        <v>622</v>
      </c>
      <c r="I163">
        <f>91-876-543-2109</f>
        <v>-3437</v>
      </c>
      <c r="J163" s="1">
        <v>43087</v>
      </c>
      <c r="K163" s="1">
        <v>45299</v>
      </c>
      <c r="L163">
        <v>213500.79999999999</v>
      </c>
      <c r="M163">
        <v>95000.25</v>
      </c>
      <c r="N163">
        <v>660</v>
      </c>
      <c r="O163">
        <v>220000</v>
      </c>
      <c r="P163" t="s">
        <v>76</v>
      </c>
      <c r="Q163" t="s">
        <v>27</v>
      </c>
      <c r="R163">
        <v>0</v>
      </c>
      <c r="S163" t="s">
        <v>28</v>
      </c>
    </row>
    <row r="164" spans="1:19">
      <c r="A164" t="s">
        <v>306</v>
      </c>
      <c r="B164" t="s">
        <v>623</v>
      </c>
      <c r="C164" t="s">
        <v>46</v>
      </c>
      <c r="D164" t="s">
        <v>209</v>
      </c>
      <c r="E164" t="s">
        <v>447</v>
      </c>
      <c r="F164">
        <v>39</v>
      </c>
      <c r="G164" t="s">
        <v>34</v>
      </c>
      <c r="H164" t="s">
        <v>624</v>
      </c>
      <c r="I164">
        <f>52-33-2345-6789</f>
        <v>-9115</v>
      </c>
      <c r="J164" s="1">
        <v>43959</v>
      </c>
      <c r="K164" s="1">
        <v>45302</v>
      </c>
      <c r="L164">
        <v>68900.899999999994</v>
      </c>
      <c r="M164">
        <v>26700.75</v>
      </c>
      <c r="N164">
        <v>730</v>
      </c>
      <c r="O164">
        <v>124000</v>
      </c>
      <c r="P164" t="s">
        <v>26</v>
      </c>
      <c r="Q164" t="s">
        <v>27</v>
      </c>
      <c r="R164">
        <v>0</v>
      </c>
      <c r="S164" t="s">
        <v>28</v>
      </c>
    </row>
    <row r="165" spans="1:19">
      <c r="A165" t="s">
        <v>527</v>
      </c>
      <c r="B165" t="s">
        <v>625</v>
      </c>
      <c r="C165" t="s">
        <v>31</v>
      </c>
      <c r="D165" t="s">
        <v>32</v>
      </c>
      <c r="E165" t="s">
        <v>90</v>
      </c>
      <c r="F165">
        <v>28</v>
      </c>
      <c r="G165" t="s">
        <v>34</v>
      </c>
      <c r="H165" t="s">
        <v>626</v>
      </c>
      <c r="I165">
        <f>81-90-3456-7890</f>
        <v>-11355</v>
      </c>
      <c r="J165" s="1">
        <v>45031</v>
      </c>
      <c r="K165" s="1">
        <v>45305</v>
      </c>
      <c r="L165">
        <v>9200.4</v>
      </c>
      <c r="M165">
        <v>5400.25</v>
      </c>
      <c r="N165">
        <v>705</v>
      </c>
      <c r="O165">
        <v>38000</v>
      </c>
      <c r="P165" t="s">
        <v>26</v>
      </c>
      <c r="Q165" t="s">
        <v>43</v>
      </c>
      <c r="R165">
        <v>0</v>
      </c>
      <c r="S165" t="s">
        <v>28</v>
      </c>
    </row>
    <row r="166" spans="1:19">
      <c r="A166" t="s">
        <v>530</v>
      </c>
      <c r="B166" t="s">
        <v>627</v>
      </c>
      <c r="C166" t="s">
        <v>57</v>
      </c>
      <c r="D166" t="s">
        <v>219</v>
      </c>
      <c r="E166" t="s">
        <v>220</v>
      </c>
      <c r="F166">
        <v>33</v>
      </c>
      <c r="G166" t="s">
        <v>24</v>
      </c>
      <c r="H166" t="s">
        <v>628</v>
      </c>
      <c r="I166">
        <f>233-55-678-9012</f>
        <v>-9512</v>
      </c>
      <c r="J166" s="1">
        <v>44512</v>
      </c>
      <c r="K166" s="1">
        <v>45303</v>
      </c>
      <c r="L166">
        <v>13400.6</v>
      </c>
      <c r="M166">
        <v>5800.8</v>
      </c>
      <c r="N166">
        <v>710</v>
      </c>
      <c r="O166">
        <v>54000</v>
      </c>
      <c r="P166" t="s">
        <v>36</v>
      </c>
      <c r="Q166" t="s">
        <v>27</v>
      </c>
      <c r="R166">
        <v>0</v>
      </c>
      <c r="S166" t="s">
        <v>28</v>
      </c>
    </row>
    <row r="167" spans="1:19">
      <c r="A167" t="s">
        <v>533</v>
      </c>
      <c r="B167" t="s">
        <v>629</v>
      </c>
      <c r="C167" t="s">
        <v>52</v>
      </c>
      <c r="D167" t="s">
        <v>204</v>
      </c>
      <c r="E167" t="s">
        <v>259</v>
      </c>
      <c r="F167">
        <v>40</v>
      </c>
      <c r="G167" t="s">
        <v>34</v>
      </c>
      <c r="H167" t="s">
        <v>630</v>
      </c>
      <c r="I167">
        <f>7-921-876-54-32</f>
        <v>-1876</v>
      </c>
      <c r="J167" s="1">
        <v>43827</v>
      </c>
      <c r="K167" s="1">
        <v>45301</v>
      </c>
      <c r="L167">
        <v>44500.25</v>
      </c>
      <c r="M167">
        <v>17800.900000000001</v>
      </c>
      <c r="N167">
        <v>695</v>
      </c>
      <c r="O167">
        <v>89000</v>
      </c>
      <c r="P167" t="s">
        <v>26</v>
      </c>
      <c r="Q167" t="s">
        <v>27</v>
      </c>
      <c r="R167">
        <v>0</v>
      </c>
      <c r="S167" t="s">
        <v>28</v>
      </c>
    </row>
    <row r="168" spans="1:19">
      <c r="A168" t="s">
        <v>536</v>
      </c>
      <c r="B168" t="s">
        <v>631</v>
      </c>
      <c r="C168" t="s">
        <v>39</v>
      </c>
      <c r="D168" t="s">
        <v>195</v>
      </c>
      <c r="E168" t="s">
        <v>300</v>
      </c>
      <c r="F168">
        <v>48</v>
      </c>
      <c r="G168" t="s">
        <v>24</v>
      </c>
      <c r="H168" t="s">
        <v>632</v>
      </c>
      <c r="I168">
        <f>353-87-567-8901</f>
        <v>-9202</v>
      </c>
      <c r="J168" s="1">
        <v>43256</v>
      </c>
      <c r="K168" s="1">
        <v>45300</v>
      </c>
      <c r="L168">
        <v>145700.4</v>
      </c>
      <c r="M168">
        <v>69000.600000000006</v>
      </c>
      <c r="N168">
        <v>670</v>
      </c>
      <c r="O168">
        <v>156000</v>
      </c>
      <c r="P168" t="s">
        <v>76</v>
      </c>
      <c r="Q168" t="s">
        <v>27</v>
      </c>
      <c r="R168">
        <v>0</v>
      </c>
      <c r="S168" t="s">
        <v>28</v>
      </c>
    </row>
    <row r="169" spans="1:19">
      <c r="A169" t="s">
        <v>539</v>
      </c>
      <c r="B169" t="s">
        <v>633</v>
      </c>
      <c r="C169" t="s">
        <v>21</v>
      </c>
      <c r="D169" t="s">
        <v>58</v>
      </c>
      <c r="E169" t="s">
        <v>122</v>
      </c>
      <c r="F169">
        <v>56</v>
      </c>
      <c r="G169" t="s">
        <v>34</v>
      </c>
      <c r="H169" t="s">
        <v>634</v>
      </c>
      <c r="I169">
        <f>86-139-4567-8901</f>
        <v>-13521</v>
      </c>
      <c r="J169" s="1">
        <v>42816</v>
      </c>
      <c r="K169" s="1">
        <v>45299</v>
      </c>
      <c r="L169">
        <v>312600.75</v>
      </c>
      <c r="M169">
        <v>86000.8</v>
      </c>
      <c r="N169">
        <v>835</v>
      </c>
      <c r="O169">
        <v>301000</v>
      </c>
      <c r="P169" t="s">
        <v>36</v>
      </c>
      <c r="Q169" t="s">
        <v>27</v>
      </c>
      <c r="R169">
        <v>0</v>
      </c>
      <c r="S169" t="s">
        <v>28</v>
      </c>
    </row>
    <row r="170" spans="1:19">
      <c r="A170" t="s">
        <v>542</v>
      </c>
      <c r="B170" t="s">
        <v>635</v>
      </c>
      <c r="C170" t="s">
        <v>52</v>
      </c>
      <c r="D170" t="s">
        <v>68</v>
      </c>
      <c r="E170" t="s">
        <v>69</v>
      </c>
      <c r="F170">
        <v>43</v>
      </c>
      <c r="G170" t="s">
        <v>34</v>
      </c>
      <c r="H170" t="s">
        <v>636</v>
      </c>
      <c r="I170">
        <f>234-815-678-9012</f>
        <v>-10271</v>
      </c>
      <c r="J170" s="1">
        <v>43784</v>
      </c>
      <c r="K170" s="1">
        <v>45302</v>
      </c>
      <c r="L170">
        <v>53400.6</v>
      </c>
      <c r="M170">
        <v>23400.25</v>
      </c>
      <c r="N170">
        <v>665</v>
      </c>
      <c r="O170">
        <v>109000</v>
      </c>
      <c r="P170" t="s">
        <v>26</v>
      </c>
      <c r="Q170" t="s">
        <v>27</v>
      </c>
      <c r="R170">
        <v>0</v>
      </c>
      <c r="S170" t="s">
        <v>28</v>
      </c>
    </row>
    <row r="171" spans="1:19">
      <c r="A171" t="s">
        <v>545</v>
      </c>
      <c r="B171" t="s">
        <v>637</v>
      </c>
      <c r="C171" t="s">
        <v>46</v>
      </c>
      <c r="D171" t="s">
        <v>241</v>
      </c>
      <c r="E171" t="s">
        <v>389</v>
      </c>
      <c r="F171">
        <v>35</v>
      </c>
      <c r="G171" t="s">
        <v>24</v>
      </c>
      <c r="H171" t="s">
        <v>638</v>
      </c>
      <c r="I171">
        <f>39-349-345-6789</f>
        <v>-7444</v>
      </c>
      <c r="J171" s="1">
        <v>44430</v>
      </c>
      <c r="K171" s="1">
        <v>45303</v>
      </c>
      <c r="L171">
        <v>76700.800000000003</v>
      </c>
      <c r="M171">
        <v>30900.400000000001</v>
      </c>
      <c r="N171">
        <v>750</v>
      </c>
      <c r="O171">
        <v>135000</v>
      </c>
      <c r="P171" t="s">
        <v>26</v>
      </c>
      <c r="Q171" t="s">
        <v>27</v>
      </c>
      <c r="R171">
        <v>0</v>
      </c>
      <c r="S171" t="s">
        <v>28</v>
      </c>
    </row>
    <row r="172" spans="1:19">
      <c r="A172" t="s">
        <v>548</v>
      </c>
      <c r="B172" t="s">
        <v>639</v>
      </c>
      <c r="C172" t="s">
        <v>57</v>
      </c>
      <c r="D172" t="s">
        <v>22</v>
      </c>
      <c r="E172" t="s">
        <v>640</v>
      </c>
      <c r="F172">
        <v>31</v>
      </c>
      <c r="G172" t="s">
        <v>34</v>
      </c>
      <c r="H172" t="s">
        <v>641</v>
      </c>
      <c r="I172">
        <f>1-619-555-196</f>
        <v>-1369</v>
      </c>
      <c r="J172" s="1">
        <v>44606</v>
      </c>
      <c r="K172" s="1">
        <v>45305</v>
      </c>
      <c r="L172">
        <v>15600.9</v>
      </c>
      <c r="M172">
        <v>6800.75</v>
      </c>
      <c r="N172">
        <v>770</v>
      </c>
      <c r="O172">
        <v>66000</v>
      </c>
      <c r="P172" t="s">
        <v>36</v>
      </c>
      <c r="Q172" t="s">
        <v>27</v>
      </c>
      <c r="R172">
        <v>0</v>
      </c>
      <c r="S172" t="s">
        <v>28</v>
      </c>
    </row>
    <row r="173" spans="1:19">
      <c r="A173" t="s">
        <v>551</v>
      </c>
      <c r="B173" t="s">
        <v>642</v>
      </c>
      <c r="C173" t="s">
        <v>39</v>
      </c>
      <c r="D173" t="s">
        <v>313</v>
      </c>
      <c r="E173" t="s">
        <v>501</v>
      </c>
      <c r="F173">
        <v>54</v>
      </c>
      <c r="G173" t="s">
        <v>24</v>
      </c>
      <c r="H173" t="s">
        <v>643</v>
      </c>
      <c r="I173">
        <f>92-301-8765432</f>
        <v>-8765641</v>
      </c>
      <c r="J173" s="1">
        <v>42986</v>
      </c>
      <c r="K173" s="1">
        <v>45299</v>
      </c>
      <c r="L173">
        <v>198800.25</v>
      </c>
      <c r="M173">
        <v>90000.8</v>
      </c>
      <c r="N173">
        <v>645</v>
      </c>
      <c r="O173">
        <v>206000</v>
      </c>
      <c r="P173" t="s">
        <v>76</v>
      </c>
      <c r="Q173" t="s">
        <v>27</v>
      </c>
      <c r="R173">
        <v>0</v>
      </c>
      <c r="S173" t="s">
        <v>28</v>
      </c>
    </row>
    <row r="174" spans="1:19">
      <c r="A174" t="s">
        <v>554</v>
      </c>
      <c r="B174" t="s">
        <v>644</v>
      </c>
      <c r="C174" t="s">
        <v>31</v>
      </c>
      <c r="D174" t="s">
        <v>214</v>
      </c>
      <c r="E174" t="s">
        <v>483</v>
      </c>
      <c r="F174">
        <v>27</v>
      </c>
      <c r="G174" t="s">
        <v>34</v>
      </c>
      <c r="H174" t="s">
        <v>645</v>
      </c>
      <c r="I174">
        <f>34-624-567-890</f>
        <v>-2047</v>
      </c>
      <c r="J174" s="1">
        <v>45058</v>
      </c>
      <c r="K174" s="1">
        <v>45306</v>
      </c>
      <c r="L174">
        <v>11200.5</v>
      </c>
      <c r="M174">
        <v>6200.4</v>
      </c>
      <c r="N174">
        <v>720</v>
      </c>
      <c r="O174">
        <v>43000</v>
      </c>
      <c r="P174" t="s">
        <v>36</v>
      </c>
      <c r="Q174" t="s">
        <v>27</v>
      </c>
      <c r="R174">
        <v>0</v>
      </c>
      <c r="S174" t="s">
        <v>28</v>
      </c>
    </row>
    <row r="175" spans="1:19">
      <c r="A175" t="s">
        <v>108</v>
      </c>
      <c r="B175" t="s">
        <v>646</v>
      </c>
      <c r="C175" t="s">
        <v>84</v>
      </c>
      <c r="D175" t="s">
        <v>32</v>
      </c>
      <c r="E175" t="s">
        <v>110</v>
      </c>
      <c r="F175">
        <v>23</v>
      </c>
      <c r="G175" t="s">
        <v>24</v>
      </c>
      <c r="H175" t="s">
        <v>647</v>
      </c>
      <c r="I175">
        <f>81-90-6789-123</f>
        <v>-6921</v>
      </c>
      <c r="J175" s="1">
        <v>45221</v>
      </c>
      <c r="K175" s="1">
        <v>45304</v>
      </c>
      <c r="L175">
        <v>1950.8</v>
      </c>
      <c r="M175">
        <v>8800.25</v>
      </c>
      <c r="N175">
        <v>605</v>
      </c>
      <c r="O175">
        <v>19000</v>
      </c>
      <c r="P175" t="s">
        <v>76</v>
      </c>
      <c r="Q175" t="s">
        <v>43</v>
      </c>
      <c r="R175">
        <v>0</v>
      </c>
      <c r="S175" t="s">
        <v>28</v>
      </c>
    </row>
    <row r="176" spans="1:19">
      <c r="A176" t="s">
        <v>559</v>
      </c>
      <c r="B176" t="s">
        <v>648</v>
      </c>
      <c r="C176" t="s">
        <v>46</v>
      </c>
      <c r="D176" t="s">
        <v>254</v>
      </c>
      <c r="E176" t="s">
        <v>255</v>
      </c>
      <c r="F176">
        <v>37</v>
      </c>
      <c r="G176" t="s">
        <v>34</v>
      </c>
      <c r="H176" t="s">
        <v>649</v>
      </c>
      <c r="I176">
        <f>221-79-345-6789</f>
        <v>-6992</v>
      </c>
      <c r="J176" s="1">
        <v>44291</v>
      </c>
      <c r="K176" s="1">
        <v>45302</v>
      </c>
      <c r="L176">
        <v>63400.4</v>
      </c>
      <c r="M176">
        <v>25600.75</v>
      </c>
      <c r="N176">
        <v>710</v>
      </c>
      <c r="O176">
        <v>117000</v>
      </c>
      <c r="P176" t="s">
        <v>26</v>
      </c>
      <c r="Q176" t="s">
        <v>27</v>
      </c>
      <c r="R176">
        <v>0</v>
      </c>
      <c r="S176" t="s">
        <v>28</v>
      </c>
    </row>
    <row r="177" spans="1:19">
      <c r="A177" t="s">
        <v>562</v>
      </c>
      <c r="B177" t="s">
        <v>650</v>
      </c>
      <c r="C177" t="s">
        <v>39</v>
      </c>
      <c r="D177" t="s">
        <v>47</v>
      </c>
      <c r="E177" t="s">
        <v>98</v>
      </c>
      <c r="F177">
        <v>51</v>
      </c>
      <c r="G177" t="s">
        <v>24</v>
      </c>
      <c r="H177" t="s">
        <v>651</v>
      </c>
      <c r="I177">
        <f>44-78-6789-123</f>
        <v>-6946</v>
      </c>
      <c r="J177" s="1">
        <v>43171</v>
      </c>
      <c r="K177" s="1">
        <v>45300</v>
      </c>
      <c r="L177">
        <v>179000.6</v>
      </c>
      <c r="M177">
        <v>83000.25</v>
      </c>
      <c r="N177">
        <v>675</v>
      </c>
      <c r="O177">
        <v>186000</v>
      </c>
      <c r="P177" t="s">
        <v>76</v>
      </c>
      <c r="Q177" t="s">
        <v>27</v>
      </c>
      <c r="R177">
        <v>0</v>
      </c>
      <c r="S177" t="s">
        <v>28</v>
      </c>
    </row>
    <row r="178" spans="1:19">
      <c r="A178" t="s">
        <v>565</v>
      </c>
      <c r="B178" t="s">
        <v>652</v>
      </c>
      <c r="C178" t="s">
        <v>52</v>
      </c>
      <c r="D178" t="s">
        <v>233</v>
      </c>
      <c r="E178" t="s">
        <v>296</v>
      </c>
      <c r="F178">
        <v>36</v>
      </c>
      <c r="G178" t="s">
        <v>34</v>
      </c>
      <c r="H178" t="s">
        <v>653</v>
      </c>
      <c r="I178">
        <f>82-10-5678-9012</f>
        <v>-14618</v>
      </c>
      <c r="J178" s="1">
        <v>44082</v>
      </c>
      <c r="K178" s="1">
        <v>45301</v>
      </c>
      <c r="L178">
        <v>39800.75</v>
      </c>
      <c r="M178">
        <v>16700.8</v>
      </c>
      <c r="N178">
        <v>725</v>
      </c>
      <c r="O178">
        <v>83000</v>
      </c>
      <c r="P178" t="s">
        <v>26</v>
      </c>
      <c r="Q178" t="s">
        <v>27</v>
      </c>
      <c r="R178">
        <v>0</v>
      </c>
      <c r="S178" t="s">
        <v>28</v>
      </c>
    </row>
    <row r="179" spans="1:19">
      <c r="A179" t="s">
        <v>568</v>
      </c>
      <c r="B179" t="s">
        <v>654</v>
      </c>
      <c r="C179" t="s">
        <v>57</v>
      </c>
      <c r="D179" t="s">
        <v>79</v>
      </c>
      <c r="E179" t="s">
        <v>102</v>
      </c>
      <c r="F179">
        <v>34</v>
      </c>
      <c r="G179" t="s">
        <v>24</v>
      </c>
      <c r="H179" t="s">
        <v>655</v>
      </c>
      <c r="I179">
        <f>971-50-789-123</f>
        <v>9</v>
      </c>
      <c r="J179" s="1">
        <v>44535</v>
      </c>
      <c r="K179" s="1">
        <v>45303</v>
      </c>
      <c r="L179">
        <v>17800.400000000001</v>
      </c>
      <c r="M179">
        <v>7600.9</v>
      </c>
      <c r="N179">
        <v>740</v>
      </c>
      <c r="O179">
        <v>69000</v>
      </c>
      <c r="P179" t="s">
        <v>36</v>
      </c>
      <c r="Q179" t="s">
        <v>27</v>
      </c>
      <c r="R179">
        <v>0</v>
      </c>
      <c r="S179" t="s">
        <v>28</v>
      </c>
    </row>
    <row r="180" spans="1:19">
      <c r="A180" t="s">
        <v>571</v>
      </c>
      <c r="B180" t="s">
        <v>656</v>
      </c>
      <c r="C180" t="s">
        <v>21</v>
      </c>
      <c r="D180" t="s">
        <v>63</v>
      </c>
      <c r="E180" t="s">
        <v>106</v>
      </c>
      <c r="F180">
        <v>57</v>
      </c>
      <c r="G180" t="s">
        <v>34</v>
      </c>
      <c r="H180" t="s">
        <v>657</v>
      </c>
      <c r="I180">
        <f>55-21-96789-123</f>
        <v>-96878</v>
      </c>
      <c r="J180" s="1">
        <v>42692</v>
      </c>
      <c r="K180" s="1">
        <v>45299</v>
      </c>
      <c r="L180">
        <v>267900.90000000002</v>
      </c>
      <c r="M180">
        <v>73000.600000000006</v>
      </c>
      <c r="N180">
        <v>830</v>
      </c>
      <c r="O180">
        <v>281000</v>
      </c>
      <c r="P180" t="s">
        <v>36</v>
      </c>
      <c r="Q180" t="s">
        <v>27</v>
      </c>
      <c r="R180">
        <v>0</v>
      </c>
      <c r="S180" t="s">
        <v>28</v>
      </c>
    </row>
    <row r="181" spans="1:19">
      <c r="A181" t="s">
        <v>574</v>
      </c>
      <c r="B181" t="s">
        <v>658</v>
      </c>
      <c r="C181" t="s">
        <v>39</v>
      </c>
      <c r="D181" t="s">
        <v>68</v>
      </c>
      <c r="E181" t="s">
        <v>114</v>
      </c>
      <c r="F181">
        <v>49</v>
      </c>
      <c r="G181" t="s">
        <v>24</v>
      </c>
      <c r="H181" t="s">
        <v>659</v>
      </c>
      <c r="I181">
        <f>234-816-789-123</f>
        <v>-1494</v>
      </c>
      <c r="J181" s="1">
        <v>43334</v>
      </c>
      <c r="K181" s="1">
        <v>45300</v>
      </c>
      <c r="L181">
        <v>156800.25</v>
      </c>
      <c r="M181">
        <v>75000.399999999994</v>
      </c>
      <c r="N181">
        <v>655</v>
      </c>
      <c r="O181">
        <v>171000</v>
      </c>
      <c r="P181" t="s">
        <v>76</v>
      </c>
      <c r="Q181" t="s">
        <v>27</v>
      </c>
      <c r="R181">
        <v>0</v>
      </c>
      <c r="S181" t="s">
        <v>28</v>
      </c>
    </row>
    <row r="182" spans="1:19">
      <c r="A182" t="s">
        <v>577</v>
      </c>
      <c r="B182" t="s">
        <v>660</v>
      </c>
      <c r="C182" t="s">
        <v>46</v>
      </c>
      <c r="D182" t="s">
        <v>85</v>
      </c>
      <c r="E182" t="s">
        <v>130</v>
      </c>
      <c r="F182">
        <v>38</v>
      </c>
      <c r="G182" t="s">
        <v>34</v>
      </c>
      <c r="H182" t="s">
        <v>661</v>
      </c>
      <c r="I182">
        <f>1-604-555-191</f>
        <v>-1349</v>
      </c>
      <c r="J182" s="1">
        <v>44211</v>
      </c>
      <c r="K182" s="1">
        <v>45302</v>
      </c>
      <c r="L182">
        <v>82300.600000000006</v>
      </c>
      <c r="M182">
        <v>33600.75</v>
      </c>
      <c r="N182">
        <v>760</v>
      </c>
      <c r="O182">
        <v>140000</v>
      </c>
      <c r="P182" t="s">
        <v>26</v>
      </c>
      <c r="Q182" t="s">
        <v>27</v>
      </c>
      <c r="R182">
        <v>0</v>
      </c>
      <c r="S182" t="s">
        <v>28</v>
      </c>
    </row>
    <row r="183" spans="1:19">
      <c r="A183" t="s">
        <v>458</v>
      </c>
      <c r="B183" t="s">
        <v>662</v>
      </c>
      <c r="C183" t="s">
        <v>31</v>
      </c>
      <c r="D183" t="s">
        <v>460</v>
      </c>
      <c r="E183" t="s">
        <v>663</v>
      </c>
      <c r="F183">
        <v>29</v>
      </c>
      <c r="G183" t="s">
        <v>24</v>
      </c>
      <c r="H183" t="s">
        <v>664</v>
      </c>
      <c r="I183">
        <f>62-813-4567-8901</f>
        <v>-14219</v>
      </c>
      <c r="J183" s="1">
        <v>45007</v>
      </c>
      <c r="K183" s="1">
        <v>45306</v>
      </c>
      <c r="L183">
        <v>8900.25</v>
      </c>
      <c r="M183">
        <v>5200.8</v>
      </c>
      <c r="N183">
        <v>695</v>
      </c>
      <c r="O183">
        <v>40000</v>
      </c>
      <c r="P183" t="s">
        <v>26</v>
      </c>
      <c r="Q183" t="s">
        <v>43</v>
      </c>
      <c r="R183">
        <v>0</v>
      </c>
      <c r="S183" t="s">
        <v>28</v>
      </c>
    </row>
    <row r="184" spans="1:19">
      <c r="A184" t="s">
        <v>582</v>
      </c>
      <c r="B184" t="s">
        <v>665</v>
      </c>
      <c r="C184" t="s">
        <v>57</v>
      </c>
      <c r="D184" t="s">
        <v>22</v>
      </c>
      <c r="E184" t="s">
        <v>53</v>
      </c>
      <c r="F184">
        <v>32</v>
      </c>
      <c r="G184" t="s">
        <v>34</v>
      </c>
      <c r="H184" t="s">
        <v>666</v>
      </c>
      <c r="I184">
        <f>1-773-555-174</f>
        <v>-1501</v>
      </c>
      <c r="J184" s="1">
        <v>44481</v>
      </c>
      <c r="K184" s="1">
        <v>45303</v>
      </c>
      <c r="L184">
        <v>16700.900000000001</v>
      </c>
      <c r="M184">
        <v>7200.25</v>
      </c>
      <c r="N184">
        <v>755</v>
      </c>
      <c r="O184">
        <v>62000</v>
      </c>
      <c r="P184" t="s">
        <v>36</v>
      </c>
      <c r="Q184" t="s">
        <v>27</v>
      </c>
      <c r="R184">
        <v>0</v>
      </c>
      <c r="S184" t="s">
        <v>28</v>
      </c>
    </row>
    <row r="185" spans="1:19">
      <c r="A185" t="s">
        <v>55</v>
      </c>
      <c r="B185" t="s">
        <v>667</v>
      </c>
      <c r="C185" t="s">
        <v>39</v>
      </c>
      <c r="D185" t="s">
        <v>58</v>
      </c>
      <c r="E185" t="s">
        <v>59</v>
      </c>
      <c r="F185">
        <v>50</v>
      </c>
      <c r="G185" t="s">
        <v>24</v>
      </c>
      <c r="H185" t="s">
        <v>668</v>
      </c>
      <c r="I185">
        <f>86-138-8901-2345</f>
        <v>-11298</v>
      </c>
      <c r="J185" s="1">
        <v>43228</v>
      </c>
      <c r="K185" s="1">
        <v>45300</v>
      </c>
      <c r="L185">
        <v>189700.4</v>
      </c>
      <c r="M185">
        <v>88000.75</v>
      </c>
      <c r="N185">
        <v>685</v>
      </c>
      <c r="O185">
        <v>196000</v>
      </c>
      <c r="P185" t="s">
        <v>76</v>
      </c>
      <c r="Q185" t="s">
        <v>27</v>
      </c>
      <c r="R185">
        <v>0</v>
      </c>
      <c r="S185" t="s">
        <v>28</v>
      </c>
    </row>
    <row r="186" spans="1:19">
      <c r="A186" t="s">
        <v>469</v>
      </c>
      <c r="B186" t="s">
        <v>669</v>
      </c>
      <c r="C186" t="s">
        <v>52</v>
      </c>
      <c r="D186" t="s">
        <v>471</v>
      </c>
      <c r="E186" t="s">
        <v>472</v>
      </c>
      <c r="F186">
        <v>41</v>
      </c>
      <c r="G186" t="s">
        <v>34</v>
      </c>
      <c r="H186" t="s">
        <v>670</v>
      </c>
      <c r="I186">
        <f>48-701-345-678</f>
        <v>-1676</v>
      </c>
      <c r="J186" s="1">
        <v>43881</v>
      </c>
      <c r="K186" s="1">
        <v>45301</v>
      </c>
      <c r="L186">
        <v>46700.800000000003</v>
      </c>
      <c r="M186">
        <v>19800.599999999999</v>
      </c>
      <c r="N186">
        <v>715</v>
      </c>
      <c r="O186">
        <v>95000</v>
      </c>
      <c r="P186" t="s">
        <v>26</v>
      </c>
      <c r="Q186" t="s">
        <v>27</v>
      </c>
      <c r="R186">
        <v>0</v>
      </c>
      <c r="S186" t="s">
        <v>28</v>
      </c>
    </row>
    <row r="187" spans="1:19">
      <c r="A187" t="s">
        <v>474</v>
      </c>
      <c r="B187" t="s">
        <v>671</v>
      </c>
      <c r="C187" t="s">
        <v>46</v>
      </c>
      <c r="D187" t="s">
        <v>345</v>
      </c>
      <c r="E187" t="s">
        <v>476</v>
      </c>
      <c r="F187">
        <v>44</v>
      </c>
      <c r="G187" t="s">
        <v>24</v>
      </c>
      <c r="H187" t="s">
        <v>672</v>
      </c>
      <c r="I187">
        <f>880-1812-567890</f>
        <v>-568822</v>
      </c>
      <c r="J187" s="1">
        <v>43781</v>
      </c>
      <c r="K187" s="1">
        <v>45302</v>
      </c>
      <c r="L187">
        <v>74500.25</v>
      </c>
      <c r="M187">
        <v>29800.400000000001</v>
      </c>
      <c r="N187">
        <v>680</v>
      </c>
      <c r="O187">
        <v>124000</v>
      </c>
      <c r="P187" t="s">
        <v>26</v>
      </c>
      <c r="Q187" t="s">
        <v>27</v>
      </c>
      <c r="R187">
        <v>0</v>
      </c>
      <c r="S187" t="s">
        <v>28</v>
      </c>
    </row>
    <row r="188" spans="1:19">
      <c r="A188" t="s">
        <v>592</v>
      </c>
      <c r="B188" t="s">
        <v>673</v>
      </c>
      <c r="C188" t="s">
        <v>84</v>
      </c>
      <c r="D188" t="s">
        <v>32</v>
      </c>
      <c r="E188" t="s">
        <v>90</v>
      </c>
      <c r="F188">
        <v>24</v>
      </c>
      <c r="G188" t="s">
        <v>34</v>
      </c>
      <c r="H188" t="s">
        <v>674</v>
      </c>
      <c r="I188">
        <f>81-90-7890-1234</f>
        <v>-9133</v>
      </c>
      <c r="J188" s="1">
        <v>45197</v>
      </c>
      <c r="K188" s="1">
        <v>45304</v>
      </c>
      <c r="L188">
        <v>2050.4</v>
      </c>
      <c r="M188">
        <v>9400.75</v>
      </c>
      <c r="N188">
        <v>610</v>
      </c>
      <c r="O188">
        <v>20000</v>
      </c>
      <c r="P188" t="s">
        <v>76</v>
      </c>
      <c r="Q188" t="s">
        <v>43</v>
      </c>
      <c r="R188">
        <v>0</v>
      </c>
      <c r="S188" t="s">
        <v>28</v>
      </c>
    </row>
    <row r="189" spans="1:19">
      <c r="A189" t="s">
        <v>595</v>
      </c>
      <c r="B189" t="s">
        <v>675</v>
      </c>
      <c r="C189" t="s">
        <v>21</v>
      </c>
      <c r="D189" t="s">
        <v>209</v>
      </c>
      <c r="E189" t="s">
        <v>210</v>
      </c>
      <c r="F189">
        <v>56</v>
      </c>
      <c r="G189" t="s">
        <v>24</v>
      </c>
      <c r="H189" t="s">
        <v>676</v>
      </c>
      <c r="I189">
        <f>52-55-4567-8901</f>
        <v>-13471</v>
      </c>
      <c r="J189" s="1">
        <v>42941</v>
      </c>
      <c r="K189" s="1">
        <v>45299</v>
      </c>
      <c r="L189">
        <v>287700.8</v>
      </c>
      <c r="M189">
        <v>79000.25</v>
      </c>
      <c r="N189">
        <v>825</v>
      </c>
      <c r="O189">
        <v>276000</v>
      </c>
      <c r="P189" t="s">
        <v>36</v>
      </c>
      <c r="Q189" t="s">
        <v>27</v>
      </c>
      <c r="R189">
        <v>0</v>
      </c>
      <c r="S189" t="s">
        <v>28</v>
      </c>
    </row>
    <row r="190" spans="1:19">
      <c r="A190" t="s">
        <v>226</v>
      </c>
      <c r="B190" t="s">
        <v>677</v>
      </c>
      <c r="C190" t="s">
        <v>57</v>
      </c>
      <c r="D190" t="s">
        <v>228</v>
      </c>
      <c r="E190" t="s">
        <v>678</v>
      </c>
      <c r="F190">
        <v>31</v>
      </c>
      <c r="G190" t="s">
        <v>34</v>
      </c>
      <c r="H190" t="s">
        <v>679</v>
      </c>
      <c r="I190">
        <f>254-725-678-901</f>
        <v>-2050</v>
      </c>
      <c r="J190" s="1">
        <v>44669</v>
      </c>
      <c r="K190" s="1">
        <v>45305</v>
      </c>
      <c r="L190">
        <v>13400.75</v>
      </c>
      <c r="M190">
        <v>5600.4</v>
      </c>
      <c r="N190">
        <v>725</v>
      </c>
      <c r="O190">
        <v>52000</v>
      </c>
      <c r="P190" t="s">
        <v>36</v>
      </c>
      <c r="Q190" t="s">
        <v>27</v>
      </c>
      <c r="R190">
        <v>0</v>
      </c>
      <c r="S190" t="s">
        <v>28</v>
      </c>
    </row>
    <row r="191" spans="1:19">
      <c r="A191" t="s">
        <v>488</v>
      </c>
      <c r="B191" t="s">
        <v>680</v>
      </c>
      <c r="C191" t="s">
        <v>39</v>
      </c>
      <c r="D191" t="s">
        <v>304</v>
      </c>
      <c r="E191" t="s">
        <v>304</v>
      </c>
      <c r="F191">
        <v>48</v>
      </c>
      <c r="G191" t="s">
        <v>24</v>
      </c>
      <c r="H191" t="s">
        <v>681</v>
      </c>
      <c r="I191">
        <f>65-8456-7890</f>
        <v>-16281</v>
      </c>
      <c r="J191" s="1">
        <v>43416</v>
      </c>
      <c r="K191" s="1">
        <v>45300</v>
      </c>
      <c r="L191">
        <v>167900.6</v>
      </c>
      <c r="M191">
        <v>79000.899999999994</v>
      </c>
      <c r="N191">
        <v>675</v>
      </c>
      <c r="O191">
        <v>176000</v>
      </c>
      <c r="P191" t="s">
        <v>76</v>
      </c>
      <c r="Q191" t="s">
        <v>27</v>
      </c>
      <c r="R191">
        <v>0</v>
      </c>
      <c r="S191" t="s">
        <v>28</v>
      </c>
    </row>
    <row r="192" spans="1:19">
      <c r="A192" t="s">
        <v>491</v>
      </c>
      <c r="B192" t="s">
        <v>682</v>
      </c>
      <c r="C192" t="s">
        <v>52</v>
      </c>
      <c r="D192" t="s">
        <v>493</v>
      </c>
      <c r="E192" t="s">
        <v>494</v>
      </c>
      <c r="F192">
        <v>39</v>
      </c>
      <c r="G192" t="s">
        <v>34</v>
      </c>
      <c r="H192" t="s">
        <v>683</v>
      </c>
      <c r="I192">
        <f>30-693-456-7890</f>
        <v>-9009</v>
      </c>
      <c r="J192" s="1">
        <v>44187</v>
      </c>
      <c r="K192" s="1">
        <v>45302</v>
      </c>
      <c r="L192">
        <v>40900.400000000001</v>
      </c>
      <c r="M192">
        <v>15600.25</v>
      </c>
      <c r="N192">
        <v>705</v>
      </c>
      <c r="O192">
        <v>84000</v>
      </c>
      <c r="P192" t="s">
        <v>26</v>
      </c>
      <c r="Q192" t="s">
        <v>27</v>
      </c>
      <c r="R192">
        <v>0</v>
      </c>
      <c r="S192" t="s">
        <v>28</v>
      </c>
    </row>
    <row r="193" spans="1:19">
      <c r="A193" t="s">
        <v>496</v>
      </c>
      <c r="B193" t="s">
        <v>684</v>
      </c>
      <c r="C193" t="s">
        <v>46</v>
      </c>
      <c r="D193" t="s">
        <v>321</v>
      </c>
      <c r="E193" t="s">
        <v>498</v>
      </c>
      <c r="F193">
        <v>42</v>
      </c>
      <c r="G193" t="s">
        <v>24</v>
      </c>
      <c r="H193" t="s">
        <v>685</v>
      </c>
      <c r="I193">
        <f>61-425-678-901</f>
        <v>-1943</v>
      </c>
      <c r="J193" s="1">
        <v>43682</v>
      </c>
      <c r="K193" s="1">
        <v>45301</v>
      </c>
      <c r="L193">
        <v>87800.75</v>
      </c>
      <c r="M193">
        <v>36700.800000000003</v>
      </c>
      <c r="N193">
        <v>730</v>
      </c>
      <c r="O193">
        <v>150000</v>
      </c>
      <c r="P193" t="s">
        <v>26</v>
      </c>
      <c r="Q193" t="s">
        <v>27</v>
      </c>
      <c r="R193">
        <v>0</v>
      </c>
      <c r="S193" t="s">
        <v>28</v>
      </c>
    </row>
    <row r="194" spans="1:19">
      <c r="A194" t="s">
        <v>324</v>
      </c>
      <c r="B194" t="s">
        <v>686</v>
      </c>
      <c r="C194" t="s">
        <v>31</v>
      </c>
      <c r="D194" t="s">
        <v>313</v>
      </c>
      <c r="E194" t="s">
        <v>314</v>
      </c>
      <c r="F194">
        <v>27</v>
      </c>
      <c r="G194" t="s">
        <v>34</v>
      </c>
      <c r="H194" t="s">
        <v>687</v>
      </c>
      <c r="I194">
        <f>92-323-7654321</f>
        <v>-7654552</v>
      </c>
      <c r="J194" s="1">
        <v>45028</v>
      </c>
      <c r="K194" s="1">
        <v>45306</v>
      </c>
      <c r="L194">
        <v>8200.9</v>
      </c>
      <c r="M194">
        <v>4800.75</v>
      </c>
      <c r="N194">
        <v>685</v>
      </c>
      <c r="O194">
        <v>37000</v>
      </c>
      <c r="P194" t="s">
        <v>26</v>
      </c>
      <c r="Q194" t="s">
        <v>43</v>
      </c>
      <c r="R194">
        <v>0</v>
      </c>
      <c r="S194" t="s">
        <v>28</v>
      </c>
    </row>
    <row r="195" spans="1:19">
      <c r="A195" t="s">
        <v>503</v>
      </c>
      <c r="B195" t="s">
        <v>688</v>
      </c>
      <c r="C195" t="s">
        <v>21</v>
      </c>
      <c r="D195" t="s">
        <v>32</v>
      </c>
      <c r="E195" t="s">
        <v>33</v>
      </c>
      <c r="F195">
        <v>59</v>
      </c>
      <c r="G195" t="s">
        <v>24</v>
      </c>
      <c r="H195" t="s">
        <v>689</v>
      </c>
      <c r="I195">
        <f>81-80-3456-7890</f>
        <v>-11345</v>
      </c>
      <c r="J195" s="1">
        <v>42651</v>
      </c>
      <c r="K195" s="1">
        <v>45299</v>
      </c>
      <c r="L195">
        <v>298600.25</v>
      </c>
      <c r="M195">
        <v>83000.399999999994</v>
      </c>
      <c r="N195">
        <v>840</v>
      </c>
      <c r="O195">
        <v>291000</v>
      </c>
      <c r="P195" t="s">
        <v>36</v>
      </c>
      <c r="Q195" t="s">
        <v>27</v>
      </c>
      <c r="R195">
        <v>0</v>
      </c>
      <c r="S195" t="s">
        <v>28</v>
      </c>
    </row>
    <row r="196" spans="1:19">
      <c r="A196" t="s">
        <v>506</v>
      </c>
      <c r="B196" t="s">
        <v>690</v>
      </c>
      <c r="C196" t="s">
        <v>39</v>
      </c>
      <c r="D196" t="s">
        <v>68</v>
      </c>
      <c r="E196" t="s">
        <v>69</v>
      </c>
      <c r="F196">
        <v>51</v>
      </c>
      <c r="G196" t="s">
        <v>34</v>
      </c>
      <c r="H196" t="s">
        <v>691</v>
      </c>
      <c r="I196">
        <f>234-815-678-9012</f>
        <v>-10271</v>
      </c>
      <c r="J196" s="1">
        <v>43181</v>
      </c>
      <c r="K196" s="1">
        <v>45300</v>
      </c>
      <c r="L196">
        <v>179000.4</v>
      </c>
      <c r="M196">
        <v>83000.75</v>
      </c>
      <c r="N196">
        <v>650</v>
      </c>
      <c r="O196">
        <v>186000</v>
      </c>
      <c r="P196" t="s">
        <v>76</v>
      </c>
      <c r="Q196" t="s">
        <v>27</v>
      </c>
      <c r="R196">
        <v>0</v>
      </c>
      <c r="S196" t="s">
        <v>28</v>
      </c>
    </row>
    <row r="197" spans="1:19">
      <c r="A197" t="s">
        <v>509</v>
      </c>
      <c r="B197" t="s">
        <v>692</v>
      </c>
      <c r="C197" t="s">
        <v>46</v>
      </c>
      <c r="D197" t="s">
        <v>73</v>
      </c>
      <c r="E197" t="s">
        <v>126</v>
      </c>
      <c r="F197">
        <v>38</v>
      </c>
      <c r="G197" t="s">
        <v>24</v>
      </c>
      <c r="H197" t="s">
        <v>693</v>
      </c>
      <c r="I197">
        <f>49-177-8901234</f>
        <v>-8901362</v>
      </c>
      <c r="J197" s="1">
        <v>44385</v>
      </c>
      <c r="K197" s="1">
        <v>45303</v>
      </c>
      <c r="L197">
        <v>75600.399999999994</v>
      </c>
      <c r="M197">
        <v>30900.25</v>
      </c>
      <c r="N197">
        <v>745</v>
      </c>
      <c r="O197">
        <v>130000</v>
      </c>
      <c r="P197" t="s">
        <v>26</v>
      </c>
      <c r="Q197" t="s">
        <v>27</v>
      </c>
      <c r="R197">
        <v>0</v>
      </c>
      <c r="S197" t="s">
        <v>28</v>
      </c>
    </row>
    <row r="198" spans="1:19">
      <c r="A198" t="s">
        <v>513</v>
      </c>
      <c r="B198" t="s">
        <v>694</v>
      </c>
      <c r="C198" t="s">
        <v>57</v>
      </c>
      <c r="D198" t="s">
        <v>58</v>
      </c>
      <c r="E198" t="s">
        <v>122</v>
      </c>
      <c r="F198">
        <v>33</v>
      </c>
      <c r="G198" t="s">
        <v>34</v>
      </c>
      <c r="H198" t="s">
        <v>695</v>
      </c>
      <c r="I198">
        <f>86-137-8901-2345</f>
        <v>-11297</v>
      </c>
      <c r="J198" s="1">
        <v>44579</v>
      </c>
      <c r="K198" s="1">
        <v>45302</v>
      </c>
      <c r="L198">
        <v>15600.8</v>
      </c>
      <c r="M198">
        <v>6800.9</v>
      </c>
      <c r="N198">
        <v>765</v>
      </c>
      <c r="O198">
        <v>62000</v>
      </c>
      <c r="P198" t="s">
        <v>36</v>
      </c>
      <c r="Q198" t="s">
        <v>27</v>
      </c>
      <c r="R198">
        <v>0</v>
      </c>
      <c r="S198" t="s">
        <v>28</v>
      </c>
    </row>
    <row r="199" spans="1:19">
      <c r="A199" t="s">
        <v>516</v>
      </c>
      <c r="B199" t="s">
        <v>696</v>
      </c>
      <c r="C199" t="s">
        <v>52</v>
      </c>
      <c r="D199" t="s">
        <v>277</v>
      </c>
      <c r="E199" t="s">
        <v>278</v>
      </c>
      <c r="F199">
        <v>46</v>
      </c>
      <c r="G199" t="s">
        <v>24</v>
      </c>
      <c r="H199" t="s">
        <v>697</v>
      </c>
      <c r="I199">
        <f>20-100-876-5432</f>
        <v>-6388</v>
      </c>
      <c r="J199" s="1">
        <v>43781</v>
      </c>
      <c r="K199" s="1">
        <v>45301</v>
      </c>
      <c r="L199">
        <v>48900.75</v>
      </c>
      <c r="M199">
        <v>22000.400000000001</v>
      </c>
      <c r="N199">
        <v>675</v>
      </c>
      <c r="O199">
        <v>102000</v>
      </c>
      <c r="P199" t="s">
        <v>26</v>
      </c>
      <c r="Q199" t="s">
        <v>27</v>
      </c>
      <c r="R199">
        <v>0</v>
      </c>
      <c r="S199" t="s">
        <v>28</v>
      </c>
    </row>
    <row r="200" spans="1:19">
      <c r="A200" t="s">
        <v>519</v>
      </c>
      <c r="B200" t="s">
        <v>698</v>
      </c>
      <c r="C200" t="s">
        <v>84</v>
      </c>
      <c r="D200" t="s">
        <v>183</v>
      </c>
      <c r="E200" t="s">
        <v>184</v>
      </c>
      <c r="F200">
        <v>25</v>
      </c>
      <c r="G200" t="s">
        <v>34</v>
      </c>
      <c r="H200" t="s">
        <v>699</v>
      </c>
      <c r="I200">
        <f>33-6-5678-9012</f>
        <v>-14663</v>
      </c>
      <c r="J200" s="1">
        <v>45174</v>
      </c>
      <c r="K200" s="1">
        <v>45304</v>
      </c>
      <c r="L200">
        <v>2300.25</v>
      </c>
      <c r="M200">
        <v>10500.6</v>
      </c>
      <c r="N200">
        <v>615</v>
      </c>
      <c r="O200">
        <v>22000</v>
      </c>
      <c r="P200" t="s">
        <v>76</v>
      </c>
      <c r="Q200" t="s">
        <v>43</v>
      </c>
      <c r="R200">
        <v>0</v>
      </c>
      <c r="S200" t="s">
        <v>28</v>
      </c>
    </row>
    <row r="201" spans="1:19">
      <c r="A201" t="s">
        <v>522</v>
      </c>
      <c r="B201" t="s">
        <v>700</v>
      </c>
      <c r="C201" t="s">
        <v>39</v>
      </c>
      <c r="D201" t="s">
        <v>40</v>
      </c>
      <c r="E201" t="s">
        <v>94</v>
      </c>
      <c r="F201">
        <v>53</v>
      </c>
      <c r="G201" t="s">
        <v>24</v>
      </c>
      <c r="H201" t="s">
        <v>701</v>
      </c>
      <c r="I201">
        <f>91-987-654-3210</f>
        <v>-4760</v>
      </c>
      <c r="J201" s="1">
        <v>43128</v>
      </c>
      <c r="K201" s="1">
        <v>45299</v>
      </c>
      <c r="L201">
        <v>213600.8</v>
      </c>
      <c r="M201">
        <v>96000.25</v>
      </c>
      <c r="N201">
        <v>660</v>
      </c>
      <c r="O201">
        <v>221000</v>
      </c>
      <c r="P201" t="s">
        <v>76</v>
      </c>
      <c r="Q201" t="s">
        <v>27</v>
      </c>
      <c r="R201">
        <v>0</v>
      </c>
      <c r="S201" t="s">
        <v>28</v>
      </c>
    </row>
    <row r="202" spans="1:19">
      <c r="A202" t="s">
        <v>306</v>
      </c>
      <c r="B202" t="s">
        <v>702</v>
      </c>
      <c r="C202" t="s">
        <v>46</v>
      </c>
      <c r="D202" t="s">
        <v>209</v>
      </c>
      <c r="E202" t="s">
        <v>703</v>
      </c>
      <c r="F202">
        <v>40</v>
      </c>
      <c r="G202" t="s">
        <v>34</v>
      </c>
      <c r="H202" t="s">
        <v>704</v>
      </c>
      <c r="I202">
        <f>52-81-2345-6789</f>
        <v>-9163</v>
      </c>
      <c r="J202" s="1">
        <v>43994</v>
      </c>
      <c r="K202" s="1">
        <v>45302</v>
      </c>
      <c r="L202">
        <v>70000.899999999994</v>
      </c>
      <c r="M202">
        <v>27800.75</v>
      </c>
      <c r="N202">
        <v>730</v>
      </c>
      <c r="O202">
        <v>125000</v>
      </c>
      <c r="P202" t="s">
        <v>26</v>
      </c>
      <c r="Q202" t="s">
        <v>27</v>
      </c>
      <c r="R202">
        <v>0</v>
      </c>
      <c r="S202" t="s">
        <v>28</v>
      </c>
    </row>
    <row r="203" spans="1:19">
      <c r="A203" t="s">
        <v>527</v>
      </c>
      <c r="B203" t="s">
        <v>705</v>
      </c>
      <c r="C203" t="s">
        <v>31</v>
      </c>
      <c r="D203" t="s">
        <v>32</v>
      </c>
      <c r="E203" t="s">
        <v>33</v>
      </c>
      <c r="F203">
        <v>29</v>
      </c>
      <c r="G203" t="s">
        <v>34</v>
      </c>
      <c r="H203" t="s">
        <v>706</v>
      </c>
      <c r="I203">
        <f>81-90-4567-8901</f>
        <v>-13477</v>
      </c>
      <c r="J203" s="1">
        <v>45064</v>
      </c>
      <c r="K203" s="1">
        <v>45305</v>
      </c>
      <c r="L203">
        <v>9500.4</v>
      </c>
      <c r="M203">
        <v>5600.25</v>
      </c>
      <c r="N203">
        <v>705</v>
      </c>
      <c r="O203">
        <v>39000</v>
      </c>
      <c r="P203" t="s">
        <v>26</v>
      </c>
      <c r="Q203" t="s">
        <v>43</v>
      </c>
      <c r="R203">
        <v>0</v>
      </c>
      <c r="S203" t="s">
        <v>28</v>
      </c>
    </row>
    <row r="204" spans="1:19">
      <c r="A204" t="s">
        <v>530</v>
      </c>
      <c r="B204" t="s">
        <v>707</v>
      </c>
      <c r="C204" t="s">
        <v>57</v>
      </c>
      <c r="D204" t="s">
        <v>219</v>
      </c>
      <c r="E204" t="s">
        <v>220</v>
      </c>
      <c r="F204">
        <v>34</v>
      </c>
      <c r="G204" t="s">
        <v>24</v>
      </c>
      <c r="H204" t="s">
        <v>708</v>
      </c>
      <c r="I204">
        <f>233-56-789-123</f>
        <v>-735</v>
      </c>
      <c r="J204" s="1">
        <v>44538</v>
      </c>
      <c r="K204" s="1">
        <v>45303</v>
      </c>
      <c r="L204">
        <v>14500.6</v>
      </c>
      <c r="M204">
        <v>6200.8</v>
      </c>
      <c r="N204">
        <v>710</v>
      </c>
      <c r="O204">
        <v>55000</v>
      </c>
      <c r="P204" t="s">
        <v>36</v>
      </c>
      <c r="Q204" t="s">
        <v>27</v>
      </c>
      <c r="R204">
        <v>0</v>
      </c>
      <c r="S204" t="s">
        <v>28</v>
      </c>
    </row>
    <row r="205" spans="1:19">
      <c r="A205" t="s">
        <v>533</v>
      </c>
      <c r="B205" t="s">
        <v>709</v>
      </c>
      <c r="C205" t="s">
        <v>52</v>
      </c>
      <c r="D205" t="s">
        <v>204</v>
      </c>
      <c r="E205" t="s">
        <v>205</v>
      </c>
      <c r="F205">
        <v>41</v>
      </c>
      <c r="G205" t="s">
        <v>34</v>
      </c>
      <c r="H205" t="s">
        <v>710</v>
      </c>
      <c r="I205">
        <f>7-915-765-43-21</f>
        <v>-1737</v>
      </c>
      <c r="J205" s="1">
        <v>43835</v>
      </c>
      <c r="K205" s="1">
        <v>45301</v>
      </c>
      <c r="L205">
        <v>45800.25</v>
      </c>
      <c r="M205">
        <v>18900.900000000001</v>
      </c>
      <c r="N205">
        <v>695</v>
      </c>
      <c r="O205">
        <v>90000</v>
      </c>
      <c r="P205" t="s">
        <v>26</v>
      </c>
      <c r="Q205" t="s">
        <v>27</v>
      </c>
      <c r="R205">
        <v>0</v>
      </c>
      <c r="S205" t="s">
        <v>28</v>
      </c>
    </row>
    <row r="206" spans="1:19">
      <c r="A206" t="s">
        <v>536</v>
      </c>
      <c r="B206" t="s">
        <v>711</v>
      </c>
      <c r="C206" t="s">
        <v>39</v>
      </c>
      <c r="D206" t="s">
        <v>195</v>
      </c>
      <c r="E206" t="s">
        <v>196</v>
      </c>
      <c r="F206">
        <v>49</v>
      </c>
      <c r="G206" t="s">
        <v>24</v>
      </c>
      <c r="H206" t="s">
        <v>712</v>
      </c>
      <c r="I206">
        <f>353-88-678-9012</f>
        <v>-9425</v>
      </c>
      <c r="J206" s="1">
        <v>43299</v>
      </c>
      <c r="K206" s="1">
        <v>45300</v>
      </c>
      <c r="L206">
        <v>145800.4</v>
      </c>
      <c r="M206">
        <v>70000.600000000006</v>
      </c>
      <c r="N206">
        <v>670</v>
      </c>
      <c r="O206">
        <v>157000</v>
      </c>
      <c r="P206" t="s">
        <v>76</v>
      </c>
      <c r="Q206" t="s">
        <v>27</v>
      </c>
      <c r="R206">
        <v>0</v>
      </c>
      <c r="S206" t="s">
        <v>28</v>
      </c>
    </row>
    <row r="207" spans="1:19">
      <c r="A207" t="s">
        <v>539</v>
      </c>
      <c r="B207" t="s">
        <v>713</v>
      </c>
      <c r="C207" t="s">
        <v>21</v>
      </c>
      <c r="D207" t="s">
        <v>58</v>
      </c>
      <c r="E207" t="s">
        <v>59</v>
      </c>
      <c r="F207">
        <v>57</v>
      </c>
      <c r="G207" t="s">
        <v>34</v>
      </c>
      <c r="H207" t="s">
        <v>714</v>
      </c>
      <c r="I207">
        <f>86-139-5678-9012</f>
        <v>-14743</v>
      </c>
      <c r="J207" s="1">
        <v>42855</v>
      </c>
      <c r="K207" s="1">
        <v>45299</v>
      </c>
      <c r="L207">
        <v>312700.75</v>
      </c>
      <c r="M207">
        <v>87000.8</v>
      </c>
      <c r="N207">
        <v>835</v>
      </c>
      <c r="O207">
        <v>302000</v>
      </c>
      <c r="P207" t="s">
        <v>36</v>
      </c>
      <c r="Q207" t="s">
        <v>27</v>
      </c>
      <c r="R207">
        <v>0</v>
      </c>
      <c r="S207" t="s">
        <v>28</v>
      </c>
    </row>
    <row r="208" spans="1:19">
      <c r="A208" t="s">
        <v>542</v>
      </c>
      <c r="B208" t="s">
        <v>715</v>
      </c>
      <c r="C208" t="s">
        <v>52</v>
      </c>
      <c r="D208" t="s">
        <v>68</v>
      </c>
      <c r="E208" t="s">
        <v>179</v>
      </c>
      <c r="F208">
        <v>44</v>
      </c>
      <c r="G208" t="s">
        <v>34</v>
      </c>
      <c r="H208" t="s">
        <v>716</v>
      </c>
      <c r="I208">
        <f>234-816-789-123</f>
        <v>-1494</v>
      </c>
      <c r="J208" s="1">
        <v>43821</v>
      </c>
      <c r="K208" s="1">
        <v>45302</v>
      </c>
      <c r="L208">
        <v>54500.6</v>
      </c>
      <c r="M208">
        <v>24500.25</v>
      </c>
      <c r="N208">
        <v>665</v>
      </c>
      <c r="O208">
        <v>110000</v>
      </c>
      <c r="P208" t="s">
        <v>26</v>
      </c>
      <c r="Q208" t="s">
        <v>27</v>
      </c>
      <c r="R208">
        <v>0</v>
      </c>
      <c r="S208" t="s">
        <v>28</v>
      </c>
    </row>
    <row r="209" spans="1:19">
      <c r="A209" t="s">
        <v>545</v>
      </c>
      <c r="B209" t="s">
        <v>717</v>
      </c>
      <c r="C209" t="s">
        <v>46</v>
      </c>
      <c r="D209" t="s">
        <v>241</v>
      </c>
      <c r="E209" t="s">
        <v>242</v>
      </c>
      <c r="F209">
        <v>36</v>
      </c>
      <c r="G209" t="s">
        <v>24</v>
      </c>
      <c r="H209" t="s">
        <v>718</v>
      </c>
      <c r="I209">
        <f>39-350-456-7890</f>
        <v>-8657</v>
      </c>
      <c r="J209" s="1">
        <v>44467</v>
      </c>
      <c r="K209" s="1">
        <v>45303</v>
      </c>
      <c r="L209">
        <v>77800.800000000003</v>
      </c>
      <c r="M209">
        <v>32000.400000000001</v>
      </c>
      <c r="N209">
        <v>750</v>
      </c>
      <c r="O209">
        <v>136000</v>
      </c>
      <c r="P209" t="s">
        <v>26</v>
      </c>
      <c r="Q209" t="s">
        <v>27</v>
      </c>
      <c r="R209">
        <v>0</v>
      </c>
      <c r="S209" t="s">
        <v>28</v>
      </c>
    </row>
    <row r="210" spans="1:19">
      <c r="A210" t="s">
        <v>548</v>
      </c>
      <c r="B210" t="s">
        <v>719</v>
      </c>
      <c r="C210" t="s">
        <v>57</v>
      </c>
      <c r="D210" t="s">
        <v>22</v>
      </c>
      <c r="E210" t="s">
        <v>282</v>
      </c>
      <c r="F210">
        <v>32</v>
      </c>
      <c r="G210" t="s">
        <v>34</v>
      </c>
      <c r="H210" t="s">
        <v>720</v>
      </c>
      <c r="I210">
        <f>1-206-555-198</f>
        <v>-958</v>
      </c>
      <c r="J210" s="1">
        <v>44642</v>
      </c>
      <c r="K210" s="1">
        <v>45305</v>
      </c>
      <c r="L210">
        <v>16700.900000000001</v>
      </c>
      <c r="M210">
        <v>7200.75</v>
      </c>
      <c r="N210">
        <v>770</v>
      </c>
      <c r="O210">
        <v>67000</v>
      </c>
      <c r="P210" t="s">
        <v>36</v>
      </c>
      <c r="Q210" t="s">
        <v>27</v>
      </c>
      <c r="R210">
        <v>0</v>
      </c>
      <c r="S210" t="s">
        <v>28</v>
      </c>
    </row>
    <row r="211" spans="1:19">
      <c r="A211" t="s">
        <v>551</v>
      </c>
      <c r="B211" t="s">
        <v>721</v>
      </c>
      <c r="C211" t="s">
        <v>39</v>
      </c>
      <c r="D211" t="s">
        <v>313</v>
      </c>
      <c r="E211" t="s">
        <v>385</v>
      </c>
      <c r="F211">
        <v>55</v>
      </c>
      <c r="G211" t="s">
        <v>24</v>
      </c>
      <c r="H211" t="s">
        <v>722</v>
      </c>
      <c r="I211">
        <f>92-302-7654321</f>
        <v>-7654531</v>
      </c>
      <c r="J211" s="1">
        <v>43023</v>
      </c>
      <c r="K211" s="1">
        <v>45299</v>
      </c>
      <c r="L211">
        <v>198900.25</v>
      </c>
      <c r="M211">
        <v>91000.8</v>
      </c>
      <c r="N211">
        <v>645</v>
      </c>
      <c r="O211">
        <v>207000</v>
      </c>
      <c r="P211" t="s">
        <v>76</v>
      </c>
      <c r="Q211" t="s">
        <v>27</v>
      </c>
      <c r="R211">
        <v>0</v>
      </c>
      <c r="S211" t="s">
        <v>28</v>
      </c>
    </row>
    <row r="212" spans="1:19">
      <c r="A212" t="s">
        <v>554</v>
      </c>
      <c r="B212" t="s">
        <v>723</v>
      </c>
      <c r="C212" t="s">
        <v>31</v>
      </c>
      <c r="D212" t="s">
        <v>214</v>
      </c>
      <c r="E212" t="s">
        <v>724</v>
      </c>
      <c r="F212">
        <v>28</v>
      </c>
      <c r="G212" t="s">
        <v>34</v>
      </c>
      <c r="H212" t="s">
        <v>725</v>
      </c>
      <c r="I212">
        <f>34-625-678-901</f>
        <v>-2170</v>
      </c>
      <c r="J212" s="1">
        <v>45085</v>
      </c>
      <c r="K212" s="1">
        <v>45306</v>
      </c>
      <c r="L212">
        <v>12200.5</v>
      </c>
      <c r="M212">
        <v>6800.4</v>
      </c>
      <c r="N212">
        <v>720</v>
      </c>
      <c r="O212">
        <v>44000</v>
      </c>
      <c r="P212" t="s">
        <v>36</v>
      </c>
      <c r="Q212" t="s">
        <v>27</v>
      </c>
      <c r="R212">
        <v>0</v>
      </c>
      <c r="S212" t="s">
        <v>28</v>
      </c>
    </row>
    <row r="213" spans="1:19">
      <c r="A213" t="s">
        <v>108</v>
      </c>
      <c r="B213" t="s">
        <v>726</v>
      </c>
      <c r="C213" t="s">
        <v>84</v>
      </c>
      <c r="D213" t="s">
        <v>32</v>
      </c>
      <c r="E213" t="s">
        <v>33</v>
      </c>
      <c r="F213">
        <v>24</v>
      </c>
      <c r="G213" t="s">
        <v>24</v>
      </c>
      <c r="H213" t="s">
        <v>727</v>
      </c>
      <c r="I213">
        <f>81-90-7890-1234</f>
        <v>-9133</v>
      </c>
      <c r="J213" s="1">
        <v>45242</v>
      </c>
      <c r="K213" s="1">
        <v>45304</v>
      </c>
      <c r="L213">
        <v>2050.8000000000002</v>
      </c>
      <c r="M213">
        <v>9000.25</v>
      </c>
      <c r="N213">
        <v>605</v>
      </c>
      <c r="O213">
        <v>20000</v>
      </c>
      <c r="P213" t="s">
        <v>76</v>
      </c>
      <c r="Q213" t="s">
        <v>43</v>
      </c>
      <c r="R213">
        <v>0</v>
      </c>
      <c r="S213" t="s">
        <v>28</v>
      </c>
    </row>
    <row r="214" spans="1:19">
      <c r="A214" t="s">
        <v>559</v>
      </c>
      <c r="B214" t="s">
        <v>728</v>
      </c>
      <c r="C214" t="s">
        <v>46</v>
      </c>
      <c r="D214" t="s">
        <v>254</v>
      </c>
      <c r="E214" t="s">
        <v>255</v>
      </c>
      <c r="F214">
        <v>38</v>
      </c>
      <c r="G214" t="s">
        <v>34</v>
      </c>
      <c r="H214" t="s">
        <v>729</v>
      </c>
      <c r="I214">
        <f>221-80-456-7890</f>
        <v>-8205</v>
      </c>
      <c r="J214" s="1">
        <v>44334</v>
      </c>
      <c r="K214" s="1">
        <v>45302</v>
      </c>
      <c r="L214">
        <v>64500.4</v>
      </c>
      <c r="M214">
        <v>26700.75</v>
      </c>
      <c r="N214">
        <v>710</v>
      </c>
      <c r="O214">
        <v>118000</v>
      </c>
      <c r="P214" t="s">
        <v>26</v>
      </c>
      <c r="Q214" t="s">
        <v>27</v>
      </c>
      <c r="R214">
        <v>0</v>
      </c>
      <c r="S214" t="s">
        <v>28</v>
      </c>
    </row>
    <row r="215" spans="1:19">
      <c r="A215" t="s">
        <v>562</v>
      </c>
      <c r="B215" t="s">
        <v>730</v>
      </c>
      <c r="C215" t="s">
        <v>39</v>
      </c>
      <c r="D215" t="s">
        <v>47</v>
      </c>
      <c r="E215" t="s">
        <v>48</v>
      </c>
      <c r="F215">
        <v>52</v>
      </c>
      <c r="G215" t="s">
        <v>24</v>
      </c>
      <c r="H215" t="s">
        <v>731</v>
      </c>
      <c r="I215">
        <f>44-79-7890-1234</f>
        <v>-9159</v>
      </c>
      <c r="J215" s="1">
        <v>43195</v>
      </c>
      <c r="K215" s="1">
        <v>45300</v>
      </c>
      <c r="L215">
        <v>179100.6</v>
      </c>
      <c r="M215">
        <v>84000.25</v>
      </c>
      <c r="N215">
        <v>675</v>
      </c>
      <c r="O215">
        <v>187000</v>
      </c>
      <c r="P215" t="s">
        <v>76</v>
      </c>
      <c r="Q215" t="s">
        <v>27</v>
      </c>
      <c r="R215">
        <v>0</v>
      </c>
      <c r="S215" t="s">
        <v>28</v>
      </c>
    </row>
    <row r="216" spans="1:19">
      <c r="A216" t="s">
        <v>565</v>
      </c>
      <c r="B216" t="s">
        <v>732</v>
      </c>
      <c r="C216" t="s">
        <v>52</v>
      </c>
      <c r="D216" t="s">
        <v>233</v>
      </c>
      <c r="E216" t="s">
        <v>234</v>
      </c>
      <c r="F216">
        <v>37</v>
      </c>
      <c r="G216" t="s">
        <v>34</v>
      </c>
      <c r="H216" t="s">
        <v>733</v>
      </c>
      <c r="I216">
        <f>82-10-6789-123</f>
        <v>-6840</v>
      </c>
      <c r="J216" s="1">
        <v>44119</v>
      </c>
      <c r="K216" s="1">
        <v>45301</v>
      </c>
      <c r="L216">
        <v>40900.75</v>
      </c>
      <c r="M216">
        <v>17800.8</v>
      </c>
      <c r="N216">
        <v>725</v>
      </c>
      <c r="O216">
        <v>84000</v>
      </c>
      <c r="P216" t="s">
        <v>26</v>
      </c>
      <c r="Q216" t="s">
        <v>27</v>
      </c>
      <c r="R216">
        <v>0</v>
      </c>
      <c r="S216" t="s">
        <v>28</v>
      </c>
    </row>
    <row r="217" spans="1:19">
      <c r="A217" t="s">
        <v>568</v>
      </c>
      <c r="B217" t="s">
        <v>734</v>
      </c>
      <c r="C217" t="s">
        <v>57</v>
      </c>
      <c r="D217" t="s">
        <v>79</v>
      </c>
      <c r="E217" t="s">
        <v>80</v>
      </c>
      <c r="F217">
        <v>35</v>
      </c>
      <c r="G217" t="s">
        <v>24</v>
      </c>
      <c r="H217" t="s">
        <v>735</v>
      </c>
      <c r="I217">
        <f>971-50-890-1234</f>
        <v>-1203</v>
      </c>
      <c r="J217" s="1">
        <v>44573</v>
      </c>
      <c r="K217" s="1">
        <v>45303</v>
      </c>
      <c r="L217">
        <v>18900.400000000001</v>
      </c>
      <c r="M217">
        <v>8000.9</v>
      </c>
      <c r="N217">
        <v>740</v>
      </c>
      <c r="O217">
        <v>70000</v>
      </c>
      <c r="P217" t="s">
        <v>36</v>
      </c>
      <c r="Q217" t="s">
        <v>27</v>
      </c>
      <c r="R217">
        <v>0</v>
      </c>
      <c r="S217" t="s">
        <v>28</v>
      </c>
    </row>
    <row r="218" spans="1:19">
      <c r="A218" t="s">
        <v>571</v>
      </c>
      <c r="B218" t="s">
        <v>736</v>
      </c>
      <c r="C218" t="s">
        <v>21</v>
      </c>
      <c r="D218" t="s">
        <v>63</v>
      </c>
      <c r="E218" t="s">
        <v>64</v>
      </c>
      <c r="F218">
        <v>58</v>
      </c>
      <c r="G218" t="s">
        <v>34</v>
      </c>
      <c r="H218" t="s">
        <v>737</v>
      </c>
      <c r="I218">
        <f>55-11-97890-1234</f>
        <v>-99080</v>
      </c>
      <c r="J218" s="1">
        <v>42726</v>
      </c>
      <c r="K218" s="1">
        <v>45299</v>
      </c>
      <c r="L218">
        <v>268000.90000000002</v>
      </c>
      <c r="M218">
        <v>74000.600000000006</v>
      </c>
      <c r="N218">
        <v>830</v>
      </c>
      <c r="O218">
        <v>282000</v>
      </c>
      <c r="P218" t="s">
        <v>36</v>
      </c>
      <c r="Q218" t="s">
        <v>27</v>
      </c>
      <c r="R218">
        <v>0</v>
      </c>
      <c r="S218" t="s">
        <v>28</v>
      </c>
    </row>
    <row r="219" spans="1:19">
      <c r="A219" t="s">
        <v>574</v>
      </c>
      <c r="B219" t="s">
        <v>738</v>
      </c>
      <c r="C219" t="s">
        <v>39</v>
      </c>
      <c r="D219" t="s">
        <v>68</v>
      </c>
      <c r="E219" t="s">
        <v>114</v>
      </c>
      <c r="F219">
        <v>50</v>
      </c>
      <c r="G219" t="s">
        <v>24</v>
      </c>
      <c r="H219" t="s">
        <v>739</v>
      </c>
      <c r="I219">
        <f>234-817-890-1234</f>
        <v>-2707</v>
      </c>
      <c r="J219" s="1">
        <v>43351</v>
      </c>
      <c r="K219" s="1">
        <v>45300</v>
      </c>
      <c r="L219">
        <v>156900.25</v>
      </c>
      <c r="M219">
        <v>76000.399999999994</v>
      </c>
      <c r="N219">
        <v>655</v>
      </c>
      <c r="O219">
        <v>172000</v>
      </c>
      <c r="P219" t="s">
        <v>76</v>
      </c>
      <c r="Q219" t="s">
        <v>27</v>
      </c>
      <c r="R219">
        <v>0</v>
      </c>
      <c r="S219" t="s">
        <v>28</v>
      </c>
    </row>
    <row r="220" spans="1:19">
      <c r="A220" t="s">
        <v>577</v>
      </c>
      <c r="B220" t="s">
        <v>740</v>
      </c>
      <c r="C220" t="s">
        <v>46</v>
      </c>
      <c r="D220" t="s">
        <v>85</v>
      </c>
      <c r="E220" t="s">
        <v>86</v>
      </c>
      <c r="F220">
        <v>39</v>
      </c>
      <c r="G220" t="s">
        <v>34</v>
      </c>
      <c r="H220" t="s">
        <v>741</v>
      </c>
      <c r="I220">
        <f>1-647-555-194</f>
        <v>-1395</v>
      </c>
      <c r="J220" s="1">
        <v>44255</v>
      </c>
      <c r="K220" s="1">
        <v>45302</v>
      </c>
      <c r="L220">
        <v>83400.600000000006</v>
      </c>
      <c r="M220">
        <v>34700.75</v>
      </c>
      <c r="N220">
        <v>760</v>
      </c>
      <c r="O220">
        <v>141000</v>
      </c>
      <c r="P220" t="s">
        <v>26</v>
      </c>
      <c r="Q220" t="s">
        <v>27</v>
      </c>
      <c r="R220">
        <v>0</v>
      </c>
      <c r="S220" t="s">
        <v>28</v>
      </c>
    </row>
    <row r="221" spans="1:19">
      <c r="A221" t="s">
        <v>458</v>
      </c>
      <c r="B221" t="s">
        <v>742</v>
      </c>
      <c r="C221" t="s">
        <v>31</v>
      </c>
      <c r="D221" t="s">
        <v>460</v>
      </c>
      <c r="E221" t="s">
        <v>743</v>
      </c>
      <c r="F221">
        <v>30</v>
      </c>
      <c r="G221" t="s">
        <v>24</v>
      </c>
      <c r="H221" t="s">
        <v>744</v>
      </c>
      <c r="I221">
        <f>62-814-5678-9012</f>
        <v>-15442</v>
      </c>
      <c r="J221" s="1">
        <v>45044</v>
      </c>
      <c r="K221" s="1">
        <v>45306</v>
      </c>
      <c r="L221">
        <v>9400.25</v>
      </c>
      <c r="M221">
        <v>5500.8</v>
      </c>
      <c r="N221">
        <v>695</v>
      </c>
      <c r="O221">
        <v>41000</v>
      </c>
      <c r="P221" t="s">
        <v>26</v>
      </c>
      <c r="Q221" t="s">
        <v>43</v>
      </c>
      <c r="R221">
        <v>0</v>
      </c>
      <c r="S221" t="s">
        <v>28</v>
      </c>
    </row>
    <row r="222" spans="1:19">
      <c r="A222" t="s">
        <v>582</v>
      </c>
      <c r="B222" t="s">
        <v>745</v>
      </c>
      <c r="C222" t="s">
        <v>57</v>
      </c>
      <c r="D222" t="s">
        <v>22</v>
      </c>
      <c r="E222" t="s">
        <v>23</v>
      </c>
      <c r="F222">
        <v>33</v>
      </c>
      <c r="G222" t="s">
        <v>34</v>
      </c>
      <c r="H222" t="s">
        <v>746</v>
      </c>
      <c r="I222">
        <f>1-646-555-172</f>
        <v>-1372</v>
      </c>
      <c r="J222" s="1">
        <v>44508</v>
      </c>
      <c r="K222" s="1">
        <v>45303</v>
      </c>
      <c r="L222">
        <v>17800.900000000001</v>
      </c>
      <c r="M222">
        <v>7600.25</v>
      </c>
      <c r="N222">
        <v>755</v>
      </c>
      <c r="O222">
        <v>63000</v>
      </c>
      <c r="P222" t="s">
        <v>36</v>
      </c>
      <c r="Q222" t="s">
        <v>27</v>
      </c>
      <c r="R222">
        <v>0</v>
      </c>
      <c r="S222" t="s">
        <v>28</v>
      </c>
    </row>
    <row r="223" spans="1:19">
      <c r="A223" t="s">
        <v>55</v>
      </c>
      <c r="B223" t="s">
        <v>747</v>
      </c>
      <c r="C223" t="s">
        <v>39</v>
      </c>
      <c r="D223" t="s">
        <v>58</v>
      </c>
      <c r="E223" t="s">
        <v>122</v>
      </c>
      <c r="F223">
        <v>51</v>
      </c>
      <c r="G223" t="s">
        <v>24</v>
      </c>
      <c r="H223" t="s">
        <v>748</v>
      </c>
      <c r="I223">
        <f>86-138-9012-3456</f>
        <v>-12520</v>
      </c>
      <c r="J223" s="1">
        <v>43263</v>
      </c>
      <c r="K223" s="1">
        <v>45300</v>
      </c>
      <c r="L223">
        <v>189800.4</v>
      </c>
      <c r="M223">
        <v>89000.75</v>
      </c>
      <c r="N223">
        <v>685</v>
      </c>
      <c r="O223">
        <v>197000</v>
      </c>
      <c r="P223" t="s">
        <v>76</v>
      </c>
      <c r="Q223" t="s">
        <v>27</v>
      </c>
      <c r="R223">
        <v>0</v>
      </c>
      <c r="S223" t="s">
        <v>28</v>
      </c>
    </row>
    <row r="224" spans="1:19">
      <c r="A224" t="s">
        <v>469</v>
      </c>
      <c r="B224" t="s">
        <v>749</v>
      </c>
      <c r="C224" t="s">
        <v>52</v>
      </c>
      <c r="D224" t="s">
        <v>471</v>
      </c>
      <c r="E224" t="s">
        <v>472</v>
      </c>
      <c r="F224">
        <v>42</v>
      </c>
      <c r="G224" t="s">
        <v>34</v>
      </c>
      <c r="H224" t="s">
        <v>750</v>
      </c>
      <c r="I224">
        <f>48-702-456-789</f>
        <v>-1899</v>
      </c>
      <c r="J224" s="1">
        <v>43902</v>
      </c>
      <c r="K224" s="1">
        <v>45301</v>
      </c>
      <c r="L224">
        <v>47800.800000000003</v>
      </c>
      <c r="M224">
        <v>20900.599999999999</v>
      </c>
      <c r="N224">
        <v>715</v>
      </c>
      <c r="O224">
        <v>96000</v>
      </c>
      <c r="P224" t="s">
        <v>26</v>
      </c>
      <c r="Q224" t="s">
        <v>27</v>
      </c>
      <c r="R224">
        <v>0</v>
      </c>
      <c r="S224" t="s">
        <v>28</v>
      </c>
    </row>
    <row r="225" spans="1:19">
      <c r="A225" t="s">
        <v>474</v>
      </c>
      <c r="B225" t="s">
        <v>751</v>
      </c>
      <c r="C225" t="s">
        <v>46</v>
      </c>
      <c r="D225" t="s">
        <v>345</v>
      </c>
      <c r="E225" t="s">
        <v>346</v>
      </c>
      <c r="F225">
        <v>45</v>
      </c>
      <c r="G225" t="s">
        <v>24</v>
      </c>
      <c r="H225" t="s">
        <v>752</v>
      </c>
      <c r="I225">
        <f>880-1812-678901</f>
        <v>-679833</v>
      </c>
      <c r="J225" s="1">
        <v>43804</v>
      </c>
      <c r="K225" s="1">
        <v>45302</v>
      </c>
      <c r="L225">
        <v>75600.25</v>
      </c>
      <c r="M225">
        <v>30900.400000000001</v>
      </c>
      <c r="N225">
        <v>680</v>
      </c>
      <c r="O225">
        <v>125000</v>
      </c>
      <c r="P225" t="s">
        <v>26</v>
      </c>
      <c r="Q225" t="s">
        <v>27</v>
      </c>
      <c r="R225">
        <v>0</v>
      </c>
      <c r="S225" t="s">
        <v>28</v>
      </c>
    </row>
    <row r="226" spans="1:19">
      <c r="A226" t="s">
        <v>592</v>
      </c>
      <c r="B226" t="s">
        <v>753</v>
      </c>
      <c r="C226" t="s">
        <v>84</v>
      </c>
      <c r="D226" t="s">
        <v>32</v>
      </c>
      <c r="E226" t="s">
        <v>90</v>
      </c>
      <c r="F226">
        <v>25</v>
      </c>
      <c r="G226" t="s">
        <v>34</v>
      </c>
      <c r="H226" t="s">
        <v>754</v>
      </c>
      <c r="I226">
        <f>81-90-8901-2345</f>
        <v>-11255</v>
      </c>
      <c r="J226" s="1">
        <v>45204</v>
      </c>
      <c r="K226" s="1">
        <v>45304</v>
      </c>
      <c r="L226">
        <v>2150.4</v>
      </c>
      <c r="M226">
        <v>9600.75</v>
      </c>
      <c r="N226">
        <v>610</v>
      </c>
      <c r="O226">
        <v>21000</v>
      </c>
      <c r="P226" t="s">
        <v>76</v>
      </c>
      <c r="Q226" t="s">
        <v>43</v>
      </c>
      <c r="R226">
        <v>0</v>
      </c>
      <c r="S226" t="s">
        <v>28</v>
      </c>
    </row>
    <row r="227" spans="1:19">
      <c r="A227" t="s">
        <v>595</v>
      </c>
      <c r="B227" t="s">
        <v>755</v>
      </c>
      <c r="C227" t="s">
        <v>21</v>
      </c>
      <c r="D227" t="s">
        <v>209</v>
      </c>
      <c r="E227" t="s">
        <v>210</v>
      </c>
      <c r="F227">
        <v>57</v>
      </c>
      <c r="G227" t="s">
        <v>24</v>
      </c>
      <c r="H227" t="s">
        <v>756</v>
      </c>
      <c r="I227">
        <f>52-55-5678-9012</f>
        <v>-14693</v>
      </c>
      <c r="J227" s="1">
        <v>42965</v>
      </c>
      <c r="K227" s="1">
        <v>45299</v>
      </c>
      <c r="L227">
        <v>287800.8</v>
      </c>
      <c r="M227">
        <v>80000.25</v>
      </c>
      <c r="N227">
        <v>825</v>
      </c>
      <c r="O227">
        <v>277000</v>
      </c>
      <c r="P227" t="s">
        <v>36</v>
      </c>
      <c r="Q227" t="s">
        <v>27</v>
      </c>
      <c r="R227">
        <v>0</v>
      </c>
      <c r="S227" t="s">
        <v>28</v>
      </c>
    </row>
    <row r="228" spans="1:19">
      <c r="A228" t="s">
        <v>226</v>
      </c>
      <c r="B228" t="s">
        <v>757</v>
      </c>
      <c r="C228" t="s">
        <v>57</v>
      </c>
      <c r="D228" t="s">
        <v>228</v>
      </c>
      <c r="E228" t="s">
        <v>229</v>
      </c>
      <c r="F228">
        <v>32</v>
      </c>
      <c r="G228" t="s">
        <v>34</v>
      </c>
      <c r="H228" t="s">
        <v>758</v>
      </c>
      <c r="I228">
        <f>254-726-789-12</f>
        <v>-1273</v>
      </c>
      <c r="J228" s="1">
        <v>44703</v>
      </c>
      <c r="K228" s="1">
        <v>45305</v>
      </c>
      <c r="L228">
        <v>14500.75</v>
      </c>
      <c r="M228">
        <v>6000.4</v>
      </c>
      <c r="N228">
        <v>725</v>
      </c>
      <c r="O228">
        <v>53000</v>
      </c>
      <c r="P228" t="s">
        <v>36</v>
      </c>
      <c r="Q228" t="s">
        <v>27</v>
      </c>
      <c r="R228">
        <v>0</v>
      </c>
      <c r="S228" t="s">
        <v>28</v>
      </c>
    </row>
    <row r="229" spans="1:19">
      <c r="A229" t="s">
        <v>488</v>
      </c>
      <c r="B229" t="s">
        <v>759</v>
      </c>
      <c r="C229" t="s">
        <v>39</v>
      </c>
      <c r="D229" t="s">
        <v>304</v>
      </c>
      <c r="E229" t="s">
        <v>304</v>
      </c>
      <c r="F229">
        <v>49</v>
      </c>
      <c r="G229" t="s">
        <v>24</v>
      </c>
      <c r="H229" t="s">
        <v>760</v>
      </c>
      <c r="I229">
        <f>65-8567-8901</f>
        <v>-17403</v>
      </c>
      <c r="J229" s="1">
        <v>43452</v>
      </c>
      <c r="K229" s="1">
        <v>45300</v>
      </c>
      <c r="L229">
        <v>168000.6</v>
      </c>
      <c r="M229">
        <v>80000.899999999994</v>
      </c>
      <c r="N229">
        <v>675</v>
      </c>
      <c r="O229">
        <v>177000</v>
      </c>
      <c r="P229" t="s">
        <v>76</v>
      </c>
      <c r="Q229" t="s">
        <v>27</v>
      </c>
      <c r="R229">
        <v>0</v>
      </c>
      <c r="S229" t="s">
        <v>28</v>
      </c>
    </row>
    <row r="230" spans="1:19">
      <c r="A230" t="s">
        <v>491</v>
      </c>
      <c r="B230" t="s">
        <v>761</v>
      </c>
      <c r="C230" t="s">
        <v>52</v>
      </c>
      <c r="D230" t="s">
        <v>493</v>
      </c>
      <c r="E230" t="s">
        <v>494</v>
      </c>
      <c r="F230">
        <v>40</v>
      </c>
      <c r="G230" t="s">
        <v>34</v>
      </c>
      <c r="H230" t="s">
        <v>762</v>
      </c>
      <c r="I230">
        <f>30-694-567-8901</f>
        <v>-10132</v>
      </c>
      <c r="J230" s="1">
        <v>44204</v>
      </c>
      <c r="K230" s="1">
        <v>45302</v>
      </c>
      <c r="L230">
        <v>42000.4</v>
      </c>
      <c r="M230">
        <v>16700.25</v>
      </c>
      <c r="N230">
        <v>705</v>
      </c>
      <c r="O230">
        <v>85000</v>
      </c>
      <c r="P230" t="s">
        <v>26</v>
      </c>
      <c r="Q230" t="s">
        <v>27</v>
      </c>
      <c r="R230">
        <v>0</v>
      </c>
      <c r="S230" t="s">
        <v>28</v>
      </c>
    </row>
    <row r="231" spans="1:19">
      <c r="A231" t="s">
        <v>496</v>
      </c>
      <c r="B231" t="s">
        <v>763</v>
      </c>
      <c r="C231" t="s">
        <v>46</v>
      </c>
      <c r="D231" t="s">
        <v>321</v>
      </c>
      <c r="E231" t="s">
        <v>322</v>
      </c>
      <c r="F231">
        <v>43</v>
      </c>
      <c r="G231" t="s">
        <v>24</v>
      </c>
      <c r="H231" t="s">
        <v>764</v>
      </c>
      <c r="I231">
        <f>61-426-789-12</f>
        <v>-1166</v>
      </c>
      <c r="J231" s="1">
        <v>43699</v>
      </c>
      <c r="K231" s="1">
        <v>45301</v>
      </c>
      <c r="L231">
        <v>88900.75</v>
      </c>
      <c r="M231">
        <v>37800.800000000003</v>
      </c>
      <c r="N231">
        <v>730</v>
      </c>
      <c r="O231">
        <v>151000</v>
      </c>
      <c r="P231" t="s">
        <v>26</v>
      </c>
      <c r="Q231" t="s">
        <v>27</v>
      </c>
      <c r="R231">
        <v>0</v>
      </c>
      <c r="S231" t="s">
        <v>28</v>
      </c>
    </row>
    <row r="232" spans="1:19">
      <c r="A232" t="s">
        <v>324</v>
      </c>
      <c r="B232" t="s">
        <v>765</v>
      </c>
      <c r="C232" t="s">
        <v>31</v>
      </c>
      <c r="D232" t="s">
        <v>313</v>
      </c>
      <c r="E232" t="s">
        <v>501</v>
      </c>
      <c r="F232">
        <v>28</v>
      </c>
      <c r="G232" t="s">
        <v>34</v>
      </c>
      <c r="H232" t="s">
        <v>766</v>
      </c>
      <c r="I232">
        <f>92-324-6543210</f>
        <v>-6543442</v>
      </c>
      <c r="J232" s="1">
        <v>45064</v>
      </c>
      <c r="K232" s="1">
        <v>45306</v>
      </c>
      <c r="L232">
        <v>8600.9</v>
      </c>
      <c r="M232">
        <v>5100.75</v>
      </c>
      <c r="N232">
        <v>685</v>
      </c>
      <c r="O232">
        <v>38000</v>
      </c>
      <c r="P232" t="s">
        <v>26</v>
      </c>
      <c r="Q232" t="s">
        <v>43</v>
      </c>
      <c r="R232">
        <v>0</v>
      </c>
      <c r="S232" t="s">
        <v>28</v>
      </c>
    </row>
    <row r="233" spans="1:19">
      <c r="A233" t="s">
        <v>503</v>
      </c>
      <c r="B233" t="s">
        <v>767</v>
      </c>
      <c r="C233" t="s">
        <v>21</v>
      </c>
      <c r="D233" t="s">
        <v>32</v>
      </c>
      <c r="E233" t="s">
        <v>33</v>
      </c>
      <c r="F233">
        <v>60</v>
      </c>
      <c r="G233" t="s">
        <v>24</v>
      </c>
      <c r="H233" t="s">
        <v>768</v>
      </c>
      <c r="I233">
        <f>81-80-4567-8901</f>
        <v>-13467</v>
      </c>
      <c r="J233" s="1">
        <v>42686</v>
      </c>
      <c r="K233" s="1">
        <v>45299</v>
      </c>
      <c r="L233">
        <v>298700.25</v>
      </c>
      <c r="M233">
        <v>84000.4</v>
      </c>
      <c r="N233">
        <v>840</v>
      </c>
      <c r="O233">
        <v>292000</v>
      </c>
      <c r="P233" t="s">
        <v>36</v>
      </c>
      <c r="Q233" t="s">
        <v>27</v>
      </c>
      <c r="R233">
        <v>0</v>
      </c>
      <c r="S233" t="s">
        <v>28</v>
      </c>
    </row>
    <row r="234" spans="1:19">
      <c r="A234" t="s">
        <v>506</v>
      </c>
      <c r="B234" t="s">
        <v>769</v>
      </c>
      <c r="C234" t="s">
        <v>39</v>
      </c>
      <c r="D234" t="s">
        <v>68</v>
      </c>
      <c r="E234" t="s">
        <v>69</v>
      </c>
      <c r="F234">
        <v>52</v>
      </c>
      <c r="G234" t="s">
        <v>34</v>
      </c>
      <c r="H234" t="s">
        <v>770</v>
      </c>
      <c r="I234">
        <f>234-816-789-123</f>
        <v>-1494</v>
      </c>
      <c r="J234" s="1">
        <v>43205</v>
      </c>
      <c r="K234" s="1">
        <v>45300</v>
      </c>
      <c r="L234">
        <v>179100.4</v>
      </c>
      <c r="M234">
        <v>84000.75</v>
      </c>
      <c r="N234">
        <v>650</v>
      </c>
      <c r="O234">
        <v>187000</v>
      </c>
      <c r="P234" t="s">
        <v>76</v>
      </c>
      <c r="Q234" t="s">
        <v>27</v>
      </c>
      <c r="R234">
        <v>0</v>
      </c>
      <c r="S234" t="s">
        <v>28</v>
      </c>
    </row>
    <row r="235" spans="1:19">
      <c r="A235" t="s">
        <v>509</v>
      </c>
      <c r="B235" t="s">
        <v>771</v>
      </c>
      <c r="C235" t="s">
        <v>46</v>
      </c>
      <c r="D235" t="s">
        <v>73</v>
      </c>
      <c r="E235" t="s">
        <v>158</v>
      </c>
      <c r="F235">
        <v>39</v>
      </c>
      <c r="G235" t="s">
        <v>24</v>
      </c>
      <c r="H235" t="s">
        <v>772</v>
      </c>
      <c r="I235">
        <f>49-178-9012345</f>
        <v>-9012474</v>
      </c>
      <c r="J235" s="1">
        <v>44430</v>
      </c>
      <c r="K235" s="1">
        <v>45303</v>
      </c>
      <c r="L235">
        <v>76700.399999999994</v>
      </c>
      <c r="M235">
        <v>32000.25</v>
      </c>
      <c r="N235">
        <v>745</v>
      </c>
      <c r="O235">
        <v>131000</v>
      </c>
      <c r="P235" t="s">
        <v>26</v>
      </c>
      <c r="Q235" t="s">
        <v>27</v>
      </c>
      <c r="R235">
        <v>0</v>
      </c>
      <c r="S235" t="s">
        <v>28</v>
      </c>
    </row>
    <row r="236" spans="1:19">
      <c r="A236" t="s">
        <v>513</v>
      </c>
      <c r="B236" t="s">
        <v>773</v>
      </c>
      <c r="C236" t="s">
        <v>57</v>
      </c>
      <c r="D236" t="s">
        <v>58</v>
      </c>
      <c r="E236" t="s">
        <v>59</v>
      </c>
      <c r="F236">
        <v>34</v>
      </c>
      <c r="G236" t="s">
        <v>34</v>
      </c>
      <c r="H236" t="s">
        <v>774</v>
      </c>
      <c r="I236">
        <f>86-137-9012-3456</f>
        <v>-12519</v>
      </c>
      <c r="J236" s="1">
        <v>44620</v>
      </c>
      <c r="K236" s="1">
        <v>45302</v>
      </c>
      <c r="L236">
        <v>16700.8</v>
      </c>
      <c r="M236">
        <v>7200.9</v>
      </c>
      <c r="N236">
        <v>765</v>
      </c>
      <c r="O236">
        <v>63000</v>
      </c>
      <c r="P236" t="s">
        <v>36</v>
      </c>
      <c r="Q236" t="s">
        <v>27</v>
      </c>
      <c r="R236">
        <v>0</v>
      </c>
      <c r="S236" t="s">
        <v>28</v>
      </c>
    </row>
    <row r="237" spans="1:19">
      <c r="A237" t="s">
        <v>516</v>
      </c>
      <c r="B237" t="s">
        <v>775</v>
      </c>
      <c r="C237" t="s">
        <v>52</v>
      </c>
      <c r="D237" t="s">
        <v>277</v>
      </c>
      <c r="E237" t="s">
        <v>404</v>
      </c>
      <c r="F237">
        <v>47</v>
      </c>
      <c r="G237" t="s">
        <v>24</v>
      </c>
      <c r="H237" t="s">
        <v>776</v>
      </c>
      <c r="I237">
        <f>20-122-765-4321</f>
        <v>-5188</v>
      </c>
      <c r="J237" s="1">
        <v>43848</v>
      </c>
      <c r="K237" s="1">
        <v>45301</v>
      </c>
      <c r="L237">
        <v>50000.75</v>
      </c>
      <c r="M237">
        <v>23100.400000000001</v>
      </c>
      <c r="N237">
        <v>675</v>
      </c>
      <c r="O237">
        <v>103000</v>
      </c>
      <c r="P237" t="s">
        <v>26</v>
      </c>
      <c r="Q237" t="s">
        <v>27</v>
      </c>
      <c r="R237">
        <v>0</v>
      </c>
      <c r="S237" t="s">
        <v>28</v>
      </c>
    </row>
    <row r="238" spans="1:19">
      <c r="A238" t="s">
        <v>519</v>
      </c>
      <c r="B238" t="s">
        <v>777</v>
      </c>
      <c r="C238" t="s">
        <v>84</v>
      </c>
      <c r="D238" t="s">
        <v>183</v>
      </c>
      <c r="E238" t="s">
        <v>184</v>
      </c>
      <c r="F238">
        <v>26</v>
      </c>
      <c r="G238" t="s">
        <v>34</v>
      </c>
      <c r="H238" t="s">
        <v>778</v>
      </c>
      <c r="I238">
        <f>33-6-6789-123</f>
        <v>-6885</v>
      </c>
      <c r="J238" s="1">
        <v>45211</v>
      </c>
      <c r="K238" s="1">
        <v>45304</v>
      </c>
      <c r="L238">
        <v>2400.25</v>
      </c>
      <c r="M238">
        <v>10800.6</v>
      </c>
      <c r="N238">
        <v>615</v>
      </c>
      <c r="O238">
        <v>23000</v>
      </c>
      <c r="P238" t="s">
        <v>76</v>
      </c>
      <c r="Q238" t="s">
        <v>43</v>
      </c>
      <c r="R238">
        <v>0</v>
      </c>
      <c r="S238" t="s">
        <v>28</v>
      </c>
    </row>
    <row r="239" spans="1:19">
      <c r="A239" t="s">
        <v>522</v>
      </c>
      <c r="B239" t="s">
        <v>779</v>
      </c>
      <c r="C239" t="s">
        <v>39</v>
      </c>
      <c r="D239" t="s">
        <v>40</v>
      </c>
      <c r="E239" t="s">
        <v>41</v>
      </c>
      <c r="F239">
        <v>54</v>
      </c>
      <c r="G239" t="s">
        <v>24</v>
      </c>
      <c r="H239" t="s">
        <v>780</v>
      </c>
      <c r="I239">
        <f>91-987-654-3210</f>
        <v>-4760</v>
      </c>
      <c r="J239" s="1">
        <v>43167</v>
      </c>
      <c r="K239" s="1">
        <v>45299</v>
      </c>
      <c r="L239">
        <v>213700.8</v>
      </c>
      <c r="M239">
        <v>97000.25</v>
      </c>
      <c r="N239">
        <v>660</v>
      </c>
      <c r="O239">
        <v>222000</v>
      </c>
      <c r="P239" t="s">
        <v>76</v>
      </c>
      <c r="Q239" t="s">
        <v>27</v>
      </c>
      <c r="R239">
        <v>0</v>
      </c>
      <c r="S239" t="s">
        <v>28</v>
      </c>
    </row>
    <row r="240" spans="1:19">
      <c r="A240" t="s">
        <v>306</v>
      </c>
      <c r="B240" t="s">
        <v>781</v>
      </c>
      <c r="C240" t="s">
        <v>46</v>
      </c>
      <c r="D240" t="s">
        <v>209</v>
      </c>
      <c r="E240" t="s">
        <v>210</v>
      </c>
      <c r="F240">
        <v>41</v>
      </c>
      <c r="G240" t="s">
        <v>34</v>
      </c>
      <c r="H240" t="s">
        <v>782</v>
      </c>
      <c r="I240">
        <f>52-55-6789-123</f>
        <v>-6915</v>
      </c>
      <c r="J240" s="1">
        <v>44027</v>
      </c>
      <c r="K240" s="1">
        <v>45302</v>
      </c>
      <c r="L240">
        <v>71100.899999999994</v>
      </c>
      <c r="M240">
        <v>28900.75</v>
      </c>
      <c r="N240">
        <v>730</v>
      </c>
      <c r="O240">
        <v>126000</v>
      </c>
      <c r="P240" t="s">
        <v>26</v>
      </c>
      <c r="Q240" t="s">
        <v>27</v>
      </c>
      <c r="R240">
        <v>0</v>
      </c>
      <c r="S240" t="s">
        <v>28</v>
      </c>
    </row>
    <row r="241" spans="1:19">
      <c r="A241" t="s">
        <v>527</v>
      </c>
      <c r="B241" t="s">
        <v>783</v>
      </c>
      <c r="C241" t="s">
        <v>31</v>
      </c>
      <c r="D241" t="s">
        <v>32</v>
      </c>
      <c r="E241" t="s">
        <v>90</v>
      </c>
      <c r="F241">
        <v>30</v>
      </c>
      <c r="G241" t="s">
        <v>34</v>
      </c>
      <c r="H241" t="s">
        <v>784</v>
      </c>
      <c r="I241">
        <f>81-90-5678-9012</f>
        <v>-14699</v>
      </c>
      <c r="J241" s="1">
        <v>45099</v>
      </c>
      <c r="K241" s="1">
        <v>45305</v>
      </c>
      <c r="L241">
        <v>9800.4</v>
      </c>
      <c r="M241">
        <v>5800.25</v>
      </c>
      <c r="N241">
        <v>705</v>
      </c>
      <c r="O241">
        <v>40000</v>
      </c>
      <c r="P241" t="s">
        <v>26</v>
      </c>
      <c r="Q241" t="s">
        <v>43</v>
      </c>
      <c r="R241">
        <v>0</v>
      </c>
      <c r="S241" t="s">
        <v>28</v>
      </c>
    </row>
    <row r="242" spans="1:19">
      <c r="A242" t="s">
        <v>530</v>
      </c>
      <c r="B242" t="s">
        <v>785</v>
      </c>
      <c r="C242" t="s">
        <v>57</v>
      </c>
      <c r="D242" t="s">
        <v>219</v>
      </c>
      <c r="E242" t="s">
        <v>220</v>
      </c>
      <c r="F242">
        <v>35</v>
      </c>
      <c r="G242" t="s">
        <v>24</v>
      </c>
      <c r="H242" t="s">
        <v>786</v>
      </c>
      <c r="I242">
        <f>233-57-890-1234</f>
        <v>-1948</v>
      </c>
      <c r="J242" s="1">
        <v>44566</v>
      </c>
      <c r="K242" s="1">
        <v>45303</v>
      </c>
      <c r="L242">
        <v>15600.6</v>
      </c>
      <c r="M242">
        <v>6600.8</v>
      </c>
      <c r="N242">
        <v>710</v>
      </c>
      <c r="O242">
        <v>56000</v>
      </c>
      <c r="P242" t="s">
        <v>36</v>
      </c>
      <c r="Q242" t="s">
        <v>27</v>
      </c>
      <c r="R242">
        <v>0</v>
      </c>
      <c r="S242" t="s">
        <v>28</v>
      </c>
    </row>
    <row r="243" spans="1:19">
      <c r="A243" t="s">
        <v>533</v>
      </c>
      <c r="B243" t="s">
        <v>787</v>
      </c>
      <c r="C243" t="s">
        <v>52</v>
      </c>
      <c r="D243" t="s">
        <v>204</v>
      </c>
      <c r="E243" t="s">
        <v>259</v>
      </c>
      <c r="F243">
        <v>42</v>
      </c>
      <c r="G243" t="s">
        <v>34</v>
      </c>
      <c r="H243" t="s">
        <v>788</v>
      </c>
      <c r="I243">
        <f>7-921-654-32-10</f>
        <v>-1610</v>
      </c>
      <c r="J243" s="1">
        <v>43873</v>
      </c>
      <c r="K243" s="1">
        <v>45301</v>
      </c>
      <c r="L243">
        <v>46900.25</v>
      </c>
      <c r="M243">
        <v>20000.900000000001</v>
      </c>
      <c r="N243">
        <v>695</v>
      </c>
      <c r="O243">
        <v>91000</v>
      </c>
      <c r="P243" t="s">
        <v>26</v>
      </c>
      <c r="Q243" t="s">
        <v>27</v>
      </c>
      <c r="R243">
        <v>0</v>
      </c>
      <c r="S243" t="s">
        <v>28</v>
      </c>
    </row>
    <row r="244" spans="1:19">
      <c r="A244" t="s">
        <v>536</v>
      </c>
      <c r="B244" t="s">
        <v>789</v>
      </c>
      <c r="C244" t="s">
        <v>39</v>
      </c>
      <c r="D244" t="s">
        <v>195</v>
      </c>
      <c r="E244" t="s">
        <v>196</v>
      </c>
      <c r="F244">
        <v>50</v>
      </c>
      <c r="G244" t="s">
        <v>24</v>
      </c>
      <c r="H244" t="s">
        <v>790</v>
      </c>
      <c r="I244">
        <f>353-89-789-123</f>
        <v>-648</v>
      </c>
      <c r="J244" s="1">
        <v>43340</v>
      </c>
      <c r="K244" s="1">
        <v>45300</v>
      </c>
      <c r="L244">
        <v>145900.4</v>
      </c>
      <c r="M244">
        <v>71000.600000000006</v>
      </c>
      <c r="N244">
        <v>670</v>
      </c>
      <c r="O244">
        <v>158000</v>
      </c>
      <c r="P244" t="s">
        <v>76</v>
      </c>
      <c r="Q244" t="s">
        <v>27</v>
      </c>
      <c r="R244">
        <v>0</v>
      </c>
      <c r="S244" t="s">
        <v>28</v>
      </c>
    </row>
    <row r="245" spans="1:19">
      <c r="A245" t="s">
        <v>539</v>
      </c>
      <c r="B245" t="s">
        <v>791</v>
      </c>
      <c r="C245" t="s">
        <v>21</v>
      </c>
      <c r="D245" t="s">
        <v>58</v>
      </c>
      <c r="E245" t="s">
        <v>122</v>
      </c>
      <c r="F245">
        <v>58</v>
      </c>
      <c r="G245" t="s">
        <v>34</v>
      </c>
      <c r="H245" t="s">
        <v>792</v>
      </c>
      <c r="I245">
        <f>86-139-6789-123</f>
        <v>-6965</v>
      </c>
      <c r="J245" s="1">
        <v>42891</v>
      </c>
      <c r="K245" s="1">
        <v>45299</v>
      </c>
      <c r="L245">
        <v>312800.75</v>
      </c>
      <c r="M245">
        <v>88000.8</v>
      </c>
      <c r="N245">
        <v>835</v>
      </c>
      <c r="O245">
        <v>303000</v>
      </c>
      <c r="P245" t="s">
        <v>36</v>
      </c>
      <c r="Q245" t="s">
        <v>27</v>
      </c>
      <c r="R245">
        <v>0</v>
      </c>
      <c r="S245" t="s">
        <v>28</v>
      </c>
    </row>
    <row r="246" spans="1:19">
      <c r="A246" t="s">
        <v>542</v>
      </c>
      <c r="B246" t="s">
        <v>793</v>
      </c>
      <c r="C246" t="s">
        <v>52</v>
      </c>
      <c r="D246" t="s">
        <v>68</v>
      </c>
      <c r="E246" t="s">
        <v>69</v>
      </c>
      <c r="F246">
        <v>45</v>
      </c>
      <c r="G246" t="s">
        <v>34</v>
      </c>
      <c r="H246" t="s">
        <v>794</v>
      </c>
      <c r="I246">
        <f>234-817-890-1234</f>
        <v>-2707</v>
      </c>
      <c r="J246" s="1">
        <v>43852</v>
      </c>
      <c r="K246" s="1">
        <v>45302</v>
      </c>
      <c r="L246">
        <v>55600.6</v>
      </c>
      <c r="M246">
        <v>25600.25</v>
      </c>
      <c r="N246">
        <v>665</v>
      </c>
      <c r="O246">
        <v>111000</v>
      </c>
      <c r="P246" t="s">
        <v>26</v>
      </c>
      <c r="Q246" t="s">
        <v>27</v>
      </c>
      <c r="R246">
        <v>0</v>
      </c>
      <c r="S246" t="s">
        <v>28</v>
      </c>
    </row>
    <row r="247" spans="1:19">
      <c r="A247" t="s">
        <v>545</v>
      </c>
      <c r="B247" t="s">
        <v>795</v>
      </c>
      <c r="C247" t="s">
        <v>46</v>
      </c>
      <c r="D247" t="s">
        <v>241</v>
      </c>
      <c r="E247" t="s">
        <v>389</v>
      </c>
      <c r="F247">
        <v>37</v>
      </c>
      <c r="G247" t="s">
        <v>24</v>
      </c>
      <c r="H247" t="s">
        <v>796</v>
      </c>
      <c r="I247">
        <f>39-351-567-8901</f>
        <v>-9780</v>
      </c>
      <c r="J247" s="1">
        <v>44484</v>
      </c>
      <c r="K247" s="1">
        <v>45303</v>
      </c>
      <c r="L247">
        <v>78900.800000000003</v>
      </c>
      <c r="M247">
        <v>33100.400000000001</v>
      </c>
      <c r="N247">
        <v>750</v>
      </c>
      <c r="O247">
        <v>137000</v>
      </c>
      <c r="P247" t="s">
        <v>26</v>
      </c>
      <c r="Q247" t="s">
        <v>27</v>
      </c>
      <c r="R247">
        <v>0</v>
      </c>
      <c r="S247" t="s">
        <v>28</v>
      </c>
    </row>
    <row r="248" spans="1:19">
      <c r="A248" t="s">
        <v>548</v>
      </c>
      <c r="B248" t="s">
        <v>797</v>
      </c>
      <c r="C248" t="s">
        <v>57</v>
      </c>
      <c r="D248" t="s">
        <v>22</v>
      </c>
      <c r="E248" t="s">
        <v>118</v>
      </c>
      <c r="F248">
        <v>33</v>
      </c>
      <c r="G248" t="s">
        <v>34</v>
      </c>
      <c r="H248" t="s">
        <v>798</v>
      </c>
      <c r="I248">
        <f>1-310-555-192</f>
        <v>-1056</v>
      </c>
      <c r="J248" s="1">
        <v>44669</v>
      </c>
      <c r="K248" s="1">
        <v>45305</v>
      </c>
      <c r="L248">
        <v>17800.900000000001</v>
      </c>
      <c r="M248">
        <v>7600.75</v>
      </c>
      <c r="N248">
        <v>770</v>
      </c>
      <c r="O248">
        <v>68000</v>
      </c>
      <c r="P248" t="s">
        <v>36</v>
      </c>
      <c r="Q248" t="s">
        <v>27</v>
      </c>
      <c r="R248">
        <v>0</v>
      </c>
      <c r="S248" t="s">
        <v>28</v>
      </c>
    </row>
    <row r="249" spans="1:19">
      <c r="A249" t="s">
        <v>551</v>
      </c>
      <c r="B249" t="s">
        <v>799</v>
      </c>
      <c r="C249" t="s">
        <v>39</v>
      </c>
      <c r="D249" t="s">
        <v>313</v>
      </c>
      <c r="E249" t="s">
        <v>314</v>
      </c>
      <c r="F249">
        <v>56</v>
      </c>
      <c r="G249" t="s">
        <v>24</v>
      </c>
      <c r="H249" t="s">
        <v>800</v>
      </c>
      <c r="I249">
        <f>92-303-6543210</f>
        <v>-6543421</v>
      </c>
      <c r="J249" s="1">
        <v>43061</v>
      </c>
      <c r="K249" s="1">
        <v>45299</v>
      </c>
      <c r="L249">
        <v>199000.25</v>
      </c>
      <c r="M249">
        <v>92000.8</v>
      </c>
      <c r="N249">
        <v>645</v>
      </c>
      <c r="O249">
        <v>208000</v>
      </c>
      <c r="P249" t="s">
        <v>76</v>
      </c>
      <c r="Q249" t="s">
        <v>27</v>
      </c>
      <c r="R249">
        <v>0</v>
      </c>
      <c r="S249" t="s">
        <v>28</v>
      </c>
    </row>
    <row r="250" spans="1:19">
      <c r="A250" t="s">
        <v>554</v>
      </c>
      <c r="B250" t="s">
        <v>801</v>
      </c>
      <c r="C250" t="s">
        <v>31</v>
      </c>
      <c r="D250" t="s">
        <v>214</v>
      </c>
      <c r="E250" t="s">
        <v>215</v>
      </c>
      <c r="F250">
        <v>29</v>
      </c>
      <c r="G250" t="s">
        <v>34</v>
      </c>
      <c r="H250" t="s">
        <v>802</v>
      </c>
      <c r="I250">
        <f>34-626-789-12</f>
        <v>-1393</v>
      </c>
      <c r="J250" s="1">
        <v>45112</v>
      </c>
      <c r="K250" s="1">
        <v>45306</v>
      </c>
      <c r="L250">
        <v>13200.5</v>
      </c>
      <c r="M250">
        <v>7200.4</v>
      </c>
      <c r="N250">
        <v>720</v>
      </c>
      <c r="O250">
        <v>45000</v>
      </c>
      <c r="P250" t="s">
        <v>36</v>
      </c>
      <c r="Q250" t="s">
        <v>27</v>
      </c>
      <c r="R250">
        <v>0</v>
      </c>
      <c r="S250" t="s">
        <v>28</v>
      </c>
    </row>
    <row r="251" spans="1:19">
      <c r="A251" t="s">
        <v>108</v>
      </c>
      <c r="B251" t="s">
        <v>803</v>
      </c>
      <c r="C251" t="s">
        <v>84</v>
      </c>
      <c r="D251" t="s">
        <v>32</v>
      </c>
      <c r="E251" t="s">
        <v>33</v>
      </c>
      <c r="F251">
        <v>25</v>
      </c>
      <c r="G251" t="s">
        <v>24</v>
      </c>
      <c r="H251" t="s">
        <v>804</v>
      </c>
      <c r="I251">
        <f>81-90-8901-2345</f>
        <v>-11255</v>
      </c>
      <c r="J251" s="1">
        <v>45258</v>
      </c>
      <c r="K251" s="1">
        <v>45304</v>
      </c>
      <c r="L251">
        <v>2150.8000000000002</v>
      </c>
      <c r="M251">
        <v>9200.25</v>
      </c>
      <c r="N251">
        <v>605</v>
      </c>
      <c r="O251">
        <v>21000</v>
      </c>
      <c r="P251" t="s">
        <v>76</v>
      </c>
      <c r="Q251" t="s">
        <v>43</v>
      </c>
      <c r="R251">
        <v>0</v>
      </c>
      <c r="S251" t="s">
        <v>28</v>
      </c>
    </row>
    <row r="252" spans="1:19">
      <c r="A252" t="s">
        <v>559</v>
      </c>
      <c r="B252" t="s">
        <v>805</v>
      </c>
      <c r="C252" t="s">
        <v>46</v>
      </c>
      <c r="D252" t="s">
        <v>254</v>
      </c>
      <c r="E252" t="s">
        <v>255</v>
      </c>
      <c r="F252">
        <v>39</v>
      </c>
      <c r="G252" t="s">
        <v>34</v>
      </c>
      <c r="H252" t="s">
        <v>806</v>
      </c>
      <c r="I252">
        <f>221-81-567-8901</f>
        <v>-9328</v>
      </c>
      <c r="J252" s="1">
        <v>44359</v>
      </c>
      <c r="K252" s="1">
        <v>45302</v>
      </c>
      <c r="L252">
        <v>65600.399999999994</v>
      </c>
      <c r="M252">
        <v>27800.75</v>
      </c>
      <c r="N252">
        <v>710</v>
      </c>
      <c r="O252">
        <v>119000</v>
      </c>
      <c r="P252" t="s">
        <v>26</v>
      </c>
      <c r="Q252" t="s">
        <v>27</v>
      </c>
      <c r="R252">
        <v>0</v>
      </c>
      <c r="S252" t="s">
        <v>28</v>
      </c>
    </row>
    <row r="253" spans="1:19">
      <c r="A253" t="s">
        <v>562</v>
      </c>
      <c r="B253" t="s">
        <v>807</v>
      </c>
      <c r="C253" t="s">
        <v>39</v>
      </c>
      <c r="D253" t="s">
        <v>47</v>
      </c>
      <c r="E253" t="s">
        <v>48</v>
      </c>
      <c r="F253">
        <v>53</v>
      </c>
      <c r="G253" t="s">
        <v>24</v>
      </c>
      <c r="H253" t="s">
        <v>808</v>
      </c>
      <c r="I253">
        <f>44-79-8901-2345</f>
        <v>-11281</v>
      </c>
      <c r="J253" s="1">
        <v>43228</v>
      </c>
      <c r="K253" s="1">
        <v>45300</v>
      </c>
      <c r="L253">
        <v>179200.6</v>
      </c>
      <c r="M253">
        <v>85000.25</v>
      </c>
      <c r="N253">
        <v>675</v>
      </c>
      <c r="O253">
        <v>188000</v>
      </c>
      <c r="P253" t="s">
        <v>76</v>
      </c>
      <c r="Q253" t="s">
        <v>27</v>
      </c>
      <c r="R253">
        <v>0</v>
      </c>
      <c r="S253" t="s">
        <v>28</v>
      </c>
    </row>
    <row r="254" spans="1:19">
      <c r="A254" t="s">
        <v>565</v>
      </c>
      <c r="B254" t="s">
        <v>809</v>
      </c>
      <c r="C254" t="s">
        <v>52</v>
      </c>
      <c r="D254" t="s">
        <v>233</v>
      </c>
      <c r="E254" t="s">
        <v>234</v>
      </c>
      <c r="F254">
        <v>38</v>
      </c>
      <c r="G254" t="s">
        <v>34</v>
      </c>
      <c r="H254" t="s">
        <v>810</v>
      </c>
      <c r="I254">
        <f>82-10-7890-1234</f>
        <v>-9052</v>
      </c>
      <c r="J254" s="1">
        <v>44157</v>
      </c>
      <c r="K254" s="1">
        <v>45301</v>
      </c>
      <c r="L254">
        <v>42000.75</v>
      </c>
      <c r="M254">
        <v>18900.8</v>
      </c>
      <c r="N254">
        <v>725</v>
      </c>
      <c r="O254">
        <v>85000</v>
      </c>
      <c r="P254" t="s">
        <v>26</v>
      </c>
      <c r="Q254" t="s">
        <v>27</v>
      </c>
      <c r="R254">
        <v>0</v>
      </c>
      <c r="S254" t="s">
        <v>28</v>
      </c>
    </row>
    <row r="255" spans="1:19">
      <c r="A255" t="s">
        <v>568</v>
      </c>
      <c r="B255" t="s">
        <v>811</v>
      </c>
      <c r="C255" t="s">
        <v>57</v>
      </c>
      <c r="D255" t="s">
        <v>79</v>
      </c>
      <c r="E255" t="s">
        <v>102</v>
      </c>
      <c r="F255">
        <v>36</v>
      </c>
      <c r="G255" t="s">
        <v>24</v>
      </c>
      <c r="H255" t="s">
        <v>812</v>
      </c>
      <c r="I255">
        <f>971-50-901-2345</f>
        <v>-2325</v>
      </c>
      <c r="J255" s="1">
        <v>44607</v>
      </c>
      <c r="K255" s="1">
        <v>45303</v>
      </c>
      <c r="L255">
        <v>20000.400000000001</v>
      </c>
      <c r="M255">
        <v>8400.9</v>
      </c>
      <c r="N255">
        <v>740</v>
      </c>
      <c r="O255">
        <v>71000</v>
      </c>
      <c r="P255" t="s">
        <v>36</v>
      </c>
      <c r="Q255" t="s">
        <v>27</v>
      </c>
      <c r="R255">
        <v>0</v>
      </c>
      <c r="S255" t="s">
        <v>28</v>
      </c>
    </row>
    <row r="256" spans="1:19">
      <c r="A256" t="s">
        <v>571</v>
      </c>
      <c r="B256" t="s">
        <v>813</v>
      </c>
      <c r="C256" t="s">
        <v>21</v>
      </c>
      <c r="D256" t="s">
        <v>63</v>
      </c>
      <c r="E256" t="s">
        <v>64</v>
      </c>
      <c r="F256">
        <v>59</v>
      </c>
      <c r="G256" t="s">
        <v>34</v>
      </c>
      <c r="H256" t="s">
        <v>814</v>
      </c>
      <c r="I256">
        <f>55-11-98901-2345</f>
        <v>-101202</v>
      </c>
      <c r="J256" s="1">
        <v>42763</v>
      </c>
      <c r="K256" s="1">
        <v>45299</v>
      </c>
      <c r="L256">
        <v>268100.90000000002</v>
      </c>
      <c r="M256">
        <v>75000.600000000006</v>
      </c>
      <c r="N256">
        <v>830</v>
      </c>
      <c r="O256">
        <v>283000</v>
      </c>
      <c r="P256" t="s">
        <v>36</v>
      </c>
      <c r="Q256" t="s">
        <v>27</v>
      </c>
      <c r="R256">
        <v>0</v>
      </c>
      <c r="S256" t="s">
        <v>28</v>
      </c>
    </row>
    <row r="257" spans="1:19">
      <c r="A257" t="s">
        <v>574</v>
      </c>
      <c r="B257" t="s">
        <v>815</v>
      </c>
      <c r="C257" t="s">
        <v>39</v>
      </c>
      <c r="D257" t="s">
        <v>68</v>
      </c>
      <c r="E257" t="s">
        <v>179</v>
      </c>
      <c r="F257">
        <v>51</v>
      </c>
      <c r="G257" t="s">
        <v>24</v>
      </c>
      <c r="H257" t="s">
        <v>816</v>
      </c>
      <c r="I257">
        <f>234-818-901-2345</f>
        <v>-3830</v>
      </c>
      <c r="J257" s="1">
        <v>43385</v>
      </c>
      <c r="K257" s="1">
        <v>45300</v>
      </c>
      <c r="L257">
        <v>157000.25</v>
      </c>
      <c r="M257">
        <v>77000.399999999994</v>
      </c>
      <c r="N257">
        <v>655</v>
      </c>
      <c r="O257">
        <v>173000</v>
      </c>
      <c r="P257" t="s">
        <v>76</v>
      </c>
      <c r="Q257" t="s">
        <v>27</v>
      </c>
      <c r="R257">
        <v>0</v>
      </c>
      <c r="S257" t="s">
        <v>28</v>
      </c>
    </row>
    <row r="258" spans="1:19">
      <c r="A258" t="s">
        <v>577</v>
      </c>
      <c r="B258" t="s">
        <v>817</v>
      </c>
      <c r="C258" t="s">
        <v>46</v>
      </c>
      <c r="D258" t="s">
        <v>85</v>
      </c>
      <c r="E258" t="s">
        <v>162</v>
      </c>
      <c r="F258">
        <v>40</v>
      </c>
      <c r="G258" t="s">
        <v>34</v>
      </c>
      <c r="H258" t="s">
        <v>818</v>
      </c>
      <c r="I258">
        <f>1-514-555-196</f>
        <v>-1264</v>
      </c>
      <c r="J258" s="1">
        <v>44277</v>
      </c>
      <c r="K258" s="1">
        <v>45302</v>
      </c>
      <c r="L258">
        <v>84500.6</v>
      </c>
      <c r="M258">
        <v>35800.75</v>
      </c>
      <c r="N258">
        <v>760</v>
      </c>
      <c r="O258">
        <v>142000</v>
      </c>
      <c r="P258" t="s">
        <v>26</v>
      </c>
      <c r="Q258" t="s">
        <v>27</v>
      </c>
      <c r="R258">
        <v>0</v>
      </c>
      <c r="S258" t="s">
        <v>28</v>
      </c>
    </row>
    <row r="259" spans="1:19">
      <c r="A259" t="s">
        <v>458</v>
      </c>
      <c r="B259" t="s">
        <v>819</v>
      </c>
      <c r="C259" t="s">
        <v>31</v>
      </c>
      <c r="D259" t="s">
        <v>460</v>
      </c>
      <c r="E259" t="s">
        <v>461</v>
      </c>
      <c r="F259">
        <v>31</v>
      </c>
      <c r="G259" t="s">
        <v>24</v>
      </c>
      <c r="H259" t="s">
        <v>820</v>
      </c>
      <c r="I259">
        <f>62-815-6789-123</f>
        <v>-7665</v>
      </c>
      <c r="J259" s="1">
        <v>45061</v>
      </c>
      <c r="K259" s="1">
        <v>45306</v>
      </c>
      <c r="L259">
        <v>9900.25</v>
      </c>
      <c r="M259">
        <v>5800.8</v>
      </c>
      <c r="N259">
        <v>695</v>
      </c>
      <c r="O259">
        <v>42000</v>
      </c>
      <c r="P259" t="s">
        <v>26</v>
      </c>
      <c r="Q259" t="s">
        <v>43</v>
      </c>
      <c r="R259">
        <v>0</v>
      </c>
      <c r="S259" t="s">
        <v>28</v>
      </c>
    </row>
    <row r="260" spans="1:19">
      <c r="A260" t="s">
        <v>582</v>
      </c>
      <c r="B260" t="s">
        <v>821</v>
      </c>
      <c r="C260" t="s">
        <v>57</v>
      </c>
      <c r="D260" t="s">
        <v>22</v>
      </c>
      <c r="E260" t="s">
        <v>53</v>
      </c>
      <c r="F260">
        <v>34</v>
      </c>
      <c r="G260" t="s">
        <v>34</v>
      </c>
      <c r="H260" t="s">
        <v>822</v>
      </c>
      <c r="I260">
        <f>1-773-555-176</f>
        <v>-1503</v>
      </c>
      <c r="J260" s="1">
        <v>44535</v>
      </c>
      <c r="K260" s="1">
        <v>45303</v>
      </c>
      <c r="L260">
        <v>18900.900000000001</v>
      </c>
      <c r="M260">
        <v>8000.25</v>
      </c>
      <c r="N260">
        <v>755</v>
      </c>
      <c r="O260">
        <v>64000</v>
      </c>
      <c r="P260" t="s">
        <v>36</v>
      </c>
      <c r="Q260" t="s">
        <v>27</v>
      </c>
      <c r="R260">
        <v>0</v>
      </c>
      <c r="S260" t="s">
        <v>28</v>
      </c>
    </row>
    <row r="261" spans="1:19">
      <c r="A261" t="s">
        <v>55</v>
      </c>
      <c r="B261" t="s">
        <v>823</v>
      </c>
      <c r="C261" t="s">
        <v>39</v>
      </c>
      <c r="D261" t="s">
        <v>58</v>
      </c>
      <c r="E261" t="s">
        <v>59</v>
      </c>
      <c r="F261">
        <v>52</v>
      </c>
      <c r="G261" t="s">
        <v>24</v>
      </c>
      <c r="H261" t="s">
        <v>824</v>
      </c>
      <c r="I261">
        <f>86-138-123-4567</f>
        <v>-4742</v>
      </c>
      <c r="J261" s="1">
        <v>43299</v>
      </c>
      <c r="K261" s="1">
        <v>45300</v>
      </c>
      <c r="L261">
        <v>189900.4</v>
      </c>
      <c r="M261">
        <v>90000.75</v>
      </c>
      <c r="N261">
        <v>685</v>
      </c>
      <c r="O261">
        <v>198000</v>
      </c>
      <c r="P261" t="s">
        <v>76</v>
      </c>
      <c r="Q261" t="s">
        <v>27</v>
      </c>
      <c r="R261">
        <v>0</v>
      </c>
      <c r="S261" t="s">
        <v>28</v>
      </c>
    </row>
    <row r="262" spans="1:19">
      <c r="A262" t="s">
        <v>469</v>
      </c>
      <c r="B262" t="s">
        <v>825</v>
      </c>
      <c r="C262" t="s">
        <v>52</v>
      </c>
      <c r="D262" t="s">
        <v>471</v>
      </c>
      <c r="E262" t="s">
        <v>472</v>
      </c>
      <c r="F262">
        <v>43</v>
      </c>
      <c r="G262" t="s">
        <v>34</v>
      </c>
      <c r="H262" t="s">
        <v>826</v>
      </c>
      <c r="I262">
        <f>48-703-567-890</f>
        <v>-2112</v>
      </c>
      <c r="J262" s="1">
        <v>43929</v>
      </c>
      <c r="K262" s="1">
        <v>45301</v>
      </c>
      <c r="L262">
        <v>48900.800000000003</v>
      </c>
      <c r="M262">
        <v>22000.6</v>
      </c>
      <c r="N262">
        <v>715</v>
      </c>
      <c r="O262">
        <v>97000</v>
      </c>
      <c r="P262" t="s">
        <v>26</v>
      </c>
      <c r="Q262" t="s">
        <v>27</v>
      </c>
      <c r="R262">
        <v>0</v>
      </c>
      <c r="S262" t="s">
        <v>28</v>
      </c>
    </row>
    <row r="263" spans="1:19">
      <c r="A263" t="s">
        <v>474</v>
      </c>
      <c r="B263" t="s">
        <v>827</v>
      </c>
      <c r="C263" t="s">
        <v>46</v>
      </c>
      <c r="D263" t="s">
        <v>345</v>
      </c>
      <c r="E263" t="s">
        <v>476</v>
      </c>
      <c r="F263">
        <v>46</v>
      </c>
      <c r="G263" t="s">
        <v>24</v>
      </c>
      <c r="H263" t="s">
        <v>828</v>
      </c>
      <c r="I263">
        <f>880-1812-789012</f>
        <v>-789944</v>
      </c>
      <c r="J263" s="1">
        <v>43842</v>
      </c>
      <c r="K263" s="1">
        <v>45302</v>
      </c>
      <c r="L263">
        <v>76700.25</v>
      </c>
      <c r="M263">
        <v>32000.400000000001</v>
      </c>
      <c r="N263">
        <v>680</v>
      </c>
      <c r="O263">
        <v>126000</v>
      </c>
      <c r="P263" t="s">
        <v>26</v>
      </c>
      <c r="Q263" t="s">
        <v>27</v>
      </c>
      <c r="R263">
        <v>0</v>
      </c>
      <c r="S263" t="s">
        <v>28</v>
      </c>
    </row>
    <row r="264" spans="1:19">
      <c r="A264" t="s">
        <v>592</v>
      </c>
      <c r="B264" t="s">
        <v>829</v>
      </c>
      <c r="C264" t="s">
        <v>84</v>
      </c>
      <c r="D264" t="s">
        <v>32</v>
      </c>
      <c r="E264" t="s">
        <v>90</v>
      </c>
      <c r="F264">
        <v>26</v>
      </c>
      <c r="G264" t="s">
        <v>34</v>
      </c>
      <c r="H264" t="s">
        <v>830</v>
      </c>
      <c r="I264">
        <f>81-90-9012-3456</f>
        <v>-12477</v>
      </c>
      <c r="J264" s="1">
        <v>45221</v>
      </c>
      <c r="K264" s="1">
        <v>45304</v>
      </c>
      <c r="L264">
        <v>2250.4</v>
      </c>
      <c r="M264">
        <v>9800.75</v>
      </c>
      <c r="N264">
        <v>610</v>
      </c>
      <c r="O264">
        <v>22000</v>
      </c>
      <c r="P264" t="s">
        <v>76</v>
      </c>
      <c r="Q264" t="s">
        <v>43</v>
      </c>
      <c r="R264">
        <v>0</v>
      </c>
      <c r="S264" t="s">
        <v>28</v>
      </c>
    </row>
    <row r="265" spans="1:19">
      <c r="A265" t="s">
        <v>595</v>
      </c>
      <c r="B265" t="s">
        <v>831</v>
      </c>
      <c r="C265" t="s">
        <v>21</v>
      </c>
      <c r="D265" t="s">
        <v>209</v>
      </c>
      <c r="E265" t="s">
        <v>210</v>
      </c>
      <c r="F265">
        <v>58</v>
      </c>
      <c r="G265" t="s">
        <v>24</v>
      </c>
      <c r="H265" t="s">
        <v>832</v>
      </c>
      <c r="I265">
        <f>52-55-6789-123</f>
        <v>-6915</v>
      </c>
      <c r="J265" s="1">
        <v>42986</v>
      </c>
      <c r="K265" s="1">
        <v>45299</v>
      </c>
      <c r="L265">
        <v>287900.79999999999</v>
      </c>
      <c r="M265">
        <v>81000.25</v>
      </c>
      <c r="N265">
        <v>825</v>
      </c>
      <c r="O265">
        <v>278000</v>
      </c>
      <c r="P265" t="s">
        <v>36</v>
      </c>
      <c r="Q265" t="s">
        <v>27</v>
      </c>
      <c r="R265">
        <v>0</v>
      </c>
      <c r="S265" t="s">
        <v>28</v>
      </c>
    </row>
    <row r="266" spans="1:19">
      <c r="A266" t="s">
        <v>226</v>
      </c>
      <c r="B266" t="s">
        <v>833</v>
      </c>
      <c r="C266" t="s">
        <v>57</v>
      </c>
      <c r="D266" t="s">
        <v>228</v>
      </c>
      <c r="E266" t="s">
        <v>229</v>
      </c>
      <c r="F266">
        <v>33</v>
      </c>
      <c r="G266" t="s">
        <v>34</v>
      </c>
      <c r="H266" t="s">
        <v>834</v>
      </c>
      <c r="I266">
        <f>254-727-890-123</f>
        <v>-1486</v>
      </c>
      <c r="J266" s="1">
        <v>44740</v>
      </c>
      <c r="K266" s="1">
        <v>45305</v>
      </c>
      <c r="L266">
        <v>15600.75</v>
      </c>
      <c r="M266">
        <v>6400.4</v>
      </c>
      <c r="N266">
        <v>725</v>
      </c>
      <c r="O266">
        <v>54000</v>
      </c>
      <c r="P266" t="s">
        <v>36</v>
      </c>
      <c r="Q266" t="s">
        <v>27</v>
      </c>
      <c r="R266">
        <v>0</v>
      </c>
      <c r="S266" t="s">
        <v>28</v>
      </c>
    </row>
    <row r="267" spans="1:19">
      <c r="A267" t="s">
        <v>488</v>
      </c>
      <c r="B267" t="s">
        <v>835</v>
      </c>
      <c r="C267" t="s">
        <v>39</v>
      </c>
      <c r="D267" t="s">
        <v>304</v>
      </c>
      <c r="E267" t="s">
        <v>304</v>
      </c>
      <c r="F267">
        <v>50</v>
      </c>
      <c r="G267" t="s">
        <v>24</v>
      </c>
      <c r="H267" t="s">
        <v>836</v>
      </c>
      <c r="I267">
        <f>65-8678-9012</f>
        <v>-17625</v>
      </c>
      <c r="J267" s="1">
        <v>43487</v>
      </c>
      <c r="K267" s="1">
        <v>45300</v>
      </c>
      <c r="L267">
        <v>168100.6</v>
      </c>
      <c r="M267">
        <v>81000.899999999994</v>
      </c>
      <c r="N267">
        <v>675</v>
      </c>
      <c r="O267">
        <v>178000</v>
      </c>
      <c r="P267" t="s">
        <v>76</v>
      </c>
      <c r="Q267" t="s">
        <v>27</v>
      </c>
      <c r="R267">
        <v>0</v>
      </c>
      <c r="S267" t="s">
        <v>28</v>
      </c>
    </row>
    <row r="268" spans="1:19">
      <c r="A268" t="s">
        <v>491</v>
      </c>
      <c r="B268" t="s">
        <v>837</v>
      </c>
      <c r="C268" t="s">
        <v>52</v>
      </c>
      <c r="D268" t="s">
        <v>493</v>
      </c>
      <c r="E268" t="s">
        <v>494</v>
      </c>
      <c r="F268">
        <v>41</v>
      </c>
      <c r="G268" t="s">
        <v>34</v>
      </c>
      <c r="H268" t="s">
        <v>838</v>
      </c>
      <c r="I268">
        <f>30-695-678-9012</f>
        <v>-10355</v>
      </c>
      <c r="J268" s="1">
        <v>44242</v>
      </c>
      <c r="K268" s="1">
        <v>45302</v>
      </c>
      <c r="L268">
        <v>43100.4</v>
      </c>
      <c r="M268">
        <v>17800.25</v>
      </c>
      <c r="N268">
        <v>705</v>
      </c>
      <c r="O268">
        <v>86000</v>
      </c>
      <c r="P268" t="s">
        <v>26</v>
      </c>
      <c r="Q268" t="s">
        <v>27</v>
      </c>
      <c r="R268">
        <v>0</v>
      </c>
      <c r="S268" t="s">
        <v>28</v>
      </c>
    </row>
    <row r="269" spans="1:19">
      <c r="A269" t="s">
        <v>496</v>
      </c>
      <c r="B269" t="s">
        <v>839</v>
      </c>
      <c r="C269" t="s">
        <v>46</v>
      </c>
      <c r="D269" t="s">
        <v>321</v>
      </c>
      <c r="E269" t="s">
        <v>498</v>
      </c>
      <c r="F269">
        <v>44</v>
      </c>
      <c r="G269" t="s">
        <v>24</v>
      </c>
      <c r="H269" t="s">
        <v>840</v>
      </c>
      <c r="I269">
        <f>61-427-890-123</f>
        <v>-1379</v>
      </c>
      <c r="J269" s="1">
        <v>43720</v>
      </c>
      <c r="K269" s="1">
        <v>45301</v>
      </c>
      <c r="L269">
        <v>90000.75</v>
      </c>
      <c r="M269">
        <v>38900.800000000003</v>
      </c>
      <c r="N269">
        <v>730</v>
      </c>
      <c r="O269">
        <v>152000</v>
      </c>
      <c r="P269" t="s">
        <v>26</v>
      </c>
      <c r="Q269" t="s">
        <v>27</v>
      </c>
      <c r="R269">
        <v>0</v>
      </c>
      <c r="S269" t="s">
        <v>28</v>
      </c>
    </row>
    <row r="270" spans="1:19">
      <c r="A270" t="s">
        <v>324</v>
      </c>
      <c r="B270" t="s">
        <v>841</v>
      </c>
      <c r="C270" t="s">
        <v>31</v>
      </c>
      <c r="D270" t="s">
        <v>313</v>
      </c>
      <c r="E270" t="s">
        <v>385</v>
      </c>
      <c r="F270">
        <v>29</v>
      </c>
      <c r="G270" t="s">
        <v>34</v>
      </c>
      <c r="H270" t="s">
        <v>842</v>
      </c>
      <c r="I270">
        <f>92-325-5432109</f>
        <v>-5432342</v>
      </c>
      <c r="J270" s="1">
        <v>45099</v>
      </c>
      <c r="K270" s="1">
        <v>45306</v>
      </c>
      <c r="L270">
        <v>9000.9</v>
      </c>
      <c r="M270">
        <v>5400.75</v>
      </c>
      <c r="N270">
        <v>685</v>
      </c>
      <c r="O270">
        <v>39000</v>
      </c>
      <c r="P270" t="s">
        <v>26</v>
      </c>
      <c r="Q270" t="s">
        <v>43</v>
      </c>
      <c r="R270">
        <v>0</v>
      </c>
      <c r="S270" t="s">
        <v>28</v>
      </c>
    </row>
    <row r="271" spans="1:19">
      <c r="A271" t="s">
        <v>503</v>
      </c>
      <c r="B271" t="s">
        <v>843</v>
      </c>
      <c r="C271" t="s">
        <v>21</v>
      </c>
      <c r="D271" t="s">
        <v>32</v>
      </c>
      <c r="E271" t="s">
        <v>33</v>
      </c>
      <c r="F271">
        <v>61</v>
      </c>
      <c r="G271" t="s">
        <v>24</v>
      </c>
      <c r="H271" t="s">
        <v>844</v>
      </c>
      <c r="I271">
        <f>81-80-5678-9012</f>
        <v>-14689</v>
      </c>
      <c r="J271" s="1">
        <v>42719</v>
      </c>
      <c r="K271" s="1">
        <v>45299</v>
      </c>
      <c r="L271">
        <v>298800.25</v>
      </c>
      <c r="M271">
        <v>85000.4</v>
      </c>
      <c r="N271">
        <v>840</v>
      </c>
      <c r="O271">
        <v>293000</v>
      </c>
      <c r="P271" t="s">
        <v>36</v>
      </c>
      <c r="Q271" t="s">
        <v>27</v>
      </c>
      <c r="R271">
        <v>0</v>
      </c>
      <c r="S271" t="s">
        <v>28</v>
      </c>
    </row>
    <row r="272" spans="1:19">
      <c r="A272" t="s">
        <v>506</v>
      </c>
      <c r="B272" t="s">
        <v>845</v>
      </c>
      <c r="C272" t="s">
        <v>39</v>
      </c>
      <c r="D272" t="s">
        <v>68</v>
      </c>
      <c r="E272" t="s">
        <v>69</v>
      </c>
      <c r="F272">
        <v>53</v>
      </c>
      <c r="G272" t="s">
        <v>34</v>
      </c>
      <c r="H272" t="s">
        <v>846</v>
      </c>
      <c r="I272">
        <f>234-817-890-1234</f>
        <v>-2707</v>
      </c>
      <c r="J272" s="1">
        <v>43242</v>
      </c>
      <c r="K272" s="1">
        <v>45300</v>
      </c>
      <c r="L272">
        <v>179200.4</v>
      </c>
      <c r="M272">
        <v>85000.75</v>
      </c>
      <c r="N272">
        <v>650</v>
      </c>
      <c r="O272">
        <v>188000</v>
      </c>
      <c r="P272" t="s">
        <v>76</v>
      </c>
      <c r="Q272" t="s">
        <v>27</v>
      </c>
      <c r="R272">
        <v>0</v>
      </c>
      <c r="S272" t="s">
        <v>28</v>
      </c>
    </row>
    <row r="273" spans="1:19">
      <c r="A273" t="s">
        <v>509</v>
      </c>
      <c r="B273" t="s">
        <v>847</v>
      </c>
      <c r="C273" t="s">
        <v>46</v>
      </c>
      <c r="D273" t="s">
        <v>73</v>
      </c>
      <c r="E273" t="s">
        <v>74</v>
      </c>
      <c r="F273">
        <v>40</v>
      </c>
      <c r="G273" t="s">
        <v>24</v>
      </c>
      <c r="H273" t="s">
        <v>848</v>
      </c>
      <c r="I273">
        <f>49-179-123456</f>
        <v>-123586</v>
      </c>
      <c r="J273" s="1">
        <v>44467</v>
      </c>
      <c r="K273" s="1">
        <v>45303</v>
      </c>
      <c r="L273">
        <v>77800.399999999994</v>
      </c>
      <c r="M273">
        <v>33100.25</v>
      </c>
      <c r="N273">
        <v>745</v>
      </c>
      <c r="O273">
        <v>132000</v>
      </c>
      <c r="P273" t="s">
        <v>26</v>
      </c>
      <c r="Q273" t="s">
        <v>27</v>
      </c>
      <c r="R273">
        <v>0</v>
      </c>
      <c r="S273" t="s">
        <v>28</v>
      </c>
    </row>
    <row r="274" spans="1:19">
      <c r="A274" t="s">
        <v>513</v>
      </c>
      <c r="B274" t="s">
        <v>849</v>
      </c>
      <c r="C274" t="s">
        <v>57</v>
      </c>
      <c r="D274" t="s">
        <v>58</v>
      </c>
      <c r="E274" t="s">
        <v>122</v>
      </c>
      <c r="F274">
        <v>35</v>
      </c>
      <c r="G274" t="s">
        <v>34</v>
      </c>
      <c r="H274" t="s">
        <v>850</v>
      </c>
      <c r="I274">
        <f>86-137-123-4567</f>
        <v>-4741</v>
      </c>
      <c r="J274" s="1">
        <v>44642</v>
      </c>
      <c r="K274" s="1">
        <v>45302</v>
      </c>
      <c r="L274">
        <v>17800.8</v>
      </c>
      <c r="M274">
        <v>7600.9</v>
      </c>
      <c r="N274">
        <v>765</v>
      </c>
      <c r="O274">
        <v>64000</v>
      </c>
      <c r="P274" t="s">
        <v>36</v>
      </c>
      <c r="Q274" t="s">
        <v>27</v>
      </c>
      <c r="R274">
        <v>0</v>
      </c>
      <c r="S274" t="s">
        <v>28</v>
      </c>
    </row>
    <row r="275" spans="1:19">
      <c r="A275" t="s">
        <v>516</v>
      </c>
      <c r="B275" t="s">
        <v>851</v>
      </c>
      <c r="C275" t="s">
        <v>52</v>
      </c>
      <c r="D275" t="s">
        <v>277</v>
      </c>
      <c r="E275" t="s">
        <v>278</v>
      </c>
      <c r="F275">
        <v>48</v>
      </c>
      <c r="G275" t="s">
        <v>24</v>
      </c>
      <c r="H275" t="s">
        <v>852</v>
      </c>
      <c r="I275">
        <f>20-100-765-4321</f>
        <v>-5166</v>
      </c>
      <c r="J275" s="1">
        <v>43889</v>
      </c>
      <c r="K275" s="1">
        <v>45301</v>
      </c>
      <c r="L275">
        <v>51100.75</v>
      </c>
      <c r="M275">
        <v>24200.400000000001</v>
      </c>
      <c r="N275">
        <v>675</v>
      </c>
      <c r="O275">
        <v>104000</v>
      </c>
      <c r="P275" t="s">
        <v>26</v>
      </c>
      <c r="Q275" t="s">
        <v>27</v>
      </c>
      <c r="R275">
        <v>0</v>
      </c>
      <c r="S275" t="s">
        <v>28</v>
      </c>
    </row>
    <row r="276" spans="1:19">
      <c r="A276" t="s">
        <v>519</v>
      </c>
      <c r="B276" t="s">
        <v>853</v>
      </c>
      <c r="C276" t="s">
        <v>84</v>
      </c>
      <c r="D276" t="s">
        <v>183</v>
      </c>
      <c r="E276" t="s">
        <v>184</v>
      </c>
      <c r="F276">
        <v>27</v>
      </c>
      <c r="G276" t="s">
        <v>34</v>
      </c>
      <c r="H276" t="s">
        <v>854</v>
      </c>
      <c r="I276">
        <f>33-6-7890-1234</f>
        <v>-9097</v>
      </c>
      <c r="J276" s="1">
        <v>45238</v>
      </c>
      <c r="K276" s="1">
        <v>45304</v>
      </c>
      <c r="L276">
        <v>2500.25</v>
      </c>
      <c r="M276">
        <v>11000.6</v>
      </c>
      <c r="N276">
        <v>615</v>
      </c>
      <c r="O276">
        <v>24000</v>
      </c>
      <c r="P276" t="s">
        <v>76</v>
      </c>
      <c r="Q276" t="s">
        <v>43</v>
      </c>
      <c r="R276">
        <v>0</v>
      </c>
      <c r="S276" t="s">
        <v>28</v>
      </c>
    </row>
    <row r="277" spans="1:19">
      <c r="A277" t="s">
        <v>522</v>
      </c>
      <c r="B277" t="s">
        <v>855</v>
      </c>
      <c r="C277" t="s">
        <v>39</v>
      </c>
      <c r="D277" t="s">
        <v>40</v>
      </c>
      <c r="E277" t="s">
        <v>94</v>
      </c>
      <c r="F277">
        <v>55</v>
      </c>
      <c r="G277" t="s">
        <v>24</v>
      </c>
      <c r="H277" t="s">
        <v>856</v>
      </c>
      <c r="I277">
        <f>91-987-654-3210</f>
        <v>-4760</v>
      </c>
      <c r="J277" s="1">
        <v>43208</v>
      </c>
      <c r="K277" s="1">
        <v>45299</v>
      </c>
      <c r="L277">
        <v>213800.8</v>
      </c>
      <c r="M277">
        <v>98000.25</v>
      </c>
      <c r="N277">
        <v>660</v>
      </c>
      <c r="O277">
        <v>223000</v>
      </c>
      <c r="P277" t="s">
        <v>76</v>
      </c>
      <c r="Q277" t="s">
        <v>27</v>
      </c>
      <c r="R277">
        <v>0</v>
      </c>
      <c r="S277" t="s">
        <v>28</v>
      </c>
    </row>
    <row r="278" spans="1:19">
      <c r="A278" t="s">
        <v>306</v>
      </c>
      <c r="B278" t="s">
        <v>857</v>
      </c>
      <c r="C278" t="s">
        <v>46</v>
      </c>
      <c r="D278" t="s">
        <v>209</v>
      </c>
      <c r="E278" t="s">
        <v>447</v>
      </c>
      <c r="F278">
        <v>42</v>
      </c>
      <c r="G278" t="s">
        <v>34</v>
      </c>
      <c r="H278" t="s">
        <v>858</v>
      </c>
      <c r="I278">
        <f>52-33-3456-7890</f>
        <v>-11327</v>
      </c>
      <c r="J278" s="1">
        <v>44065</v>
      </c>
      <c r="K278" s="1">
        <v>45302</v>
      </c>
      <c r="L278">
        <v>72200.899999999994</v>
      </c>
      <c r="M278">
        <v>30000.75</v>
      </c>
      <c r="N278">
        <v>730</v>
      </c>
      <c r="O278">
        <v>127000</v>
      </c>
      <c r="P278" t="s">
        <v>26</v>
      </c>
      <c r="Q278" t="s">
        <v>27</v>
      </c>
      <c r="R278">
        <v>0</v>
      </c>
      <c r="S278" t="s">
        <v>28</v>
      </c>
    </row>
    <row r="279" spans="1:19">
      <c r="A279" t="s">
        <v>527</v>
      </c>
      <c r="B279" t="s">
        <v>859</v>
      </c>
      <c r="C279" t="s">
        <v>31</v>
      </c>
      <c r="D279" t="s">
        <v>32</v>
      </c>
      <c r="E279" t="s">
        <v>90</v>
      </c>
      <c r="F279">
        <v>31</v>
      </c>
      <c r="G279" t="s">
        <v>34</v>
      </c>
      <c r="H279" t="s">
        <v>860</v>
      </c>
      <c r="I279">
        <f>81-90-6789-123</f>
        <v>-6921</v>
      </c>
      <c r="J279" s="1">
        <v>45119</v>
      </c>
      <c r="K279" s="1">
        <v>45305</v>
      </c>
      <c r="L279">
        <v>10100.4</v>
      </c>
      <c r="M279">
        <v>6000.25</v>
      </c>
      <c r="N279">
        <v>705</v>
      </c>
      <c r="O279">
        <v>41000</v>
      </c>
      <c r="P279" t="s">
        <v>26</v>
      </c>
      <c r="Q279" t="s">
        <v>43</v>
      </c>
      <c r="R279">
        <v>0</v>
      </c>
      <c r="S279" t="s">
        <v>28</v>
      </c>
    </row>
    <row r="280" spans="1:19">
      <c r="A280" t="s">
        <v>530</v>
      </c>
      <c r="B280" t="s">
        <v>861</v>
      </c>
      <c r="C280" t="s">
        <v>57</v>
      </c>
      <c r="D280" t="s">
        <v>219</v>
      </c>
      <c r="E280" t="s">
        <v>220</v>
      </c>
      <c r="F280">
        <v>36</v>
      </c>
      <c r="G280" t="s">
        <v>24</v>
      </c>
      <c r="H280" t="s">
        <v>862</v>
      </c>
      <c r="I280">
        <f>233-58-901-2345</f>
        <v>-3071</v>
      </c>
      <c r="J280" s="1">
        <v>44604</v>
      </c>
      <c r="K280" s="1">
        <v>45303</v>
      </c>
      <c r="L280">
        <v>16700.599999999999</v>
      </c>
      <c r="M280">
        <v>7000.8</v>
      </c>
      <c r="N280">
        <v>710</v>
      </c>
      <c r="O280">
        <v>57000</v>
      </c>
      <c r="P280" t="s">
        <v>36</v>
      </c>
      <c r="Q280" t="s">
        <v>27</v>
      </c>
      <c r="R280">
        <v>0</v>
      </c>
      <c r="S280" t="s">
        <v>28</v>
      </c>
    </row>
    <row r="281" spans="1:19">
      <c r="A281" t="s">
        <v>533</v>
      </c>
      <c r="B281" t="s">
        <v>863</v>
      </c>
      <c r="C281" t="s">
        <v>52</v>
      </c>
      <c r="D281" t="s">
        <v>204</v>
      </c>
      <c r="E281" t="s">
        <v>205</v>
      </c>
      <c r="F281">
        <v>43</v>
      </c>
      <c r="G281" t="s">
        <v>34</v>
      </c>
      <c r="H281" t="s">
        <v>864</v>
      </c>
      <c r="I281">
        <f>7-915-543-21-9</f>
        <v>-1481</v>
      </c>
      <c r="J281" s="1">
        <v>43912</v>
      </c>
      <c r="K281" s="1">
        <v>45301</v>
      </c>
      <c r="L281">
        <v>48000.25</v>
      </c>
      <c r="M281">
        <v>21100.9</v>
      </c>
      <c r="N281">
        <v>695</v>
      </c>
      <c r="O281">
        <v>92000</v>
      </c>
      <c r="P281" t="s">
        <v>26</v>
      </c>
      <c r="Q281" t="s">
        <v>27</v>
      </c>
      <c r="R281">
        <v>0</v>
      </c>
      <c r="S281" t="s">
        <v>28</v>
      </c>
    </row>
    <row r="282" spans="1:19">
      <c r="A282" t="s">
        <v>536</v>
      </c>
      <c r="B282" t="s">
        <v>865</v>
      </c>
      <c r="C282" t="s">
        <v>39</v>
      </c>
      <c r="D282" t="s">
        <v>195</v>
      </c>
      <c r="E282" t="s">
        <v>300</v>
      </c>
      <c r="F282">
        <v>51</v>
      </c>
      <c r="G282" t="s">
        <v>24</v>
      </c>
      <c r="H282" t="s">
        <v>866</v>
      </c>
      <c r="I282">
        <f>353-90-890-1234</f>
        <v>-1861</v>
      </c>
      <c r="J282" s="1">
        <v>43358</v>
      </c>
      <c r="K282" s="1">
        <v>45300</v>
      </c>
      <c r="L282">
        <v>146000.4</v>
      </c>
      <c r="M282">
        <v>72000.600000000006</v>
      </c>
      <c r="N282">
        <v>670</v>
      </c>
      <c r="O282">
        <v>159000</v>
      </c>
      <c r="P282" t="s">
        <v>76</v>
      </c>
      <c r="Q282" t="s">
        <v>27</v>
      </c>
      <c r="R282">
        <v>0</v>
      </c>
      <c r="S282" t="s">
        <v>28</v>
      </c>
    </row>
    <row r="283" spans="1:19">
      <c r="A283" t="s">
        <v>539</v>
      </c>
      <c r="B283" t="s">
        <v>867</v>
      </c>
      <c r="C283" t="s">
        <v>21</v>
      </c>
      <c r="D283" t="s">
        <v>58</v>
      </c>
      <c r="E283" t="s">
        <v>59</v>
      </c>
      <c r="F283">
        <v>59</v>
      </c>
      <c r="G283" t="s">
        <v>34</v>
      </c>
      <c r="H283" t="s">
        <v>868</v>
      </c>
      <c r="I283">
        <f>86-139-7890-1234</f>
        <v>-9177</v>
      </c>
      <c r="J283" s="1">
        <v>42928</v>
      </c>
      <c r="K283" s="1">
        <v>45299</v>
      </c>
      <c r="L283">
        <v>312900.75</v>
      </c>
      <c r="M283">
        <v>89000.8</v>
      </c>
      <c r="N283">
        <v>835</v>
      </c>
      <c r="O283">
        <v>304000</v>
      </c>
      <c r="P283" t="s">
        <v>36</v>
      </c>
      <c r="Q283" t="s">
        <v>27</v>
      </c>
      <c r="R283">
        <v>0</v>
      </c>
      <c r="S283" t="s">
        <v>28</v>
      </c>
    </row>
    <row r="284" spans="1:19">
      <c r="A284" t="s">
        <v>542</v>
      </c>
      <c r="B284" t="s">
        <v>869</v>
      </c>
      <c r="C284" t="s">
        <v>52</v>
      </c>
      <c r="D284" t="s">
        <v>68</v>
      </c>
      <c r="E284" t="s">
        <v>114</v>
      </c>
      <c r="F284">
        <v>46</v>
      </c>
      <c r="G284" t="s">
        <v>34</v>
      </c>
      <c r="H284" t="s">
        <v>870</v>
      </c>
      <c r="I284">
        <f>234-818-901-2345</f>
        <v>-3830</v>
      </c>
      <c r="J284" s="1">
        <v>43876</v>
      </c>
      <c r="K284" s="1">
        <v>45302</v>
      </c>
      <c r="L284">
        <v>56700.6</v>
      </c>
      <c r="M284">
        <v>26700.25</v>
      </c>
      <c r="N284">
        <v>665</v>
      </c>
      <c r="O284">
        <v>112000</v>
      </c>
      <c r="P284" t="s">
        <v>26</v>
      </c>
      <c r="Q284" t="s">
        <v>27</v>
      </c>
      <c r="R284">
        <v>0</v>
      </c>
      <c r="S284" t="s">
        <v>28</v>
      </c>
    </row>
    <row r="285" spans="1:19">
      <c r="A285" t="s">
        <v>545</v>
      </c>
      <c r="B285" t="s">
        <v>871</v>
      </c>
      <c r="C285" t="s">
        <v>46</v>
      </c>
      <c r="D285" t="s">
        <v>241</v>
      </c>
      <c r="E285" t="s">
        <v>242</v>
      </c>
      <c r="F285">
        <v>38</v>
      </c>
      <c r="G285" t="s">
        <v>24</v>
      </c>
      <c r="H285" t="s">
        <v>872</v>
      </c>
      <c r="I285">
        <f>39-352-678-9012</f>
        <v>-10003</v>
      </c>
      <c r="J285" s="1">
        <v>44508</v>
      </c>
      <c r="K285" s="1">
        <v>45303</v>
      </c>
      <c r="L285">
        <v>80000.800000000003</v>
      </c>
      <c r="M285">
        <v>34200.400000000001</v>
      </c>
      <c r="N285">
        <v>750</v>
      </c>
      <c r="O285">
        <v>138000</v>
      </c>
      <c r="P285" t="s">
        <v>26</v>
      </c>
      <c r="Q285" t="s">
        <v>27</v>
      </c>
      <c r="R285">
        <v>0</v>
      </c>
      <c r="S285" t="s">
        <v>28</v>
      </c>
    </row>
    <row r="286" spans="1:19">
      <c r="A286" t="s">
        <v>548</v>
      </c>
      <c r="B286" t="s">
        <v>873</v>
      </c>
      <c r="C286" t="s">
        <v>57</v>
      </c>
      <c r="D286" t="s">
        <v>22</v>
      </c>
      <c r="E286" t="s">
        <v>381</v>
      </c>
      <c r="F286">
        <v>34</v>
      </c>
      <c r="G286" t="s">
        <v>34</v>
      </c>
      <c r="H286" t="s">
        <v>874</v>
      </c>
      <c r="I286">
        <f>1-415-555-194</f>
        <v>-1163</v>
      </c>
      <c r="J286" s="1">
        <v>44703</v>
      </c>
      <c r="K286" s="1">
        <v>45305</v>
      </c>
      <c r="L286">
        <v>18900.900000000001</v>
      </c>
      <c r="M286">
        <v>8000.75</v>
      </c>
      <c r="N286">
        <v>770</v>
      </c>
      <c r="O286">
        <v>69000</v>
      </c>
      <c r="P286" t="s">
        <v>36</v>
      </c>
      <c r="Q286" t="s">
        <v>27</v>
      </c>
      <c r="R286">
        <v>0</v>
      </c>
      <c r="S286" t="s">
        <v>28</v>
      </c>
    </row>
    <row r="287" spans="1:19">
      <c r="A287" t="s">
        <v>551</v>
      </c>
      <c r="B287" t="s">
        <v>875</v>
      </c>
      <c r="C287" t="s">
        <v>39</v>
      </c>
      <c r="D287" t="s">
        <v>313</v>
      </c>
      <c r="E287" t="s">
        <v>501</v>
      </c>
      <c r="F287">
        <v>57</v>
      </c>
      <c r="G287" t="s">
        <v>24</v>
      </c>
      <c r="H287" t="s">
        <v>876</v>
      </c>
      <c r="I287">
        <f>92-304-5432109</f>
        <v>-5432321</v>
      </c>
      <c r="J287" s="1">
        <v>43097</v>
      </c>
      <c r="K287" s="1">
        <v>45299</v>
      </c>
      <c r="L287">
        <v>199100.25</v>
      </c>
      <c r="M287">
        <v>93000.8</v>
      </c>
      <c r="N287">
        <v>645</v>
      </c>
      <c r="O287">
        <v>209000</v>
      </c>
      <c r="P287" t="s">
        <v>76</v>
      </c>
      <c r="Q287" t="s">
        <v>27</v>
      </c>
      <c r="R287">
        <v>0</v>
      </c>
      <c r="S287" t="s">
        <v>28</v>
      </c>
    </row>
    <row r="288" spans="1:19">
      <c r="A288" t="s">
        <v>554</v>
      </c>
      <c r="B288" t="s">
        <v>877</v>
      </c>
      <c r="C288" t="s">
        <v>31</v>
      </c>
      <c r="D288" t="s">
        <v>214</v>
      </c>
      <c r="E288" t="s">
        <v>483</v>
      </c>
      <c r="F288">
        <v>30</v>
      </c>
      <c r="G288" t="s">
        <v>34</v>
      </c>
      <c r="H288" t="s">
        <v>878</v>
      </c>
      <c r="I288">
        <f>34-627-890-123</f>
        <v>-1606</v>
      </c>
      <c r="J288" s="1">
        <v>45146</v>
      </c>
      <c r="K288" s="1">
        <v>45306</v>
      </c>
      <c r="L288">
        <v>14200.5</v>
      </c>
      <c r="M288">
        <v>7600.4</v>
      </c>
      <c r="N288">
        <v>720</v>
      </c>
      <c r="O288">
        <v>46000</v>
      </c>
      <c r="P288" t="s">
        <v>36</v>
      </c>
      <c r="Q288" t="s">
        <v>27</v>
      </c>
      <c r="R288">
        <v>0</v>
      </c>
      <c r="S288" t="s">
        <v>28</v>
      </c>
    </row>
    <row r="289" spans="1:19">
      <c r="A289" t="s">
        <v>108</v>
      </c>
      <c r="B289" t="s">
        <v>879</v>
      </c>
      <c r="C289" t="s">
        <v>84</v>
      </c>
      <c r="D289" t="s">
        <v>32</v>
      </c>
      <c r="E289" t="s">
        <v>33</v>
      </c>
      <c r="F289">
        <v>26</v>
      </c>
      <c r="G289" t="s">
        <v>24</v>
      </c>
      <c r="H289" t="s">
        <v>880</v>
      </c>
      <c r="I289">
        <f>81-90-9012-3456</f>
        <v>-12477</v>
      </c>
      <c r="J289" s="1">
        <v>45275</v>
      </c>
      <c r="K289" s="1">
        <v>45304</v>
      </c>
      <c r="L289">
        <v>2250.8000000000002</v>
      </c>
      <c r="M289">
        <v>9400.25</v>
      </c>
      <c r="N289">
        <v>605</v>
      </c>
      <c r="O289">
        <v>22000</v>
      </c>
      <c r="P289" t="s">
        <v>76</v>
      </c>
      <c r="Q289" t="s">
        <v>43</v>
      </c>
      <c r="R289">
        <v>0</v>
      </c>
      <c r="S289" t="s">
        <v>28</v>
      </c>
    </row>
    <row r="290" spans="1:19">
      <c r="A290" t="s">
        <v>559</v>
      </c>
      <c r="B290" t="s">
        <v>881</v>
      </c>
      <c r="C290" t="s">
        <v>46</v>
      </c>
      <c r="D290" t="s">
        <v>254</v>
      </c>
      <c r="E290" t="s">
        <v>255</v>
      </c>
      <c r="F290">
        <v>40</v>
      </c>
      <c r="G290" t="s">
        <v>34</v>
      </c>
      <c r="H290" t="s">
        <v>882</v>
      </c>
      <c r="I290">
        <f>221-82-678-9012</f>
        <v>-9551</v>
      </c>
      <c r="J290" s="1">
        <v>44399</v>
      </c>
      <c r="K290" s="1">
        <v>45302</v>
      </c>
      <c r="L290">
        <v>66700.399999999994</v>
      </c>
      <c r="M290">
        <v>28900.75</v>
      </c>
      <c r="N290">
        <v>710</v>
      </c>
      <c r="O290">
        <v>120000</v>
      </c>
      <c r="P290" t="s">
        <v>26</v>
      </c>
      <c r="Q290" t="s">
        <v>27</v>
      </c>
      <c r="R290">
        <v>0</v>
      </c>
      <c r="S290" t="s">
        <v>28</v>
      </c>
    </row>
    <row r="291" spans="1:19">
      <c r="A291" t="s">
        <v>562</v>
      </c>
      <c r="B291" t="s">
        <v>883</v>
      </c>
      <c r="C291" t="s">
        <v>39</v>
      </c>
      <c r="D291" t="s">
        <v>47</v>
      </c>
      <c r="E291" t="s">
        <v>98</v>
      </c>
      <c r="F291">
        <v>54</v>
      </c>
      <c r="G291" t="s">
        <v>24</v>
      </c>
      <c r="H291" t="s">
        <v>884</v>
      </c>
      <c r="I291">
        <f>44-79-9012-3456</f>
        <v>-12503</v>
      </c>
      <c r="J291" s="1">
        <v>43263</v>
      </c>
      <c r="K291" s="1">
        <v>45300</v>
      </c>
      <c r="L291">
        <v>179300.6</v>
      </c>
      <c r="M291">
        <v>86000.25</v>
      </c>
      <c r="N291">
        <v>675</v>
      </c>
      <c r="O291">
        <v>189000</v>
      </c>
      <c r="P291" t="s">
        <v>76</v>
      </c>
      <c r="Q291" t="s">
        <v>27</v>
      </c>
      <c r="R291">
        <v>0</v>
      </c>
      <c r="S291" t="s">
        <v>28</v>
      </c>
    </row>
    <row r="292" spans="1:19">
      <c r="A292" t="s">
        <v>565</v>
      </c>
      <c r="B292" t="s">
        <v>885</v>
      </c>
      <c r="C292" t="s">
        <v>52</v>
      </c>
      <c r="D292" t="s">
        <v>233</v>
      </c>
      <c r="E292" t="s">
        <v>296</v>
      </c>
      <c r="F292">
        <v>39</v>
      </c>
      <c r="G292" t="s">
        <v>34</v>
      </c>
      <c r="H292" t="s">
        <v>886</v>
      </c>
      <c r="I292">
        <f>82-10-8901-2345</f>
        <v>-11174</v>
      </c>
      <c r="J292" s="1">
        <v>44193</v>
      </c>
      <c r="K292" s="1">
        <v>45301</v>
      </c>
      <c r="L292">
        <v>43100.75</v>
      </c>
      <c r="M292">
        <v>20000.8</v>
      </c>
      <c r="N292">
        <v>725</v>
      </c>
      <c r="O292">
        <v>86000</v>
      </c>
      <c r="P292" t="s">
        <v>26</v>
      </c>
      <c r="Q292" t="s">
        <v>27</v>
      </c>
      <c r="R292">
        <v>0</v>
      </c>
      <c r="S292" t="s">
        <v>28</v>
      </c>
    </row>
    <row r="293" spans="1:19">
      <c r="A293" t="s">
        <v>568</v>
      </c>
      <c r="B293" t="s">
        <v>887</v>
      </c>
      <c r="C293" t="s">
        <v>57</v>
      </c>
      <c r="D293" t="s">
        <v>79</v>
      </c>
      <c r="E293" t="s">
        <v>80</v>
      </c>
      <c r="F293">
        <v>37</v>
      </c>
      <c r="G293" t="s">
        <v>24</v>
      </c>
      <c r="H293" t="s">
        <v>888</v>
      </c>
      <c r="I293">
        <f>971-50-12-3456</f>
        <v>-2547</v>
      </c>
      <c r="J293" s="1">
        <v>44638</v>
      </c>
      <c r="K293" s="1">
        <v>45303</v>
      </c>
      <c r="L293">
        <v>21100.400000000001</v>
      </c>
      <c r="M293">
        <v>8800.9</v>
      </c>
      <c r="N293">
        <v>740</v>
      </c>
      <c r="O293">
        <v>72000</v>
      </c>
      <c r="P293" t="s">
        <v>36</v>
      </c>
      <c r="Q293" t="s">
        <v>27</v>
      </c>
      <c r="R293">
        <v>0</v>
      </c>
      <c r="S293" t="s">
        <v>28</v>
      </c>
    </row>
    <row r="294" spans="1:19">
      <c r="A294" t="s">
        <v>571</v>
      </c>
      <c r="B294" t="s">
        <v>889</v>
      </c>
      <c r="C294" t="s">
        <v>21</v>
      </c>
      <c r="D294" t="s">
        <v>63</v>
      </c>
      <c r="E294" t="s">
        <v>106</v>
      </c>
      <c r="F294">
        <v>60</v>
      </c>
      <c r="G294" t="s">
        <v>34</v>
      </c>
      <c r="H294" t="s">
        <v>890</v>
      </c>
      <c r="I294">
        <f>55-21-99012-3456</f>
        <v>-102434</v>
      </c>
      <c r="J294" s="1">
        <v>42799</v>
      </c>
      <c r="K294" s="1">
        <v>45299</v>
      </c>
      <c r="L294">
        <v>268200.90000000002</v>
      </c>
      <c r="M294">
        <v>76000.600000000006</v>
      </c>
      <c r="N294">
        <v>830</v>
      </c>
      <c r="O294">
        <v>284000</v>
      </c>
      <c r="P294" t="s">
        <v>36</v>
      </c>
      <c r="Q294" t="s">
        <v>27</v>
      </c>
      <c r="R294">
        <v>0</v>
      </c>
      <c r="S294" t="s">
        <v>28</v>
      </c>
    </row>
    <row r="295" spans="1:19">
      <c r="A295" t="s">
        <v>574</v>
      </c>
      <c r="B295" t="s">
        <v>891</v>
      </c>
      <c r="C295" t="s">
        <v>39</v>
      </c>
      <c r="D295" t="s">
        <v>68</v>
      </c>
      <c r="E295" t="s">
        <v>69</v>
      </c>
      <c r="F295">
        <v>52</v>
      </c>
      <c r="G295" t="s">
        <v>24</v>
      </c>
      <c r="H295" t="s">
        <v>892</v>
      </c>
      <c r="I295">
        <f>234-819-12-3456</f>
        <v>-4053</v>
      </c>
      <c r="J295" s="1">
        <v>43426</v>
      </c>
      <c r="K295" s="1">
        <v>45300</v>
      </c>
      <c r="L295">
        <v>157100.25</v>
      </c>
      <c r="M295">
        <v>78000.399999999994</v>
      </c>
      <c r="N295">
        <v>655</v>
      </c>
      <c r="O295">
        <v>174000</v>
      </c>
      <c r="P295" t="s">
        <v>76</v>
      </c>
      <c r="Q295" t="s">
        <v>27</v>
      </c>
      <c r="R295">
        <v>0</v>
      </c>
      <c r="S295" t="s">
        <v>28</v>
      </c>
    </row>
    <row r="296" spans="1:19">
      <c r="A296" t="s">
        <v>577</v>
      </c>
      <c r="B296" t="s">
        <v>893</v>
      </c>
      <c r="C296" t="s">
        <v>46</v>
      </c>
      <c r="D296" t="s">
        <v>85</v>
      </c>
      <c r="E296" t="s">
        <v>130</v>
      </c>
      <c r="F296">
        <v>41</v>
      </c>
      <c r="G296" t="s">
        <v>34</v>
      </c>
      <c r="H296" t="s">
        <v>894</v>
      </c>
      <c r="I296">
        <f>1-604-555-198</f>
        <v>-1356</v>
      </c>
      <c r="J296" s="1">
        <v>44314</v>
      </c>
      <c r="K296" s="1">
        <v>45302</v>
      </c>
      <c r="L296">
        <v>85600.6</v>
      </c>
      <c r="M296">
        <v>36900.75</v>
      </c>
      <c r="N296">
        <v>760</v>
      </c>
      <c r="O296">
        <v>143000</v>
      </c>
      <c r="P296" t="s">
        <v>26</v>
      </c>
      <c r="Q296" t="s">
        <v>27</v>
      </c>
      <c r="R296">
        <v>0</v>
      </c>
      <c r="S296" t="s">
        <v>28</v>
      </c>
    </row>
    <row r="297" spans="1:19">
      <c r="A297" t="s">
        <v>458</v>
      </c>
      <c r="B297" t="s">
        <v>895</v>
      </c>
      <c r="C297" t="s">
        <v>31</v>
      </c>
      <c r="D297" t="s">
        <v>460</v>
      </c>
      <c r="E297" t="s">
        <v>663</v>
      </c>
      <c r="F297">
        <v>32</v>
      </c>
      <c r="G297" t="s">
        <v>24</v>
      </c>
      <c r="H297" t="s">
        <v>896</v>
      </c>
      <c r="I297">
        <f>62-816-7890-1234</f>
        <v>-9878</v>
      </c>
      <c r="J297" s="1">
        <v>45082</v>
      </c>
      <c r="K297" s="1">
        <v>45306</v>
      </c>
      <c r="L297">
        <v>10400.25</v>
      </c>
      <c r="M297">
        <v>6100.8</v>
      </c>
      <c r="N297">
        <v>695</v>
      </c>
      <c r="O297">
        <v>43000</v>
      </c>
      <c r="P297" t="s">
        <v>26</v>
      </c>
      <c r="Q297" t="s">
        <v>43</v>
      </c>
      <c r="R297">
        <v>0</v>
      </c>
      <c r="S297" t="s">
        <v>28</v>
      </c>
    </row>
    <row r="298" spans="1:19">
      <c r="A298" t="s">
        <v>582</v>
      </c>
      <c r="B298" t="s">
        <v>897</v>
      </c>
      <c r="C298" t="s">
        <v>57</v>
      </c>
      <c r="D298" t="s">
        <v>22</v>
      </c>
      <c r="E298" t="s">
        <v>23</v>
      </c>
      <c r="F298">
        <v>35</v>
      </c>
      <c r="G298" t="s">
        <v>34</v>
      </c>
      <c r="H298" t="s">
        <v>898</v>
      </c>
      <c r="I298">
        <f>1-646-555-180</f>
        <v>-1380</v>
      </c>
      <c r="J298" s="1">
        <v>44573</v>
      </c>
      <c r="K298" s="1">
        <v>45303</v>
      </c>
      <c r="L298">
        <v>20000.900000000001</v>
      </c>
      <c r="M298">
        <v>8400.25</v>
      </c>
      <c r="N298">
        <v>755</v>
      </c>
      <c r="O298">
        <v>65000</v>
      </c>
      <c r="P298" t="s">
        <v>36</v>
      </c>
      <c r="Q298" t="s">
        <v>27</v>
      </c>
      <c r="R298">
        <v>0</v>
      </c>
      <c r="S298" t="s">
        <v>28</v>
      </c>
    </row>
    <row r="299" spans="1:19">
      <c r="A299" t="s">
        <v>55</v>
      </c>
      <c r="B299" t="s">
        <v>899</v>
      </c>
      <c r="C299" t="s">
        <v>39</v>
      </c>
      <c r="D299" t="s">
        <v>58</v>
      </c>
      <c r="E299" t="s">
        <v>122</v>
      </c>
      <c r="F299">
        <v>53</v>
      </c>
      <c r="G299" t="s">
        <v>24</v>
      </c>
      <c r="H299" t="s">
        <v>900</v>
      </c>
      <c r="I299">
        <f>86-138-1234-5678</f>
        <v>-6964</v>
      </c>
      <c r="J299" s="1">
        <v>43340</v>
      </c>
      <c r="K299" s="1">
        <v>45300</v>
      </c>
      <c r="L299">
        <v>190000.4</v>
      </c>
      <c r="M299">
        <v>91000.75</v>
      </c>
      <c r="N299">
        <v>685</v>
      </c>
      <c r="O299">
        <v>199000</v>
      </c>
      <c r="P299" t="s">
        <v>76</v>
      </c>
      <c r="Q299" t="s">
        <v>27</v>
      </c>
      <c r="R299">
        <v>0</v>
      </c>
      <c r="S299" t="s">
        <v>28</v>
      </c>
    </row>
    <row r="300" spans="1:19">
      <c r="A300" t="s">
        <v>469</v>
      </c>
      <c r="B300" t="s">
        <v>901</v>
      </c>
      <c r="C300" t="s">
        <v>52</v>
      </c>
      <c r="D300" t="s">
        <v>471</v>
      </c>
      <c r="E300" t="s">
        <v>472</v>
      </c>
      <c r="F300">
        <v>44</v>
      </c>
      <c r="G300" t="s">
        <v>34</v>
      </c>
      <c r="H300" t="s">
        <v>902</v>
      </c>
      <c r="I300">
        <f>48-704-678-901</f>
        <v>-2235</v>
      </c>
      <c r="J300" s="1">
        <v>43966</v>
      </c>
      <c r="K300" s="1">
        <v>45301</v>
      </c>
      <c r="L300">
        <v>50000.800000000003</v>
      </c>
      <c r="M300">
        <v>23100.6</v>
      </c>
      <c r="N300">
        <v>715</v>
      </c>
      <c r="O300">
        <v>98000</v>
      </c>
      <c r="P300" t="s">
        <v>26</v>
      </c>
      <c r="Q300" t="s">
        <v>27</v>
      </c>
      <c r="R300">
        <v>0</v>
      </c>
      <c r="S300" t="s">
        <v>28</v>
      </c>
    </row>
    <row r="301" spans="1:19">
      <c r="A301" t="s">
        <v>474</v>
      </c>
      <c r="B301" t="s">
        <v>903</v>
      </c>
      <c r="C301" t="s">
        <v>46</v>
      </c>
      <c r="D301" t="s">
        <v>345</v>
      </c>
      <c r="E301" t="s">
        <v>346</v>
      </c>
      <c r="F301">
        <v>47</v>
      </c>
      <c r="G301" t="s">
        <v>24</v>
      </c>
      <c r="H301" t="s">
        <v>904</v>
      </c>
      <c r="I301">
        <f>880-1812-890123</f>
        <v>-891055</v>
      </c>
      <c r="J301" s="1">
        <v>43883</v>
      </c>
      <c r="K301" s="1">
        <v>45302</v>
      </c>
      <c r="L301">
        <v>77800.25</v>
      </c>
      <c r="M301">
        <v>33100.400000000001</v>
      </c>
      <c r="N301">
        <v>680</v>
      </c>
      <c r="O301">
        <v>127000</v>
      </c>
      <c r="P301" t="s">
        <v>26</v>
      </c>
      <c r="Q301" t="s">
        <v>27</v>
      </c>
      <c r="R301">
        <v>0</v>
      </c>
      <c r="S301" t="s">
        <v>28</v>
      </c>
    </row>
    <row r="302" spans="1:19">
      <c r="A302" t="s">
        <v>592</v>
      </c>
      <c r="B302" t="s">
        <v>905</v>
      </c>
      <c r="C302" t="s">
        <v>84</v>
      </c>
      <c r="D302" t="s">
        <v>32</v>
      </c>
      <c r="E302" t="s">
        <v>90</v>
      </c>
      <c r="F302">
        <v>27</v>
      </c>
      <c r="G302" t="s">
        <v>34</v>
      </c>
      <c r="H302" t="s">
        <v>906</v>
      </c>
      <c r="I302">
        <f>81-90-123-4567</f>
        <v>-4699</v>
      </c>
      <c r="J302" s="1">
        <v>45238</v>
      </c>
      <c r="K302" s="1">
        <v>45304</v>
      </c>
      <c r="L302">
        <v>2350.4</v>
      </c>
      <c r="M302">
        <v>10000.75</v>
      </c>
      <c r="N302">
        <v>610</v>
      </c>
      <c r="O302">
        <v>23000</v>
      </c>
      <c r="P302" t="s">
        <v>76</v>
      </c>
      <c r="Q302" t="s">
        <v>43</v>
      </c>
      <c r="R302">
        <v>0</v>
      </c>
      <c r="S302" t="s">
        <v>28</v>
      </c>
    </row>
    <row r="303" spans="1:19">
      <c r="A303" t="s">
        <v>595</v>
      </c>
      <c r="B303" t="s">
        <v>907</v>
      </c>
      <c r="C303" t="s">
        <v>21</v>
      </c>
      <c r="D303" t="s">
        <v>209</v>
      </c>
      <c r="E303" t="s">
        <v>210</v>
      </c>
      <c r="F303">
        <v>59</v>
      </c>
      <c r="G303" t="s">
        <v>24</v>
      </c>
      <c r="H303" t="s">
        <v>908</v>
      </c>
      <c r="I303">
        <f>52-55-7890-1234</f>
        <v>-9127</v>
      </c>
      <c r="J303" s="1">
        <v>43030</v>
      </c>
      <c r="K303" s="1">
        <v>45299</v>
      </c>
      <c r="L303">
        <v>288000.8</v>
      </c>
      <c r="M303">
        <v>82000.25</v>
      </c>
      <c r="N303">
        <v>825</v>
      </c>
      <c r="O303">
        <v>279000</v>
      </c>
      <c r="P303" t="s">
        <v>36</v>
      </c>
      <c r="Q303" t="s">
        <v>27</v>
      </c>
      <c r="R303">
        <v>0</v>
      </c>
      <c r="S303" t="s">
        <v>28</v>
      </c>
    </row>
    <row r="304" spans="1:19">
      <c r="A304" t="s">
        <v>226</v>
      </c>
      <c r="B304" t="s">
        <v>909</v>
      </c>
      <c r="C304" t="s">
        <v>57</v>
      </c>
      <c r="D304" t="s">
        <v>228</v>
      </c>
      <c r="E304" t="s">
        <v>678</v>
      </c>
      <c r="F304">
        <v>34</v>
      </c>
      <c r="G304" t="s">
        <v>34</v>
      </c>
      <c r="H304" t="s">
        <v>910</v>
      </c>
      <c r="I304">
        <f>254-728-901-234</f>
        <v>-1609</v>
      </c>
      <c r="J304" s="1">
        <v>44760</v>
      </c>
      <c r="K304" s="1">
        <v>45305</v>
      </c>
      <c r="L304">
        <v>16700.75</v>
      </c>
      <c r="M304">
        <v>6800.4</v>
      </c>
      <c r="N304">
        <v>725</v>
      </c>
      <c r="O304">
        <v>55000</v>
      </c>
      <c r="P304" t="s">
        <v>36</v>
      </c>
      <c r="Q304" t="s">
        <v>27</v>
      </c>
      <c r="R304">
        <v>0</v>
      </c>
      <c r="S304" t="s">
        <v>28</v>
      </c>
    </row>
    <row r="305" spans="1:19">
      <c r="A305" t="s">
        <v>488</v>
      </c>
      <c r="B305" t="s">
        <v>911</v>
      </c>
      <c r="C305" t="s">
        <v>39</v>
      </c>
      <c r="D305" t="s">
        <v>304</v>
      </c>
      <c r="E305" t="s">
        <v>304</v>
      </c>
      <c r="F305">
        <v>51</v>
      </c>
      <c r="G305" t="s">
        <v>24</v>
      </c>
      <c r="H305" t="s">
        <v>912</v>
      </c>
      <c r="I305">
        <f>65-8789-123</f>
        <v>-8847</v>
      </c>
      <c r="J305" s="1">
        <v>43524</v>
      </c>
      <c r="K305" s="1">
        <v>45300</v>
      </c>
      <c r="L305">
        <v>168200.6</v>
      </c>
      <c r="M305">
        <v>82000.899999999994</v>
      </c>
      <c r="N305">
        <v>675</v>
      </c>
      <c r="O305">
        <v>179000</v>
      </c>
      <c r="P305" t="s">
        <v>76</v>
      </c>
      <c r="Q305" t="s">
        <v>27</v>
      </c>
      <c r="R305">
        <v>0</v>
      </c>
      <c r="S305" t="s">
        <v>28</v>
      </c>
    </row>
    <row r="306" spans="1:19">
      <c r="A306" t="s">
        <v>491</v>
      </c>
      <c r="B306" t="s">
        <v>913</v>
      </c>
      <c r="C306" t="s">
        <v>52</v>
      </c>
      <c r="D306" t="s">
        <v>493</v>
      </c>
      <c r="E306" t="s">
        <v>494</v>
      </c>
      <c r="F306">
        <v>42</v>
      </c>
      <c r="G306" t="s">
        <v>34</v>
      </c>
      <c r="H306" t="s">
        <v>914</v>
      </c>
      <c r="I306">
        <f>30-696-789-123</f>
        <v>-1578</v>
      </c>
      <c r="J306" s="1">
        <v>44277</v>
      </c>
      <c r="K306" s="1">
        <v>45302</v>
      </c>
      <c r="L306">
        <v>44200.4</v>
      </c>
      <c r="M306">
        <v>18900.25</v>
      </c>
      <c r="N306">
        <v>705</v>
      </c>
      <c r="O306">
        <v>87000</v>
      </c>
      <c r="P306" t="s">
        <v>26</v>
      </c>
      <c r="Q306" t="s">
        <v>27</v>
      </c>
      <c r="R306">
        <v>0</v>
      </c>
      <c r="S306" t="s">
        <v>28</v>
      </c>
    </row>
    <row r="307" spans="1:19">
      <c r="A307" t="s">
        <v>496</v>
      </c>
      <c r="B307" t="s">
        <v>915</v>
      </c>
      <c r="C307" t="s">
        <v>46</v>
      </c>
      <c r="D307" t="s">
        <v>321</v>
      </c>
      <c r="E307" t="s">
        <v>322</v>
      </c>
      <c r="F307">
        <v>45</v>
      </c>
      <c r="G307" t="s">
        <v>24</v>
      </c>
      <c r="H307" t="s">
        <v>916</v>
      </c>
      <c r="I307">
        <f>61-428-901-234</f>
        <v>-1502</v>
      </c>
      <c r="J307" s="1">
        <v>43746</v>
      </c>
      <c r="K307" s="1">
        <v>45301</v>
      </c>
      <c r="L307">
        <v>91100.75</v>
      </c>
      <c r="M307">
        <v>40000.800000000003</v>
      </c>
      <c r="N307">
        <v>730</v>
      </c>
      <c r="O307">
        <v>153000</v>
      </c>
      <c r="P307" t="s">
        <v>26</v>
      </c>
      <c r="Q307" t="s">
        <v>27</v>
      </c>
      <c r="R307">
        <v>0</v>
      </c>
      <c r="S307" t="s">
        <v>28</v>
      </c>
    </row>
    <row r="308" spans="1:19">
      <c r="A308" t="s">
        <v>324</v>
      </c>
      <c r="B308" t="s">
        <v>917</v>
      </c>
      <c r="C308" t="s">
        <v>31</v>
      </c>
      <c r="D308" t="s">
        <v>313</v>
      </c>
      <c r="E308" t="s">
        <v>314</v>
      </c>
      <c r="F308">
        <v>30</v>
      </c>
      <c r="G308" t="s">
        <v>34</v>
      </c>
      <c r="H308" t="s">
        <v>918</v>
      </c>
      <c r="I308">
        <f>92-326-4321098</f>
        <v>-4321332</v>
      </c>
      <c r="J308" s="1">
        <v>45135</v>
      </c>
      <c r="K308" s="1">
        <v>45306</v>
      </c>
      <c r="L308">
        <v>9400.9</v>
      </c>
      <c r="M308">
        <v>5700.75</v>
      </c>
      <c r="N308">
        <v>685</v>
      </c>
      <c r="O308">
        <v>40000</v>
      </c>
      <c r="P308" t="s">
        <v>26</v>
      </c>
      <c r="Q308" t="s">
        <v>43</v>
      </c>
      <c r="R308">
        <v>0</v>
      </c>
      <c r="S308" t="s">
        <v>28</v>
      </c>
    </row>
    <row r="309" spans="1:19">
      <c r="A309" t="s">
        <v>503</v>
      </c>
      <c r="B309" t="s">
        <v>919</v>
      </c>
      <c r="C309" t="s">
        <v>21</v>
      </c>
      <c r="D309" t="s">
        <v>32</v>
      </c>
      <c r="E309" t="s">
        <v>33</v>
      </c>
      <c r="F309">
        <v>62</v>
      </c>
      <c r="G309" t="s">
        <v>24</v>
      </c>
      <c r="H309" t="s">
        <v>920</v>
      </c>
      <c r="I309">
        <f>81-80-6789-123</f>
        <v>-6911</v>
      </c>
      <c r="J309" s="1">
        <v>42753</v>
      </c>
      <c r="K309" s="1">
        <v>45299</v>
      </c>
      <c r="L309">
        <v>298900.25</v>
      </c>
      <c r="M309">
        <v>86000.4</v>
      </c>
      <c r="N309">
        <v>840</v>
      </c>
      <c r="O309">
        <v>294000</v>
      </c>
      <c r="P309" t="s">
        <v>36</v>
      </c>
      <c r="Q309" t="s">
        <v>27</v>
      </c>
      <c r="R309">
        <v>0</v>
      </c>
      <c r="S309" t="s">
        <v>28</v>
      </c>
    </row>
    <row r="310" spans="1:19">
      <c r="A310" t="s">
        <v>506</v>
      </c>
      <c r="B310" t="s">
        <v>921</v>
      </c>
      <c r="C310" t="s">
        <v>39</v>
      </c>
      <c r="D310" t="s">
        <v>68</v>
      </c>
      <c r="E310" t="s">
        <v>179</v>
      </c>
      <c r="F310">
        <v>54</v>
      </c>
      <c r="G310" t="s">
        <v>34</v>
      </c>
      <c r="H310" t="s">
        <v>922</v>
      </c>
      <c r="I310">
        <f>234-818-901-2345</f>
        <v>-3830</v>
      </c>
      <c r="J310" s="1">
        <v>43279</v>
      </c>
      <c r="K310" s="1">
        <v>45300</v>
      </c>
      <c r="L310">
        <v>179300.4</v>
      </c>
      <c r="M310">
        <v>86000.75</v>
      </c>
      <c r="N310">
        <v>650</v>
      </c>
      <c r="O310">
        <v>189000</v>
      </c>
      <c r="P310" t="s">
        <v>76</v>
      </c>
      <c r="Q310" t="s">
        <v>27</v>
      </c>
      <c r="R310">
        <v>0</v>
      </c>
      <c r="S310" t="s">
        <v>28</v>
      </c>
    </row>
    <row r="311" spans="1:19">
      <c r="A311" t="s">
        <v>509</v>
      </c>
      <c r="B311" t="s">
        <v>923</v>
      </c>
      <c r="C311" t="s">
        <v>46</v>
      </c>
      <c r="D311" t="s">
        <v>73</v>
      </c>
      <c r="E311" t="s">
        <v>126</v>
      </c>
      <c r="F311">
        <v>41</v>
      </c>
      <c r="G311" t="s">
        <v>24</v>
      </c>
      <c r="H311" t="s">
        <v>924</v>
      </c>
      <c r="I311">
        <f>49-180-1234567</f>
        <v>-1234698</v>
      </c>
      <c r="J311" s="1">
        <v>44491</v>
      </c>
      <c r="K311" s="1">
        <v>45303</v>
      </c>
      <c r="L311">
        <v>78900.399999999994</v>
      </c>
      <c r="M311">
        <v>34200.25</v>
      </c>
      <c r="N311">
        <v>745</v>
      </c>
      <c r="O311">
        <v>133000</v>
      </c>
      <c r="P311" t="s">
        <v>26</v>
      </c>
      <c r="Q311" t="s">
        <v>27</v>
      </c>
      <c r="R311">
        <v>0</v>
      </c>
      <c r="S311" t="s">
        <v>28</v>
      </c>
    </row>
    <row r="312" spans="1:19">
      <c r="A312" t="s">
        <v>513</v>
      </c>
      <c r="B312" t="s">
        <v>925</v>
      </c>
      <c r="C312" t="s">
        <v>57</v>
      </c>
      <c r="D312" t="s">
        <v>58</v>
      </c>
      <c r="E312" t="s">
        <v>59</v>
      </c>
      <c r="F312">
        <v>36</v>
      </c>
      <c r="G312" t="s">
        <v>34</v>
      </c>
      <c r="H312" t="s">
        <v>926</v>
      </c>
      <c r="I312">
        <f>86-137-1234-5678</f>
        <v>-6963</v>
      </c>
      <c r="J312" s="1">
        <v>44666</v>
      </c>
      <c r="K312" s="1">
        <v>45302</v>
      </c>
      <c r="L312">
        <v>18900.8</v>
      </c>
      <c r="M312">
        <v>8000.9</v>
      </c>
      <c r="N312">
        <v>765</v>
      </c>
      <c r="O312">
        <v>65000</v>
      </c>
      <c r="P312" t="s">
        <v>36</v>
      </c>
      <c r="Q312" t="s">
        <v>27</v>
      </c>
      <c r="R312">
        <v>0</v>
      </c>
      <c r="S312" t="s">
        <v>28</v>
      </c>
    </row>
    <row r="313" spans="1:19">
      <c r="A313" t="s">
        <v>516</v>
      </c>
      <c r="B313" t="s">
        <v>927</v>
      </c>
      <c r="C313" t="s">
        <v>52</v>
      </c>
      <c r="D313" t="s">
        <v>277</v>
      </c>
      <c r="E313" t="s">
        <v>404</v>
      </c>
      <c r="F313">
        <v>49</v>
      </c>
      <c r="G313" t="s">
        <v>24</v>
      </c>
      <c r="H313" t="s">
        <v>928</v>
      </c>
      <c r="I313">
        <f>20-122-654-3210</f>
        <v>-3966</v>
      </c>
      <c r="J313" s="1">
        <v>43929</v>
      </c>
      <c r="K313" s="1">
        <v>45301</v>
      </c>
      <c r="L313">
        <v>52200.75</v>
      </c>
      <c r="M313">
        <v>25300.400000000001</v>
      </c>
      <c r="N313">
        <v>675</v>
      </c>
      <c r="O313">
        <v>105000</v>
      </c>
      <c r="P313" t="s">
        <v>26</v>
      </c>
      <c r="Q313" t="s">
        <v>27</v>
      </c>
      <c r="R313">
        <v>0</v>
      </c>
      <c r="S313" t="s">
        <v>28</v>
      </c>
    </row>
    <row r="314" spans="1:19">
      <c r="A314" t="s">
        <v>519</v>
      </c>
      <c r="B314" t="s">
        <v>929</v>
      </c>
      <c r="C314" t="s">
        <v>84</v>
      </c>
      <c r="D314" t="s">
        <v>183</v>
      </c>
      <c r="E314" t="s">
        <v>273</v>
      </c>
      <c r="F314">
        <v>28</v>
      </c>
      <c r="G314" t="s">
        <v>34</v>
      </c>
      <c r="H314" t="s">
        <v>930</v>
      </c>
      <c r="I314">
        <f>33-6-8901-2345</f>
        <v>-11219</v>
      </c>
      <c r="J314" s="1">
        <v>45272</v>
      </c>
      <c r="K314" s="1">
        <v>45304</v>
      </c>
      <c r="L314">
        <v>2600.25</v>
      </c>
      <c r="M314">
        <v>11200.6</v>
      </c>
      <c r="N314">
        <v>615</v>
      </c>
      <c r="O314">
        <v>25000</v>
      </c>
      <c r="P314" t="s">
        <v>76</v>
      </c>
      <c r="Q314" t="s">
        <v>43</v>
      </c>
      <c r="R314">
        <v>0</v>
      </c>
      <c r="S314" t="s">
        <v>28</v>
      </c>
    </row>
    <row r="315" spans="1:19">
      <c r="A315" t="s">
        <v>522</v>
      </c>
      <c r="B315" t="s">
        <v>931</v>
      </c>
      <c r="C315" t="s">
        <v>39</v>
      </c>
      <c r="D315" t="s">
        <v>40</v>
      </c>
      <c r="E315" t="s">
        <v>41</v>
      </c>
      <c r="F315">
        <v>56</v>
      </c>
      <c r="G315" t="s">
        <v>24</v>
      </c>
      <c r="H315" t="s">
        <v>932</v>
      </c>
      <c r="I315">
        <f>91-987-654-3210</f>
        <v>-4760</v>
      </c>
      <c r="J315" s="1">
        <v>43232</v>
      </c>
      <c r="K315" s="1">
        <v>45299</v>
      </c>
      <c r="L315">
        <v>213900.79999999999</v>
      </c>
      <c r="M315">
        <v>99000.25</v>
      </c>
      <c r="N315">
        <v>660</v>
      </c>
      <c r="O315">
        <v>224000</v>
      </c>
      <c r="P315" t="s">
        <v>76</v>
      </c>
      <c r="Q315" t="s">
        <v>27</v>
      </c>
      <c r="R315">
        <v>0</v>
      </c>
      <c r="S315" t="s">
        <v>28</v>
      </c>
    </row>
    <row r="316" spans="1:19">
      <c r="A316" t="s">
        <v>306</v>
      </c>
      <c r="B316" t="s">
        <v>933</v>
      </c>
      <c r="C316" t="s">
        <v>46</v>
      </c>
      <c r="D316" t="s">
        <v>209</v>
      </c>
      <c r="E316" t="s">
        <v>210</v>
      </c>
      <c r="F316">
        <v>43</v>
      </c>
      <c r="G316" t="s">
        <v>34</v>
      </c>
      <c r="H316" t="s">
        <v>934</v>
      </c>
      <c r="I316">
        <f>52-55-8901-2345</f>
        <v>-11249</v>
      </c>
      <c r="J316" s="1">
        <v>44102</v>
      </c>
      <c r="K316" s="1">
        <v>45302</v>
      </c>
      <c r="L316">
        <v>73300.899999999994</v>
      </c>
      <c r="M316">
        <v>31100.75</v>
      </c>
      <c r="N316">
        <v>730</v>
      </c>
      <c r="O316">
        <v>128000</v>
      </c>
      <c r="P316" t="s">
        <v>26</v>
      </c>
      <c r="Q316" t="s">
        <v>27</v>
      </c>
      <c r="R316">
        <v>0</v>
      </c>
      <c r="S316" t="s">
        <v>28</v>
      </c>
    </row>
    <row r="317" spans="1:19">
      <c r="A317" t="s">
        <v>527</v>
      </c>
      <c r="B317" t="s">
        <v>935</v>
      </c>
      <c r="C317" t="s">
        <v>31</v>
      </c>
      <c r="D317" t="s">
        <v>32</v>
      </c>
      <c r="E317" t="s">
        <v>90</v>
      </c>
      <c r="F317">
        <v>32</v>
      </c>
      <c r="G317" t="s">
        <v>34</v>
      </c>
      <c r="H317" t="s">
        <v>936</v>
      </c>
      <c r="I317">
        <f>81-90-7890-1234</f>
        <v>-9133</v>
      </c>
      <c r="J317" s="1">
        <v>45156</v>
      </c>
      <c r="K317" s="1">
        <v>45305</v>
      </c>
      <c r="L317">
        <v>10500.4</v>
      </c>
      <c r="M317">
        <v>6200.25</v>
      </c>
      <c r="N317">
        <v>705</v>
      </c>
      <c r="O317">
        <v>42000</v>
      </c>
      <c r="P317" t="s">
        <v>26</v>
      </c>
      <c r="Q317" t="s">
        <v>43</v>
      </c>
      <c r="R317">
        <v>0</v>
      </c>
      <c r="S317" t="s">
        <v>28</v>
      </c>
    </row>
    <row r="318" spans="1:19">
      <c r="A318" t="s">
        <v>530</v>
      </c>
      <c r="B318" t="s">
        <v>937</v>
      </c>
      <c r="C318" t="s">
        <v>57</v>
      </c>
      <c r="D318" t="s">
        <v>219</v>
      </c>
      <c r="E318" t="s">
        <v>220</v>
      </c>
      <c r="F318">
        <v>37</v>
      </c>
      <c r="G318" t="s">
        <v>24</v>
      </c>
      <c r="H318" t="s">
        <v>938</v>
      </c>
      <c r="I318">
        <f>233-59-12-3456</f>
        <v>-3294</v>
      </c>
      <c r="J318" s="1">
        <v>44642</v>
      </c>
      <c r="K318" s="1">
        <v>45303</v>
      </c>
      <c r="L318">
        <v>17800.599999999999</v>
      </c>
      <c r="M318">
        <v>7400.8</v>
      </c>
      <c r="N318">
        <v>710</v>
      </c>
      <c r="O318">
        <v>58000</v>
      </c>
      <c r="P318" t="s">
        <v>36</v>
      </c>
      <c r="Q318" t="s">
        <v>27</v>
      </c>
      <c r="R318">
        <v>0</v>
      </c>
      <c r="S318" t="s">
        <v>28</v>
      </c>
    </row>
    <row r="319" spans="1:19">
      <c r="A319" t="s">
        <v>533</v>
      </c>
      <c r="B319" t="s">
        <v>939</v>
      </c>
      <c r="C319" t="s">
        <v>52</v>
      </c>
      <c r="D319" t="s">
        <v>204</v>
      </c>
      <c r="E319" t="s">
        <v>259</v>
      </c>
      <c r="F319">
        <v>44</v>
      </c>
      <c r="G319" t="s">
        <v>34</v>
      </c>
      <c r="H319" t="s">
        <v>940</v>
      </c>
      <c r="I319">
        <f>7-921-432-10-98</f>
        <v>-1454</v>
      </c>
      <c r="J319" s="1">
        <v>43949</v>
      </c>
      <c r="K319" s="1">
        <v>45301</v>
      </c>
      <c r="L319">
        <v>49100.25</v>
      </c>
      <c r="M319">
        <v>22200.9</v>
      </c>
      <c r="N319">
        <v>695</v>
      </c>
      <c r="O319">
        <v>93000</v>
      </c>
      <c r="P319" t="s">
        <v>26</v>
      </c>
      <c r="Q319" t="s">
        <v>27</v>
      </c>
      <c r="R319">
        <v>0</v>
      </c>
      <c r="S319" t="s">
        <v>28</v>
      </c>
    </row>
    <row r="320" spans="1:19">
      <c r="A320" t="s">
        <v>536</v>
      </c>
      <c r="B320" t="s">
        <v>941</v>
      </c>
      <c r="C320" t="s">
        <v>39</v>
      </c>
      <c r="D320" t="s">
        <v>195</v>
      </c>
      <c r="E320" t="s">
        <v>196</v>
      </c>
      <c r="F320">
        <v>52</v>
      </c>
      <c r="G320" t="s">
        <v>24</v>
      </c>
      <c r="H320" t="s">
        <v>942</v>
      </c>
      <c r="I320">
        <f>353-91-901-2345</f>
        <v>-2984</v>
      </c>
      <c r="J320" s="1">
        <v>43381</v>
      </c>
      <c r="K320" s="1">
        <v>45300</v>
      </c>
      <c r="L320">
        <v>146100.4</v>
      </c>
      <c r="M320">
        <v>73000.600000000006</v>
      </c>
      <c r="N320">
        <v>670</v>
      </c>
      <c r="O320">
        <v>160000</v>
      </c>
      <c r="P320" t="s">
        <v>76</v>
      </c>
      <c r="Q320" t="s">
        <v>27</v>
      </c>
      <c r="R320">
        <v>0</v>
      </c>
      <c r="S320" t="s">
        <v>28</v>
      </c>
    </row>
    <row r="321" spans="1:19">
      <c r="A321" t="s">
        <v>539</v>
      </c>
      <c r="B321" t="s">
        <v>943</v>
      </c>
      <c r="C321" t="s">
        <v>21</v>
      </c>
      <c r="D321" t="s">
        <v>58</v>
      </c>
      <c r="E321" t="s">
        <v>122</v>
      </c>
      <c r="F321">
        <v>60</v>
      </c>
      <c r="G321" t="s">
        <v>34</v>
      </c>
      <c r="H321" t="s">
        <v>944</v>
      </c>
      <c r="I321">
        <f>86-139-8901-2345</f>
        <v>-11299</v>
      </c>
      <c r="J321" s="1">
        <v>42965</v>
      </c>
      <c r="K321" s="1">
        <v>45299</v>
      </c>
      <c r="L321">
        <v>313000.75</v>
      </c>
      <c r="M321">
        <v>90000.8</v>
      </c>
      <c r="N321">
        <v>835</v>
      </c>
      <c r="O321">
        <v>305000</v>
      </c>
      <c r="P321" t="s">
        <v>36</v>
      </c>
      <c r="Q321" t="s">
        <v>27</v>
      </c>
      <c r="R321">
        <v>0</v>
      </c>
      <c r="S321" t="s">
        <v>28</v>
      </c>
    </row>
    <row r="322" spans="1:19">
      <c r="A322" t="s">
        <v>542</v>
      </c>
      <c r="B322" t="s">
        <v>945</v>
      </c>
      <c r="C322" t="s">
        <v>52</v>
      </c>
      <c r="D322" t="s">
        <v>68</v>
      </c>
      <c r="E322" t="s">
        <v>69</v>
      </c>
      <c r="F322">
        <v>47</v>
      </c>
      <c r="G322" t="s">
        <v>34</v>
      </c>
      <c r="H322" t="s">
        <v>946</v>
      </c>
      <c r="I322">
        <f>234-819-12-3456</f>
        <v>-4053</v>
      </c>
      <c r="J322" s="1">
        <v>43902</v>
      </c>
      <c r="K322" s="1">
        <v>45302</v>
      </c>
      <c r="L322">
        <v>57800.6</v>
      </c>
      <c r="M322">
        <v>27800.25</v>
      </c>
      <c r="N322">
        <v>665</v>
      </c>
      <c r="O322">
        <v>113000</v>
      </c>
      <c r="P322" t="s">
        <v>26</v>
      </c>
      <c r="Q322" t="s">
        <v>27</v>
      </c>
      <c r="R322">
        <v>0</v>
      </c>
      <c r="S322" t="s">
        <v>28</v>
      </c>
    </row>
    <row r="323" spans="1:19">
      <c r="A323" t="s">
        <v>545</v>
      </c>
      <c r="B323" t="s">
        <v>947</v>
      </c>
      <c r="C323" t="s">
        <v>46</v>
      </c>
      <c r="D323" t="s">
        <v>241</v>
      </c>
      <c r="E323" t="s">
        <v>389</v>
      </c>
      <c r="F323">
        <v>39</v>
      </c>
      <c r="G323" t="s">
        <v>24</v>
      </c>
      <c r="H323" t="s">
        <v>948</v>
      </c>
      <c r="I323">
        <f>39-353-789-123</f>
        <v>-1226</v>
      </c>
      <c r="J323" s="1">
        <v>44535</v>
      </c>
      <c r="K323" s="1">
        <v>45303</v>
      </c>
      <c r="L323">
        <v>81100.800000000003</v>
      </c>
      <c r="M323">
        <v>35300.400000000001</v>
      </c>
      <c r="N323">
        <v>750</v>
      </c>
      <c r="O323">
        <v>139000</v>
      </c>
      <c r="P323" t="s">
        <v>26</v>
      </c>
      <c r="Q323" t="s">
        <v>27</v>
      </c>
      <c r="R323">
        <v>0</v>
      </c>
      <c r="S323" t="s">
        <v>28</v>
      </c>
    </row>
    <row r="324" spans="1:19">
      <c r="A324" t="s">
        <v>548</v>
      </c>
      <c r="B324" t="s">
        <v>949</v>
      </c>
      <c r="C324" t="s">
        <v>57</v>
      </c>
      <c r="D324" t="s">
        <v>22</v>
      </c>
      <c r="E324" t="s">
        <v>282</v>
      </c>
      <c r="F324">
        <v>35</v>
      </c>
      <c r="G324" t="s">
        <v>34</v>
      </c>
      <c r="H324" t="s">
        <v>950</v>
      </c>
      <c r="I324">
        <f>1-206-555-196</f>
        <v>-956</v>
      </c>
      <c r="J324" s="1">
        <v>44740</v>
      </c>
      <c r="K324" s="1">
        <v>45305</v>
      </c>
      <c r="L324">
        <v>20000.900000000001</v>
      </c>
      <c r="M324">
        <v>8400.75</v>
      </c>
      <c r="N324">
        <v>770</v>
      </c>
      <c r="O324">
        <v>70000</v>
      </c>
      <c r="P324" t="s">
        <v>36</v>
      </c>
      <c r="Q324" t="s">
        <v>27</v>
      </c>
      <c r="R324">
        <v>0</v>
      </c>
      <c r="S324" t="s">
        <v>28</v>
      </c>
    </row>
    <row r="325" spans="1:19">
      <c r="A325" t="s">
        <v>551</v>
      </c>
      <c r="B325" t="s">
        <v>951</v>
      </c>
      <c r="C325" t="s">
        <v>39</v>
      </c>
      <c r="D325" t="s">
        <v>313</v>
      </c>
      <c r="E325" t="s">
        <v>385</v>
      </c>
      <c r="F325">
        <v>58</v>
      </c>
      <c r="G325" t="s">
        <v>24</v>
      </c>
      <c r="H325" t="s">
        <v>952</v>
      </c>
      <c r="I325">
        <f>92-305-4321098</f>
        <v>-4321311</v>
      </c>
      <c r="J325" s="1">
        <v>43136</v>
      </c>
      <c r="K325" s="1">
        <v>45299</v>
      </c>
      <c r="L325">
        <v>199200.25</v>
      </c>
      <c r="M325">
        <v>94000.8</v>
      </c>
      <c r="N325">
        <v>645</v>
      </c>
      <c r="O325">
        <v>210000</v>
      </c>
      <c r="P325" t="s">
        <v>76</v>
      </c>
      <c r="Q325" t="s">
        <v>27</v>
      </c>
      <c r="R325">
        <v>0</v>
      </c>
      <c r="S325" t="s">
        <v>28</v>
      </c>
    </row>
    <row r="326" spans="1:19">
      <c r="A326" t="s">
        <v>554</v>
      </c>
      <c r="B326" t="s">
        <v>953</v>
      </c>
      <c r="C326" t="s">
        <v>31</v>
      </c>
      <c r="D326" t="s">
        <v>214</v>
      </c>
      <c r="E326" t="s">
        <v>215</v>
      </c>
      <c r="F326">
        <v>31</v>
      </c>
      <c r="G326" t="s">
        <v>34</v>
      </c>
      <c r="H326" t="s">
        <v>954</v>
      </c>
      <c r="I326">
        <f>34-628-901-234</f>
        <v>-1729</v>
      </c>
      <c r="J326" s="1">
        <v>45181</v>
      </c>
      <c r="K326" s="1">
        <v>45306</v>
      </c>
      <c r="L326">
        <v>15200.5</v>
      </c>
      <c r="M326">
        <v>8000.4</v>
      </c>
      <c r="N326">
        <v>720</v>
      </c>
      <c r="O326">
        <v>47000</v>
      </c>
      <c r="P326" t="s">
        <v>36</v>
      </c>
      <c r="Q326" t="s">
        <v>27</v>
      </c>
      <c r="R326">
        <v>0</v>
      </c>
      <c r="S326" t="s">
        <v>28</v>
      </c>
    </row>
    <row r="327" spans="1:19">
      <c r="A327" t="s">
        <v>108</v>
      </c>
      <c r="B327" t="s">
        <v>955</v>
      </c>
      <c r="C327" t="s">
        <v>84</v>
      </c>
      <c r="D327" t="s">
        <v>32</v>
      </c>
      <c r="E327" t="s">
        <v>33</v>
      </c>
      <c r="F327">
        <v>27</v>
      </c>
      <c r="G327" t="s">
        <v>24</v>
      </c>
      <c r="H327" t="s">
        <v>956</v>
      </c>
      <c r="I327">
        <f>81-90-123-4567</f>
        <v>-4699</v>
      </c>
      <c r="J327" s="1">
        <v>45296</v>
      </c>
      <c r="K327" s="1">
        <v>45304</v>
      </c>
      <c r="L327">
        <v>2350.8000000000002</v>
      </c>
      <c r="M327">
        <v>9600.25</v>
      </c>
      <c r="N327">
        <v>605</v>
      </c>
      <c r="O327">
        <v>23000</v>
      </c>
      <c r="P327" t="s">
        <v>76</v>
      </c>
      <c r="Q327" t="s">
        <v>43</v>
      </c>
      <c r="R327">
        <v>0</v>
      </c>
      <c r="S327" t="s">
        <v>28</v>
      </c>
    </row>
    <row r="328" spans="1:19">
      <c r="A328" t="s">
        <v>559</v>
      </c>
      <c r="B328" t="s">
        <v>957</v>
      </c>
      <c r="C328" t="s">
        <v>46</v>
      </c>
      <c r="D328" t="s">
        <v>254</v>
      </c>
      <c r="E328" t="s">
        <v>255</v>
      </c>
      <c r="F328">
        <v>41</v>
      </c>
      <c r="G328" t="s">
        <v>34</v>
      </c>
      <c r="H328" t="s">
        <v>958</v>
      </c>
      <c r="I328">
        <f>221-83-789-123</f>
        <v>-774</v>
      </c>
      <c r="J328" s="1">
        <v>44436</v>
      </c>
      <c r="K328" s="1">
        <v>45302</v>
      </c>
      <c r="L328">
        <v>67800.399999999994</v>
      </c>
      <c r="M328">
        <v>30000.75</v>
      </c>
      <c r="N328">
        <v>710</v>
      </c>
      <c r="O328">
        <v>121000</v>
      </c>
      <c r="P328" t="s">
        <v>26</v>
      </c>
      <c r="Q328" t="s">
        <v>27</v>
      </c>
      <c r="R328">
        <v>0</v>
      </c>
      <c r="S328" t="s">
        <v>28</v>
      </c>
    </row>
    <row r="329" spans="1:19">
      <c r="A329" t="s">
        <v>562</v>
      </c>
      <c r="B329" t="s">
        <v>959</v>
      </c>
      <c r="C329" t="s">
        <v>39</v>
      </c>
      <c r="D329" t="s">
        <v>47</v>
      </c>
      <c r="E329" t="s">
        <v>48</v>
      </c>
      <c r="F329">
        <v>55</v>
      </c>
      <c r="G329" t="s">
        <v>24</v>
      </c>
      <c r="H329" t="s">
        <v>960</v>
      </c>
      <c r="I329">
        <f>44-79-123-4567</f>
        <v>-4725</v>
      </c>
      <c r="J329" s="1">
        <v>43303</v>
      </c>
      <c r="K329" s="1">
        <v>45300</v>
      </c>
      <c r="L329">
        <v>179400.6</v>
      </c>
      <c r="M329">
        <v>87000.25</v>
      </c>
      <c r="N329">
        <v>675</v>
      </c>
      <c r="O329">
        <v>190000</v>
      </c>
      <c r="P329" t="s">
        <v>76</v>
      </c>
      <c r="Q329" t="s">
        <v>27</v>
      </c>
      <c r="R329">
        <v>0</v>
      </c>
      <c r="S329" t="s">
        <v>28</v>
      </c>
    </row>
    <row r="330" spans="1:19">
      <c r="A330" t="s">
        <v>565</v>
      </c>
      <c r="B330" t="s">
        <v>961</v>
      </c>
      <c r="C330" t="s">
        <v>52</v>
      </c>
      <c r="D330" t="s">
        <v>233</v>
      </c>
      <c r="E330" t="s">
        <v>234</v>
      </c>
      <c r="F330">
        <v>40</v>
      </c>
      <c r="G330" t="s">
        <v>34</v>
      </c>
      <c r="H330" t="s">
        <v>962</v>
      </c>
      <c r="I330">
        <f>82-10-9012-3456</f>
        <v>-12396</v>
      </c>
      <c r="J330" s="1">
        <v>44211</v>
      </c>
      <c r="K330" s="1">
        <v>45301</v>
      </c>
      <c r="L330">
        <v>44200.75</v>
      </c>
      <c r="M330">
        <v>21100.799999999999</v>
      </c>
      <c r="N330">
        <v>725</v>
      </c>
      <c r="O330">
        <v>87000</v>
      </c>
      <c r="P330" t="s">
        <v>26</v>
      </c>
      <c r="Q330" t="s">
        <v>27</v>
      </c>
      <c r="R330">
        <v>0</v>
      </c>
      <c r="S330" t="s">
        <v>28</v>
      </c>
    </row>
    <row r="331" spans="1:19">
      <c r="A331" t="s">
        <v>568</v>
      </c>
      <c r="B331" t="s">
        <v>963</v>
      </c>
      <c r="C331" t="s">
        <v>57</v>
      </c>
      <c r="D331" t="s">
        <v>79</v>
      </c>
      <c r="E331" t="s">
        <v>102</v>
      </c>
      <c r="F331">
        <v>38</v>
      </c>
      <c r="G331" t="s">
        <v>24</v>
      </c>
      <c r="H331" t="s">
        <v>964</v>
      </c>
      <c r="I331">
        <f>971-50-123-4567</f>
        <v>-3769</v>
      </c>
      <c r="J331" s="1">
        <v>44679</v>
      </c>
      <c r="K331" s="1">
        <v>45303</v>
      </c>
      <c r="L331">
        <v>22200.400000000001</v>
      </c>
      <c r="M331">
        <v>9200.9</v>
      </c>
      <c r="N331">
        <v>740</v>
      </c>
      <c r="O331">
        <v>73000</v>
      </c>
      <c r="P331" t="s">
        <v>36</v>
      </c>
      <c r="Q331" t="s">
        <v>27</v>
      </c>
      <c r="R331">
        <v>0</v>
      </c>
      <c r="S331" t="s">
        <v>28</v>
      </c>
    </row>
    <row r="332" spans="1:19">
      <c r="A332" t="s">
        <v>571</v>
      </c>
      <c r="B332" t="s">
        <v>965</v>
      </c>
      <c r="C332" t="s">
        <v>21</v>
      </c>
      <c r="D332" t="s">
        <v>63</v>
      </c>
      <c r="E332" t="s">
        <v>64</v>
      </c>
      <c r="F332">
        <v>61</v>
      </c>
      <c r="G332" t="s">
        <v>34</v>
      </c>
      <c r="H332" t="s">
        <v>966</v>
      </c>
      <c r="I332">
        <f>55-11-99123-4567</f>
        <v>-103646</v>
      </c>
      <c r="J332" s="1">
        <v>42837</v>
      </c>
      <c r="K332" s="1">
        <v>45299</v>
      </c>
      <c r="L332">
        <v>268300.90000000002</v>
      </c>
      <c r="M332">
        <v>77000.600000000006</v>
      </c>
      <c r="N332">
        <v>830</v>
      </c>
      <c r="O332">
        <v>285000</v>
      </c>
      <c r="P332" t="s">
        <v>36</v>
      </c>
      <c r="Q332" t="s">
        <v>27</v>
      </c>
      <c r="R332">
        <v>0</v>
      </c>
      <c r="S332" t="s">
        <v>28</v>
      </c>
    </row>
    <row r="333" spans="1:19">
      <c r="A333" t="s">
        <v>574</v>
      </c>
      <c r="B333" t="s">
        <v>967</v>
      </c>
      <c r="C333" t="s">
        <v>39</v>
      </c>
      <c r="D333" t="s">
        <v>68</v>
      </c>
      <c r="E333" t="s">
        <v>114</v>
      </c>
      <c r="F333">
        <v>53</v>
      </c>
      <c r="G333" t="s">
        <v>24</v>
      </c>
      <c r="H333" t="s">
        <v>968</v>
      </c>
      <c r="I333">
        <f>234-820-123-4567</f>
        <v>-5276</v>
      </c>
      <c r="J333" s="1">
        <v>43452</v>
      </c>
      <c r="K333" s="1">
        <v>45300</v>
      </c>
      <c r="L333">
        <v>157200.25</v>
      </c>
      <c r="M333">
        <v>79000.399999999994</v>
      </c>
      <c r="N333">
        <v>655</v>
      </c>
      <c r="O333">
        <v>175000</v>
      </c>
      <c r="P333" t="s">
        <v>76</v>
      </c>
      <c r="Q333" t="s">
        <v>27</v>
      </c>
      <c r="R333">
        <v>0</v>
      </c>
      <c r="S333" t="s">
        <v>28</v>
      </c>
    </row>
    <row r="334" spans="1:19">
      <c r="A334" t="s">
        <v>577</v>
      </c>
      <c r="B334" t="s">
        <v>969</v>
      </c>
      <c r="C334" t="s">
        <v>46</v>
      </c>
      <c r="D334" t="s">
        <v>85</v>
      </c>
      <c r="E334" t="s">
        <v>86</v>
      </c>
      <c r="F334">
        <v>42</v>
      </c>
      <c r="G334" t="s">
        <v>34</v>
      </c>
      <c r="H334" t="s">
        <v>970</v>
      </c>
      <c r="I334">
        <f>1-647-555-192</f>
        <v>-1393</v>
      </c>
      <c r="J334" s="1">
        <v>44338</v>
      </c>
      <c r="K334" s="1">
        <v>45302</v>
      </c>
      <c r="L334">
        <v>86700.6</v>
      </c>
      <c r="M334">
        <v>38000.75</v>
      </c>
      <c r="N334">
        <v>760</v>
      </c>
      <c r="O334">
        <v>144000</v>
      </c>
      <c r="P334" t="s">
        <v>26</v>
      </c>
      <c r="Q334" t="s">
        <v>27</v>
      </c>
      <c r="R334">
        <v>0</v>
      </c>
      <c r="S334" t="s">
        <v>28</v>
      </c>
    </row>
    <row r="335" spans="1:19">
      <c r="A335" t="s">
        <v>458</v>
      </c>
      <c r="B335" t="s">
        <v>971</v>
      </c>
      <c r="C335" t="s">
        <v>31</v>
      </c>
      <c r="D335" t="s">
        <v>460</v>
      </c>
      <c r="E335" t="s">
        <v>461</v>
      </c>
      <c r="F335">
        <v>33</v>
      </c>
      <c r="G335" t="s">
        <v>24</v>
      </c>
      <c r="H335" t="s">
        <v>972</v>
      </c>
      <c r="I335">
        <f>62-817-8901-2345</f>
        <v>-12001</v>
      </c>
      <c r="J335" s="1">
        <v>45115</v>
      </c>
      <c r="K335" s="1">
        <v>45306</v>
      </c>
      <c r="L335">
        <v>10900.25</v>
      </c>
      <c r="M335">
        <v>6400.8</v>
      </c>
      <c r="N335">
        <v>695</v>
      </c>
      <c r="O335">
        <v>44000</v>
      </c>
      <c r="P335" t="s">
        <v>26</v>
      </c>
      <c r="Q335" t="s">
        <v>43</v>
      </c>
      <c r="R335">
        <v>0</v>
      </c>
      <c r="S335" t="s">
        <v>28</v>
      </c>
    </row>
    <row r="336" spans="1:19">
      <c r="A336" t="s">
        <v>582</v>
      </c>
      <c r="B336" t="s">
        <v>973</v>
      </c>
      <c r="C336" t="s">
        <v>57</v>
      </c>
      <c r="D336" t="s">
        <v>22</v>
      </c>
      <c r="E336" t="s">
        <v>53</v>
      </c>
      <c r="F336">
        <v>36</v>
      </c>
      <c r="G336" t="s">
        <v>34</v>
      </c>
      <c r="H336" t="s">
        <v>974</v>
      </c>
      <c r="I336">
        <f>1-773-555-184</f>
        <v>-1511</v>
      </c>
      <c r="J336" s="1">
        <v>44607</v>
      </c>
      <c r="K336" s="1">
        <v>45303</v>
      </c>
      <c r="L336">
        <v>21100.9</v>
      </c>
      <c r="M336">
        <v>8800.25</v>
      </c>
      <c r="N336">
        <v>755</v>
      </c>
      <c r="O336">
        <v>66000</v>
      </c>
      <c r="P336" t="s">
        <v>36</v>
      </c>
      <c r="Q336" t="s">
        <v>27</v>
      </c>
      <c r="R336">
        <v>0</v>
      </c>
      <c r="S336" t="s">
        <v>28</v>
      </c>
    </row>
    <row r="337" spans="1:19">
      <c r="A337" t="s">
        <v>55</v>
      </c>
      <c r="B337" t="s">
        <v>975</v>
      </c>
      <c r="C337" t="s">
        <v>39</v>
      </c>
      <c r="D337" t="s">
        <v>58</v>
      </c>
      <c r="E337" t="s">
        <v>59</v>
      </c>
      <c r="F337">
        <v>54</v>
      </c>
      <c r="G337" t="s">
        <v>24</v>
      </c>
      <c r="H337" t="s">
        <v>976</v>
      </c>
      <c r="I337">
        <f>86-138-2345-6789</f>
        <v>-9186</v>
      </c>
      <c r="J337" s="1">
        <v>43358</v>
      </c>
      <c r="K337" s="1">
        <v>45300</v>
      </c>
      <c r="L337">
        <v>190100.4</v>
      </c>
      <c r="M337">
        <v>92000.75</v>
      </c>
      <c r="N337">
        <v>685</v>
      </c>
      <c r="O337">
        <v>200000</v>
      </c>
      <c r="P337" t="s">
        <v>76</v>
      </c>
      <c r="Q337" t="s">
        <v>27</v>
      </c>
      <c r="R337">
        <v>0</v>
      </c>
      <c r="S337" t="s">
        <v>28</v>
      </c>
    </row>
    <row r="338" spans="1:19">
      <c r="A338" t="s">
        <v>469</v>
      </c>
      <c r="B338" t="s">
        <v>977</v>
      </c>
      <c r="C338" t="s">
        <v>52</v>
      </c>
      <c r="D338" t="s">
        <v>471</v>
      </c>
      <c r="E338" t="s">
        <v>472</v>
      </c>
      <c r="F338">
        <v>45</v>
      </c>
      <c r="G338" t="s">
        <v>34</v>
      </c>
      <c r="H338" t="s">
        <v>978</v>
      </c>
      <c r="I338">
        <f>48-705-789-12</f>
        <v>-1458</v>
      </c>
      <c r="J338" s="1">
        <v>44004</v>
      </c>
      <c r="K338" s="1">
        <v>45301</v>
      </c>
      <c r="L338">
        <v>51100.800000000003</v>
      </c>
      <c r="M338">
        <v>24200.6</v>
      </c>
      <c r="N338">
        <v>715</v>
      </c>
      <c r="O338">
        <v>99000</v>
      </c>
      <c r="P338" t="s">
        <v>26</v>
      </c>
      <c r="Q338" t="s">
        <v>27</v>
      </c>
      <c r="R338">
        <v>0</v>
      </c>
      <c r="S338" t="s">
        <v>28</v>
      </c>
    </row>
    <row r="339" spans="1:19">
      <c r="A339" t="s">
        <v>474</v>
      </c>
      <c r="B339" t="s">
        <v>979</v>
      </c>
      <c r="C339" t="s">
        <v>46</v>
      </c>
      <c r="D339" t="s">
        <v>345</v>
      </c>
      <c r="E339" t="s">
        <v>476</v>
      </c>
      <c r="F339">
        <v>48</v>
      </c>
      <c r="G339" t="s">
        <v>24</v>
      </c>
      <c r="H339" t="s">
        <v>980</v>
      </c>
      <c r="I339">
        <f>880-1812-901234</f>
        <v>-902166</v>
      </c>
      <c r="J339" s="1">
        <v>43918</v>
      </c>
      <c r="K339" s="1">
        <v>45302</v>
      </c>
      <c r="L339">
        <v>78900.25</v>
      </c>
      <c r="M339">
        <v>34200.400000000001</v>
      </c>
      <c r="N339">
        <v>680</v>
      </c>
      <c r="O339">
        <v>128000</v>
      </c>
      <c r="P339" t="s">
        <v>26</v>
      </c>
      <c r="Q339" t="s">
        <v>27</v>
      </c>
      <c r="R339">
        <v>0</v>
      </c>
      <c r="S339" t="s">
        <v>28</v>
      </c>
    </row>
    <row r="340" spans="1:19">
      <c r="A340" t="s">
        <v>592</v>
      </c>
      <c r="B340" t="s">
        <v>981</v>
      </c>
      <c r="C340" t="s">
        <v>84</v>
      </c>
      <c r="D340" t="s">
        <v>32</v>
      </c>
      <c r="E340" t="s">
        <v>90</v>
      </c>
      <c r="F340">
        <v>28</v>
      </c>
      <c r="G340" t="s">
        <v>34</v>
      </c>
      <c r="H340" t="s">
        <v>982</v>
      </c>
      <c r="I340">
        <f>81-90-1234-5678</f>
        <v>-6921</v>
      </c>
      <c r="J340" s="1">
        <v>45272</v>
      </c>
      <c r="K340" s="1">
        <v>45304</v>
      </c>
      <c r="L340">
        <v>2450.4</v>
      </c>
      <c r="M340">
        <v>10200.75</v>
      </c>
      <c r="N340">
        <v>610</v>
      </c>
      <c r="O340">
        <v>24000</v>
      </c>
      <c r="P340" t="s">
        <v>76</v>
      </c>
      <c r="Q340" t="s">
        <v>43</v>
      </c>
      <c r="R340">
        <v>0</v>
      </c>
      <c r="S340" t="s">
        <v>28</v>
      </c>
    </row>
    <row r="341" spans="1:19">
      <c r="A341" t="s">
        <v>595</v>
      </c>
      <c r="B341" t="s">
        <v>983</v>
      </c>
      <c r="C341" t="s">
        <v>21</v>
      </c>
      <c r="D341" t="s">
        <v>209</v>
      </c>
      <c r="E341" t="s">
        <v>210</v>
      </c>
      <c r="F341">
        <v>60</v>
      </c>
      <c r="G341" t="s">
        <v>24</v>
      </c>
      <c r="H341" t="s">
        <v>984</v>
      </c>
      <c r="I341">
        <f>52-55-9012-3456</f>
        <v>-12471</v>
      </c>
      <c r="J341" s="1">
        <v>43067</v>
      </c>
      <c r="K341" s="1">
        <v>45299</v>
      </c>
      <c r="L341">
        <v>288100.8</v>
      </c>
      <c r="M341">
        <v>83000.25</v>
      </c>
      <c r="N341">
        <v>825</v>
      </c>
      <c r="O341">
        <v>280000</v>
      </c>
      <c r="P341" t="s">
        <v>36</v>
      </c>
      <c r="Q341" t="s">
        <v>27</v>
      </c>
      <c r="R341">
        <v>0</v>
      </c>
      <c r="S341" t="s">
        <v>28</v>
      </c>
    </row>
    <row r="342" spans="1:19">
      <c r="A342" t="s">
        <v>226</v>
      </c>
      <c r="B342" t="s">
        <v>985</v>
      </c>
      <c r="C342" t="s">
        <v>57</v>
      </c>
      <c r="D342" t="s">
        <v>228</v>
      </c>
      <c r="E342" t="s">
        <v>229</v>
      </c>
      <c r="F342">
        <v>35</v>
      </c>
      <c r="G342" t="s">
        <v>34</v>
      </c>
      <c r="H342" t="s">
        <v>986</v>
      </c>
      <c r="I342">
        <f>254-729-12-345</f>
        <v>-832</v>
      </c>
      <c r="J342" s="1">
        <v>44795</v>
      </c>
      <c r="K342" s="1">
        <v>45305</v>
      </c>
      <c r="L342">
        <v>17800.75</v>
      </c>
      <c r="M342">
        <v>7200.4</v>
      </c>
      <c r="N342">
        <v>725</v>
      </c>
      <c r="O342">
        <v>56000</v>
      </c>
      <c r="P342" t="s">
        <v>36</v>
      </c>
      <c r="Q342" t="s">
        <v>27</v>
      </c>
      <c r="R342">
        <v>0</v>
      </c>
      <c r="S342" t="s">
        <v>28</v>
      </c>
    </row>
    <row r="343" spans="1:19">
      <c r="A343" t="s">
        <v>488</v>
      </c>
      <c r="B343" t="s">
        <v>987</v>
      </c>
      <c r="C343" t="s">
        <v>39</v>
      </c>
      <c r="D343" t="s">
        <v>304</v>
      </c>
      <c r="E343" t="s">
        <v>304</v>
      </c>
      <c r="F343">
        <v>52</v>
      </c>
      <c r="G343" t="s">
        <v>24</v>
      </c>
      <c r="H343" t="s">
        <v>988</v>
      </c>
      <c r="I343">
        <f>65-8890-1234</f>
        <v>-10059</v>
      </c>
      <c r="J343" s="1">
        <v>43546</v>
      </c>
      <c r="K343" s="1">
        <v>45300</v>
      </c>
      <c r="L343">
        <v>168300.6</v>
      </c>
      <c r="M343">
        <v>83000.899999999994</v>
      </c>
      <c r="N343">
        <v>675</v>
      </c>
      <c r="O343">
        <v>180000</v>
      </c>
      <c r="P343" t="s">
        <v>76</v>
      </c>
      <c r="Q343" t="s">
        <v>27</v>
      </c>
      <c r="R343">
        <v>0</v>
      </c>
      <c r="S343" t="s">
        <v>28</v>
      </c>
    </row>
    <row r="344" spans="1:19">
      <c r="A344" t="s">
        <v>491</v>
      </c>
      <c r="B344" t="s">
        <v>989</v>
      </c>
      <c r="C344" t="s">
        <v>52</v>
      </c>
      <c r="D344" t="s">
        <v>493</v>
      </c>
      <c r="E344" t="s">
        <v>494</v>
      </c>
      <c r="F344">
        <v>43</v>
      </c>
      <c r="G344" t="s">
        <v>34</v>
      </c>
      <c r="H344" t="s">
        <v>990</v>
      </c>
      <c r="I344">
        <f>30-697-890-1234</f>
        <v>-2791</v>
      </c>
      <c r="J344" s="1">
        <v>44314</v>
      </c>
      <c r="K344" s="1">
        <v>45302</v>
      </c>
      <c r="L344">
        <v>45300.4</v>
      </c>
      <c r="M344">
        <v>20000.25</v>
      </c>
      <c r="N344">
        <v>705</v>
      </c>
      <c r="O344">
        <v>88000</v>
      </c>
      <c r="P344" t="s">
        <v>26</v>
      </c>
      <c r="Q344" t="s">
        <v>27</v>
      </c>
      <c r="R344">
        <v>0</v>
      </c>
      <c r="S344" t="s">
        <v>28</v>
      </c>
    </row>
    <row r="345" spans="1:19">
      <c r="A345" t="s">
        <v>496</v>
      </c>
      <c r="B345" t="s">
        <v>991</v>
      </c>
      <c r="C345" t="s">
        <v>46</v>
      </c>
      <c r="D345" t="s">
        <v>321</v>
      </c>
      <c r="E345" t="s">
        <v>498</v>
      </c>
      <c r="F345">
        <v>46</v>
      </c>
      <c r="G345" t="s">
        <v>24</v>
      </c>
      <c r="H345" t="s">
        <v>992</v>
      </c>
      <c r="I345">
        <f>61-429-12-345</f>
        <v>-725</v>
      </c>
      <c r="J345" s="1">
        <v>43784</v>
      </c>
      <c r="K345" s="1">
        <v>45301</v>
      </c>
      <c r="L345">
        <v>92200.75</v>
      </c>
      <c r="M345">
        <v>41100.800000000003</v>
      </c>
      <c r="N345">
        <v>730</v>
      </c>
      <c r="O345">
        <v>154000</v>
      </c>
      <c r="P345" t="s">
        <v>26</v>
      </c>
      <c r="Q345" t="s">
        <v>27</v>
      </c>
      <c r="R345">
        <v>0</v>
      </c>
      <c r="S345" t="s">
        <v>28</v>
      </c>
    </row>
    <row r="346" spans="1:19">
      <c r="A346" t="s">
        <v>324</v>
      </c>
      <c r="B346" t="s">
        <v>993</v>
      </c>
      <c r="C346" t="s">
        <v>31</v>
      </c>
      <c r="D346" t="s">
        <v>313</v>
      </c>
      <c r="E346" t="s">
        <v>501</v>
      </c>
      <c r="F346">
        <v>31</v>
      </c>
      <c r="G346" t="s">
        <v>34</v>
      </c>
      <c r="H346" t="s">
        <v>994</v>
      </c>
      <c r="I346">
        <f>92-327-3210987</f>
        <v>-3211222</v>
      </c>
      <c r="J346" s="1">
        <v>45166</v>
      </c>
      <c r="K346" s="1">
        <v>45306</v>
      </c>
      <c r="L346">
        <v>9800.9</v>
      </c>
      <c r="M346">
        <v>6000.75</v>
      </c>
      <c r="N346">
        <v>685</v>
      </c>
      <c r="O346">
        <v>41000</v>
      </c>
      <c r="P346" t="s">
        <v>26</v>
      </c>
      <c r="Q346" t="s">
        <v>43</v>
      </c>
      <c r="R346">
        <v>0</v>
      </c>
      <c r="S346" t="s">
        <v>28</v>
      </c>
    </row>
    <row r="347" spans="1:19">
      <c r="A347" t="s">
        <v>503</v>
      </c>
      <c r="B347" t="s">
        <v>995</v>
      </c>
      <c r="C347" t="s">
        <v>21</v>
      </c>
      <c r="D347" t="s">
        <v>32</v>
      </c>
      <c r="E347" t="s">
        <v>33</v>
      </c>
      <c r="F347">
        <v>63</v>
      </c>
      <c r="G347" t="s">
        <v>24</v>
      </c>
      <c r="H347" t="s">
        <v>996</v>
      </c>
      <c r="I347">
        <f>81-80-7890-1234</f>
        <v>-9123</v>
      </c>
      <c r="J347" s="1">
        <v>42788</v>
      </c>
      <c r="K347" s="1">
        <v>45299</v>
      </c>
      <c r="L347">
        <v>299000.25</v>
      </c>
      <c r="M347">
        <v>87000.4</v>
      </c>
      <c r="N347">
        <v>840</v>
      </c>
      <c r="O347">
        <v>295000</v>
      </c>
      <c r="P347" t="s">
        <v>36</v>
      </c>
      <c r="Q347" t="s">
        <v>27</v>
      </c>
      <c r="R347">
        <v>0</v>
      </c>
      <c r="S347" t="s">
        <v>28</v>
      </c>
    </row>
    <row r="348" spans="1:19">
      <c r="A348" t="s">
        <v>506</v>
      </c>
      <c r="B348" t="s">
        <v>997</v>
      </c>
      <c r="C348" t="s">
        <v>39</v>
      </c>
      <c r="D348" t="s">
        <v>68</v>
      </c>
      <c r="E348" t="s">
        <v>69</v>
      </c>
      <c r="F348">
        <v>55</v>
      </c>
      <c r="G348" t="s">
        <v>34</v>
      </c>
      <c r="H348" t="s">
        <v>998</v>
      </c>
      <c r="I348">
        <f>234-819-12-3456</f>
        <v>-4053</v>
      </c>
      <c r="J348" s="1">
        <v>43296</v>
      </c>
      <c r="K348" s="1">
        <v>45300</v>
      </c>
      <c r="L348">
        <v>179400.4</v>
      </c>
      <c r="M348">
        <v>87000.75</v>
      </c>
      <c r="N348">
        <v>650</v>
      </c>
      <c r="O348">
        <v>190000</v>
      </c>
      <c r="P348" t="s">
        <v>76</v>
      </c>
      <c r="Q348" t="s">
        <v>27</v>
      </c>
      <c r="R348">
        <v>0</v>
      </c>
      <c r="S348" t="s">
        <v>28</v>
      </c>
    </row>
    <row r="349" spans="1:19">
      <c r="A349" t="s">
        <v>509</v>
      </c>
      <c r="B349" t="s">
        <v>999</v>
      </c>
      <c r="C349" t="s">
        <v>46</v>
      </c>
      <c r="D349" t="s">
        <v>73</v>
      </c>
      <c r="E349" t="s">
        <v>158</v>
      </c>
      <c r="F349">
        <v>42</v>
      </c>
      <c r="G349" t="s">
        <v>24</v>
      </c>
      <c r="H349" t="s">
        <v>1000</v>
      </c>
      <c r="I349">
        <f>49-181-2345678</f>
        <v>-2345810</v>
      </c>
      <c r="J349" s="1">
        <v>44528</v>
      </c>
      <c r="K349" s="1">
        <v>45303</v>
      </c>
      <c r="L349">
        <v>80000.399999999994</v>
      </c>
      <c r="M349">
        <v>35300.25</v>
      </c>
      <c r="N349">
        <v>745</v>
      </c>
      <c r="O349">
        <v>134000</v>
      </c>
      <c r="P349" t="s">
        <v>26</v>
      </c>
      <c r="Q349" t="s">
        <v>27</v>
      </c>
      <c r="R349">
        <v>0</v>
      </c>
      <c r="S349" t="s">
        <v>28</v>
      </c>
    </row>
    <row r="350" spans="1:19">
      <c r="A350" t="s">
        <v>513</v>
      </c>
      <c r="B350" t="s">
        <v>1001</v>
      </c>
      <c r="C350" t="s">
        <v>57</v>
      </c>
      <c r="D350" t="s">
        <v>58</v>
      </c>
      <c r="E350" t="s">
        <v>122</v>
      </c>
      <c r="F350">
        <v>37</v>
      </c>
      <c r="G350" t="s">
        <v>34</v>
      </c>
      <c r="H350" t="s">
        <v>1002</v>
      </c>
      <c r="I350">
        <f>86-137-2345-6789</f>
        <v>-9185</v>
      </c>
      <c r="J350" s="1">
        <v>44703</v>
      </c>
      <c r="K350" s="1">
        <v>45302</v>
      </c>
      <c r="L350">
        <v>20000.8</v>
      </c>
      <c r="M350">
        <v>8400.9</v>
      </c>
      <c r="N350">
        <v>765</v>
      </c>
      <c r="O350">
        <v>66000</v>
      </c>
      <c r="P350" t="s">
        <v>36</v>
      </c>
      <c r="Q350" t="s">
        <v>27</v>
      </c>
      <c r="R350">
        <v>0</v>
      </c>
      <c r="S350" t="s">
        <v>28</v>
      </c>
    </row>
    <row r="351" spans="1:19">
      <c r="A351" t="s">
        <v>516</v>
      </c>
      <c r="B351" t="s">
        <v>1003</v>
      </c>
      <c r="C351" t="s">
        <v>52</v>
      </c>
      <c r="D351" t="s">
        <v>277</v>
      </c>
      <c r="E351" t="s">
        <v>278</v>
      </c>
      <c r="F351">
        <v>50</v>
      </c>
      <c r="G351" t="s">
        <v>24</v>
      </c>
      <c r="H351" t="s">
        <v>1004</v>
      </c>
      <c r="I351">
        <f>20-122-543-2109</f>
        <v>-2754</v>
      </c>
      <c r="J351" s="1">
        <v>43966</v>
      </c>
      <c r="K351" s="1">
        <v>45301</v>
      </c>
      <c r="L351">
        <v>53300.75</v>
      </c>
      <c r="M351">
        <v>26400.400000000001</v>
      </c>
      <c r="N351">
        <v>675</v>
      </c>
      <c r="O351">
        <v>106000</v>
      </c>
      <c r="P351" t="s">
        <v>26</v>
      </c>
      <c r="Q351" t="s">
        <v>27</v>
      </c>
      <c r="R351">
        <v>0</v>
      </c>
      <c r="S351" t="s">
        <v>28</v>
      </c>
    </row>
    <row r="352" spans="1:19">
      <c r="A352" t="s">
        <v>519</v>
      </c>
      <c r="B352" t="s">
        <v>1005</v>
      </c>
      <c r="C352" t="s">
        <v>84</v>
      </c>
      <c r="D352" t="s">
        <v>183</v>
      </c>
      <c r="E352" t="s">
        <v>184</v>
      </c>
      <c r="F352">
        <v>29</v>
      </c>
      <c r="G352" t="s">
        <v>34</v>
      </c>
      <c r="H352" t="s">
        <v>1006</v>
      </c>
      <c r="I352">
        <f>33-6-9012-3456</f>
        <v>-12441</v>
      </c>
      <c r="J352" s="1">
        <v>45299</v>
      </c>
      <c r="K352" s="1">
        <v>45304</v>
      </c>
      <c r="L352">
        <v>2700.25</v>
      </c>
      <c r="M352">
        <v>11400.6</v>
      </c>
      <c r="N352">
        <v>615</v>
      </c>
      <c r="O352">
        <v>26000</v>
      </c>
      <c r="P352" t="s">
        <v>76</v>
      </c>
      <c r="Q352" t="s">
        <v>43</v>
      </c>
      <c r="R352">
        <v>0</v>
      </c>
      <c r="S352" t="s">
        <v>28</v>
      </c>
    </row>
    <row r="353" spans="1:19">
      <c r="A353" t="s">
        <v>522</v>
      </c>
      <c r="B353" t="s">
        <v>1007</v>
      </c>
      <c r="C353" t="s">
        <v>39</v>
      </c>
      <c r="D353" t="s">
        <v>40</v>
      </c>
      <c r="E353" t="s">
        <v>94</v>
      </c>
      <c r="F353">
        <v>57</v>
      </c>
      <c r="G353" t="s">
        <v>24</v>
      </c>
      <c r="H353" t="s">
        <v>1008</v>
      </c>
      <c r="I353">
        <f>91-987-654-3210</f>
        <v>-4760</v>
      </c>
      <c r="J353" s="1">
        <v>43259</v>
      </c>
      <c r="K353" s="1">
        <v>45299</v>
      </c>
      <c r="L353">
        <v>214000.8</v>
      </c>
      <c r="M353">
        <v>100000.25</v>
      </c>
      <c r="N353">
        <v>660</v>
      </c>
      <c r="O353">
        <v>225000</v>
      </c>
      <c r="P353" t="s">
        <v>76</v>
      </c>
      <c r="Q353" t="s">
        <v>27</v>
      </c>
      <c r="R353">
        <v>0</v>
      </c>
      <c r="S353" t="s">
        <v>28</v>
      </c>
    </row>
    <row r="354" spans="1:19">
      <c r="A354" t="s">
        <v>306</v>
      </c>
      <c r="B354" t="s">
        <v>1009</v>
      </c>
      <c r="C354" t="s">
        <v>46</v>
      </c>
      <c r="D354" t="s">
        <v>209</v>
      </c>
      <c r="E354" t="s">
        <v>703</v>
      </c>
      <c r="F354">
        <v>44</v>
      </c>
      <c r="G354" t="s">
        <v>34</v>
      </c>
      <c r="H354" t="s">
        <v>1010</v>
      </c>
      <c r="I354">
        <f>52-81-4567-8901</f>
        <v>-13497</v>
      </c>
      <c r="J354" s="1">
        <v>44119</v>
      </c>
      <c r="K354" s="1">
        <v>45302</v>
      </c>
      <c r="L354">
        <v>74400.899999999994</v>
      </c>
      <c r="M354">
        <v>32200.75</v>
      </c>
      <c r="N354">
        <v>730</v>
      </c>
      <c r="O354">
        <v>129000</v>
      </c>
      <c r="P354" t="s">
        <v>26</v>
      </c>
      <c r="Q354" t="s">
        <v>27</v>
      </c>
      <c r="R354">
        <v>0</v>
      </c>
      <c r="S354" t="s">
        <v>28</v>
      </c>
    </row>
    <row r="355" spans="1:19">
      <c r="A355" t="s">
        <v>527</v>
      </c>
      <c r="B355" t="s">
        <v>1011</v>
      </c>
      <c r="C355" t="s">
        <v>31</v>
      </c>
      <c r="D355" t="s">
        <v>32</v>
      </c>
      <c r="E355" t="s">
        <v>90</v>
      </c>
      <c r="F355">
        <v>33</v>
      </c>
      <c r="G355" t="s">
        <v>34</v>
      </c>
      <c r="H355" t="s">
        <v>1012</v>
      </c>
      <c r="I355">
        <f>81-90-8901-2345</f>
        <v>-11255</v>
      </c>
      <c r="J355" s="1">
        <v>45191</v>
      </c>
      <c r="K355" s="1">
        <v>45305</v>
      </c>
      <c r="L355">
        <v>10900.4</v>
      </c>
      <c r="M355">
        <v>6400.25</v>
      </c>
      <c r="N355">
        <v>705</v>
      </c>
      <c r="O355">
        <v>43000</v>
      </c>
      <c r="P355" t="s">
        <v>26</v>
      </c>
      <c r="Q355" t="s">
        <v>43</v>
      </c>
      <c r="R355">
        <v>0</v>
      </c>
      <c r="S355" t="s">
        <v>28</v>
      </c>
    </row>
    <row r="356" spans="1:19">
      <c r="A356" t="s">
        <v>530</v>
      </c>
      <c r="B356" t="s">
        <v>1013</v>
      </c>
      <c r="C356" t="s">
        <v>57</v>
      </c>
      <c r="D356" t="s">
        <v>219</v>
      </c>
      <c r="E356" t="s">
        <v>220</v>
      </c>
      <c r="F356">
        <v>38</v>
      </c>
      <c r="G356" t="s">
        <v>24</v>
      </c>
      <c r="H356" t="s">
        <v>1014</v>
      </c>
      <c r="I356">
        <f>233-60-123-4567</f>
        <v>-4517</v>
      </c>
      <c r="J356" s="1">
        <v>44679</v>
      </c>
      <c r="K356" s="1">
        <v>45303</v>
      </c>
      <c r="L356">
        <v>18900.599999999999</v>
      </c>
      <c r="M356">
        <v>7800.8</v>
      </c>
      <c r="N356">
        <v>710</v>
      </c>
      <c r="O356">
        <v>59000</v>
      </c>
      <c r="P356" t="s">
        <v>36</v>
      </c>
      <c r="Q356" t="s">
        <v>27</v>
      </c>
      <c r="R356">
        <v>0</v>
      </c>
      <c r="S356" t="s">
        <v>28</v>
      </c>
    </row>
    <row r="357" spans="1:19">
      <c r="A357" t="s">
        <v>533</v>
      </c>
      <c r="B357" t="s">
        <v>1015</v>
      </c>
      <c r="C357" t="s">
        <v>52</v>
      </c>
      <c r="D357" t="s">
        <v>204</v>
      </c>
      <c r="E357" t="s">
        <v>205</v>
      </c>
      <c r="F357">
        <v>45</v>
      </c>
      <c r="G357" t="s">
        <v>34</v>
      </c>
      <c r="H357" t="s">
        <v>1016</v>
      </c>
      <c r="I357">
        <f>7-915-321-9-87</f>
        <v>-1325</v>
      </c>
      <c r="J357" s="1">
        <v>43973</v>
      </c>
      <c r="K357" s="1">
        <v>45301</v>
      </c>
      <c r="L357">
        <v>50200.25</v>
      </c>
      <c r="M357">
        <v>23300.9</v>
      </c>
      <c r="N357">
        <v>695</v>
      </c>
      <c r="O357">
        <v>94000</v>
      </c>
      <c r="P357" t="s">
        <v>26</v>
      </c>
      <c r="Q357" t="s">
        <v>27</v>
      </c>
      <c r="R357">
        <v>0</v>
      </c>
      <c r="S357" t="s">
        <v>28</v>
      </c>
    </row>
    <row r="358" spans="1:19">
      <c r="A358" t="s">
        <v>536</v>
      </c>
      <c r="B358" t="s">
        <v>1017</v>
      </c>
      <c r="C358" t="s">
        <v>39</v>
      </c>
      <c r="D358" t="s">
        <v>195</v>
      </c>
      <c r="E358" t="s">
        <v>196</v>
      </c>
      <c r="F358">
        <v>53</v>
      </c>
      <c r="G358" t="s">
        <v>24</v>
      </c>
      <c r="H358" t="s">
        <v>1018</v>
      </c>
      <c r="I358">
        <f>353-92-12-3456</f>
        <v>-3207</v>
      </c>
      <c r="J358" s="1">
        <v>43426</v>
      </c>
      <c r="K358" s="1">
        <v>45300</v>
      </c>
      <c r="L358">
        <v>146200.4</v>
      </c>
      <c r="M358">
        <v>74000.600000000006</v>
      </c>
      <c r="N358">
        <v>670</v>
      </c>
      <c r="O358">
        <v>161000</v>
      </c>
      <c r="P358" t="s">
        <v>76</v>
      </c>
      <c r="Q358" t="s">
        <v>27</v>
      </c>
      <c r="R358">
        <v>0</v>
      </c>
      <c r="S358" t="s">
        <v>28</v>
      </c>
    </row>
    <row r="359" spans="1:19">
      <c r="A359" t="s">
        <v>539</v>
      </c>
      <c r="B359" t="s">
        <v>1019</v>
      </c>
      <c r="C359" t="s">
        <v>21</v>
      </c>
      <c r="D359" t="s">
        <v>58</v>
      </c>
      <c r="E359" t="s">
        <v>59</v>
      </c>
      <c r="F359">
        <v>61</v>
      </c>
      <c r="G359" t="s">
        <v>34</v>
      </c>
      <c r="H359" t="s">
        <v>1020</v>
      </c>
      <c r="I359">
        <f>86-139-9012-3456</f>
        <v>-12521</v>
      </c>
      <c r="J359" s="1">
        <v>43006</v>
      </c>
      <c r="K359" s="1">
        <v>45299</v>
      </c>
      <c r="L359">
        <v>313100.75</v>
      </c>
      <c r="M359">
        <v>91000.8</v>
      </c>
      <c r="N359">
        <v>835</v>
      </c>
      <c r="O359">
        <v>306000</v>
      </c>
      <c r="P359" t="s">
        <v>36</v>
      </c>
      <c r="Q359" t="s">
        <v>27</v>
      </c>
      <c r="R359">
        <v>0</v>
      </c>
      <c r="S359" t="s">
        <v>28</v>
      </c>
    </row>
    <row r="360" spans="1:19">
      <c r="A360" t="s">
        <v>542</v>
      </c>
      <c r="B360" t="s">
        <v>1021</v>
      </c>
      <c r="C360" t="s">
        <v>52</v>
      </c>
      <c r="D360" t="s">
        <v>68</v>
      </c>
      <c r="E360" t="s">
        <v>179</v>
      </c>
      <c r="F360">
        <v>48</v>
      </c>
      <c r="G360" t="s">
        <v>34</v>
      </c>
      <c r="H360" t="s">
        <v>1022</v>
      </c>
      <c r="I360">
        <f>234-820-123-4567</f>
        <v>-5276</v>
      </c>
      <c r="J360" s="1">
        <v>43939</v>
      </c>
      <c r="K360" s="1">
        <v>45302</v>
      </c>
      <c r="L360">
        <v>58900.6</v>
      </c>
      <c r="M360">
        <v>28900.25</v>
      </c>
      <c r="N360">
        <v>665</v>
      </c>
      <c r="O360">
        <v>114000</v>
      </c>
      <c r="P360" t="s">
        <v>26</v>
      </c>
      <c r="Q360" t="s">
        <v>27</v>
      </c>
      <c r="R360">
        <v>0</v>
      </c>
      <c r="S360" t="s">
        <v>28</v>
      </c>
    </row>
    <row r="361" spans="1:19">
      <c r="A361" t="s">
        <v>545</v>
      </c>
      <c r="B361" t="s">
        <v>1023</v>
      </c>
      <c r="C361" t="s">
        <v>46</v>
      </c>
      <c r="D361" t="s">
        <v>241</v>
      </c>
      <c r="E361" t="s">
        <v>242</v>
      </c>
      <c r="F361">
        <v>40</v>
      </c>
      <c r="G361" t="s">
        <v>24</v>
      </c>
      <c r="H361" t="s">
        <v>1024</v>
      </c>
      <c r="I361">
        <f>39-354-890-1234</f>
        <v>-2439</v>
      </c>
      <c r="J361" s="1">
        <v>44573</v>
      </c>
      <c r="K361" s="1">
        <v>45303</v>
      </c>
      <c r="L361">
        <v>82200.800000000003</v>
      </c>
      <c r="M361">
        <v>36400.400000000001</v>
      </c>
      <c r="N361">
        <v>750</v>
      </c>
      <c r="O361">
        <v>140000</v>
      </c>
      <c r="P361" t="s">
        <v>26</v>
      </c>
      <c r="Q361" t="s">
        <v>27</v>
      </c>
      <c r="R361">
        <v>0</v>
      </c>
      <c r="S361" t="s">
        <v>28</v>
      </c>
    </row>
    <row r="362" spans="1:19">
      <c r="A362" t="s">
        <v>548</v>
      </c>
      <c r="B362" t="s">
        <v>1025</v>
      </c>
      <c r="C362" t="s">
        <v>57</v>
      </c>
      <c r="D362" t="s">
        <v>22</v>
      </c>
      <c r="E362" t="s">
        <v>118</v>
      </c>
      <c r="F362">
        <v>36</v>
      </c>
      <c r="G362" t="s">
        <v>34</v>
      </c>
      <c r="H362" t="s">
        <v>1026</v>
      </c>
      <c r="I362">
        <f>1-310-555-198</f>
        <v>-1062</v>
      </c>
      <c r="J362" s="1">
        <v>44760</v>
      </c>
      <c r="K362" s="1">
        <v>45305</v>
      </c>
      <c r="L362">
        <v>21100.9</v>
      </c>
      <c r="M362">
        <v>8800.75</v>
      </c>
      <c r="N362">
        <v>770</v>
      </c>
      <c r="O362">
        <v>71000</v>
      </c>
      <c r="P362" t="s">
        <v>36</v>
      </c>
      <c r="Q362" t="s">
        <v>27</v>
      </c>
      <c r="R362">
        <v>0</v>
      </c>
      <c r="S362" t="s">
        <v>28</v>
      </c>
    </row>
    <row r="363" spans="1:19">
      <c r="A363" t="s">
        <v>551</v>
      </c>
      <c r="B363" t="s">
        <v>1027</v>
      </c>
      <c r="C363" t="s">
        <v>39</v>
      </c>
      <c r="D363" t="s">
        <v>313</v>
      </c>
      <c r="E363" t="s">
        <v>314</v>
      </c>
      <c r="F363">
        <v>59</v>
      </c>
      <c r="G363" t="s">
        <v>24</v>
      </c>
      <c r="H363" t="s">
        <v>1028</v>
      </c>
      <c r="I363">
        <f>92-306-3210987</f>
        <v>-3211201</v>
      </c>
      <c r="J363" s="1">
        <v>43171</v>
      </c>
      <c r="K363" s="1">
        <v>45299</v>
      </c>
      <c r="L363">
        <v>199300.25</v>
      </c>
      <c r="M363">
        <v>95000.8</v>
      </c>
      <c r="N363">
        <v>645</v>
      </c>
      <c r="O363">
        <v>211000</v>
      </c>
      <c r="P363" t="s">
        <v>76</v>
      </c>
      <c r="Q363" t="s">
        <v>27</v>
      </c>
      <c r="R363">
        <v>0</v>
      </c>
      <c r="S363" t="s">
        <v>28</v>
      </c>
    </row>
    <row r="364" spans="1:19">
      <c r="A364" t="s">
        <v>554</v>
      </c>
      <c r="B364" t="s">
        <v>1029</v>
      </c>
      <c r="C364" t="s">
        <v>31</v>
      </c>
      <c r="D364" t="s">
        <v>214</v>
      </c>
      <c r="E364" t="s">
        <v>724</v>
      </c>
      <c r="F364">
        <v>32</v>
      </c>
      <c r="G364" t="s">
        <v>34</v>
      </c>
      <c r="H364" t="s">
        <v>1030</v>
      </c>
      <c r="I364">
        <f>34-629-12-345</f>
        <v>-952</v>
      </c>
      <c r="J364" s="1">
        <v>45214</v>
      </c>
      <c r="K364" s="1">
        <v>45306</v>
      </c>
      <c r="L364">
        <v>16200.5</v>
      </c>
      <c r="M364">
        <v>8400.4</v>
      </c>
      <c r="N364">
        <v>720</v>
      </c>
      <c r="O364">
        <v>48000</v>
      </c>
      <c r="P364" t="s">
        <v>36</v>
      </c>
      <c r="Q364" t="s">
        <v>27</v>
      </c>
      <c r="R364">
        <v>0</v>
      </c>
      <c r="S364" t="s">
        <v>28</v>
      </c>
    </row>
    <row r="365" spans="1:19">
      <c r="A365" t="s">
        <v>108</v>
      </c>
      <c r="B365" t="s">
        <v>1031</v>
      </c>
      <c r="C365" t="s">
        <v>84</v>
      </c>
      <c r="D365" t="s">
        <v>32</v>
      </c>
      <c r="E365" t="s">
        <v>33</v>
      </c>
      <c r="F365">
        <v>28</v>
      </c>
      <c r="G365" t="s">
        <v>24</v>
      </c>
      <c r="H365" t="s">
        <v>1032</v>
      </c>
      <c r="I365">
        <f>81-90-1234-5678</f>
        <v>-6921</v>
      </c>
      <c r="J365" s="1">
        <v>45303</v>
      </c>
      <c r="K365" s="1">
        <v>45304</v>
      </c>
      <c r="L365">
        <v>2450.8000000000002</v>
      </c>
      <c r="M365">
        <v>9800.25</v>
      </c>
      <c r="N365">
        <v>605</v>
      </c>
      <c r="O365">
        <v>24000</v>
      </c>
      <c r="P365" t="s">
        <v>76</v>
      </c>
      <c r="Q365" t="s">
        <v>43</v>
      </c>
      <c r="R365">
        <v>0</v>
      </c>
      <c r="S365" t="s">
        <v>28</v>
      </c>
    </row>
    <row r="366" spans="1:19">
      <c r="A366" t="s">
        <v>559</v>
      </c>
      <c r="B366" t="s">
        <v>1033</v>
      </c>
      <c r="C366" t="s">
        <v>46</v>
      </c>
      <c r="D366" t="s">
        <v>254</v>
      </c>
      <c r="E366" t="s">
        <v>255</v>
      </c>
      <c r="F366">
        <v>42</v>
      </c>
      <c r="G366" t="s">
        <v>34</v>
      </c>
      <c r="H366" t="s">
        <v>1034</v>
      </c>
      <c r="I366">
        <f>221-84-890-1234</f>
        <v>-1987</v>
      </c>
      <c r="J366" s="1">
        <v>44454</v>
      </c>
      <c r="K366" s="1">
        <v>45302</v>
      </c>
      <c r="L366">
        <v>68900.399999999994</v>
      </c>
      <c r="M366">
        <v>31100.75</v>
      </c>
      <c r="N366">
        <v>710</v>
      </c>
      <c r="O366">
        <v>122000</v>
      </c>
      <c r="P366" t="s">
        <v>26</v>
      </c>
      <c r="Q366" t="s">
        <v>27</v>
      </c>
      <c r="R366">
        <v>0</v>
      </c>
      <c r="S366" t="s">
        <v>28</v>
      </c>
    </row>
    <row r="367" spans="1:19">
      <c r="A367" t="s">
        <v>562</v>
      </c>
      <c r="B367" t="s">
        <v>1035</v>
      </c>
      <c r="C367" t="s">
        <v>39</v>
      </c>
      <c r="D367" t="s">
        <v>47</v>
      </c>
      <c r="E367" t="s">
        <v>98</v>
      </c>
      <c r="F367">
        <v>56</v>
      </c>
      <c r="G367" t="s">
        <v>24</v>
      </c>
      <c r="H367" t="s">
        <v>1036</v>
      </c>
      <c r="I367">
        <f>44-79-1234-5678</f>
        <v>-6947</v>
      </c>
      <c r="J367" s="1">
        <v>43340</v>
      </c>
      <c r="K367" s="1">
        <v>45300</v>
      </c>
      <c r="L367">
        <v>179500.6</v>
      </c>
      <c r="M367">
        <v>88000.25</v>
      </c>
      <c r="N367">
        <v>675</v>
      </c>
      <c r="O367">
        <v>191000</v>
      </c>
      <c r="P367" t="s">
        <v>76</v>
      </c>
      <c r="Q367" t="s">
        <v>27</v>
      </c>
      <c r="R367">
        <v>0</v>
      </c>
      <c r="S367" t="s">
        <v>28</v>
      </c>
    </row>
    <row r="368" spans="1:19">
      <c r="A368" t="s">
        <v>565</v>
      </c>
      <c r="B368" t="s">
        <v>1037</v>
      </c>
      <c r="C368" t="s">
        <v>52</v>
      </c>
      <c r="D368" t="s">
        <v>233</v>
      </c>
      <c r="E368" t="s">
        <v>234</v>
      </c>
      <c r="F368">
        <v>41</v>
      </c>
      <c r="G368" t="s">
        <v>34</v>
      </c>
      <c r="H368" t="s">
        <v>1038</v>
      </c>
      <c r="I368">
        <f>82-10-123-4567</f>
        <v>-4618</v>
      </c>
      <c r="J368" s="1">
        <v>44249</v>
      </c>
      <c r="K368" s="1">
        <v>45301</v>
      </c>
      <c r="L368">
        <v>45300.75</v>
      </c>
      <c r="M368">
        <v>22200.799999999999</v>
      </c>
      <c r="N368">
        <v>725</v>
      </c>
      <c r="O368">
        <v>88000</v>
      </c>
      <c r="P368" t="s">
        <v>26</v>
      </c>
      <c r="Q368" t="s">
        <v>27</v>
      </c>
      <c r="R368">
        <v>0</v>
      </c>
      <c r="S368" t="s">
        <v>28</v>
      </c>
    </row>
    <row r="369" spans="1:19">
      <c r="A369" t="s">
        <v>568</v>
      </c>
      <c r="B369" t="s">
        <v>1039</v>
      </c>
      <c r="C369" t="s">
        <v>57</v>
      </c>
      <c r="D369" t="s">
        <v>79</v>
      </c>
      <c r="E369" t="s">
        <v>80</v>
      </c>
      <c r="F369">
        <v>39</v>
      </c>
      <c r="G369" t="s">
        <v>24</v>
      </c>
      <c r="H369" t="s">
        <v>1040</v>
      </c>
      <c r="I369">
        <f>971-50-234-5678</f>
        <v>-4991</v>
      </c>
      <c r="J369" s="1">
        <v>44703</v>
      </c>
      <c r="K369" s="1">
        <v>45303</v>
      </c>
      <c r="L369">
        <v>23300.400000000001</v>
      </c>
      <c r="M369">
        <v>9600.9</v>
      </c>
      <c r="N369">
        <v>740</v>
      </c>
      <c r="O369">
        <v>74000</v>
      </c>
      <c r="P369" t="s">
        <v>36</v>
      </c>
      <c r="Q369" t="s">
        <v>27</v>
      </c>
      <c r="R369">
        <v>0</v>
      </c>
      <c r="S369" t="s">
        <v>28</v>
      </c>
    </row>
    <row r="370" spans="1:19">
      <c r="A370" t="s">
        <v>571</v>
      </c>
      <c r="B370" t="s">
        <v>1041</v>
      </c>
      <c r="C370" t="s">
        <v>21</v>
      </c>
      <c r="D370" t="s">
        <v>63</v>
      </c>
      <c r="E370" t="s">
        <v>64</v>
      </c>
      <c r="F370">
        <v>62</v>
      </c>
      <c r="G370" t="s">
        <v>34</v>
      </c>
      <c r="H370" t="s">
        <v>1042</v>
      </c>
      <c r="I370">
        <f>55-11-99234-5678</f>
        <v>-104868</v>
      </c>
      <c r="J370" s="1">
        <v>42873</v>
      </c>
      <c r="K370" s="1">
        <v>45299</v>
      </c>
      <c r="L370">
        <v>268400.90000000002</v>
      </c>
      <c r="M370">
        <v>78000.600000000006</v>
      </c>
      <c r="N370">
        <v>830</v>
      </c>
      <c r="O370">
        <v>286000</v>
      </c>
      <c r="P370" t="s">
        <v>36</v>
      </c>
      <c r="Q370" t="s">
        <v>27</v>
      </c>
      <c r="R370">
        <v>0</v>
      </c>
      <c r="S370" t="s">
        <v>28</v>
      </c>
    </row>
    <row r="371" spans="1:19">
      <c r="A371" t="s">
        <v>574</v>
      </c>
      <c r="B371" t="s">
        <v>1043</v>
      </c>
      <c r="C371" t="s">
        <v>39</v>
      </c>
      <c r="D371" t="s">
        <v>68</v>
      </c>
      <c r="E371" t="s">
        <v>114</v>
      </c>
      <c r="F371">
        <v>54</v>
      </c>
      <c r="G371" t="s">
        <v>24</v>
      </c>
      <c r="H371" t="s">
        <v>1044</v>
      </c>
      <c r="I371">
        <f>234-821-234-5678</f>
        <v>-6499</v>
      </c>
      <c r="J371" s="1">
        <v>43493</v>
      </c>
      <c r="K371" s="1">
        <v>45300</v>
      </c>
      <c r="L371">
        <v>157300.25</v>
      </c>
      <c r="M371">
        <v>80000.399999999994</v>
      </c>
      <c r="N371">
        <v>655</v>
      </c>
      <c r="O371">
        <v>176000</v>
      </c>
      <c r="P371" t="s">
        <v>76</v>
      </c>
      <c r="Q371" t="s">
        <v>27</v>
      </c>
      <c r="R371">
        <v>0</v>
      </c>
      <c r="S371" t="s">
        <v>28</v>
      </c>
    </row>
    <row r="372" spans="1:19">
      <c r="A372" t="s">
        <v>577</v>
      </c>
      <c r="B372" t="s">
        <v>1045</v>
      </c>
      <c r="C372" t="s">
        <v>46</v>
      </c>
      <c r="D372" t="s">
        <v>85</v>
      </c>
      <c r="E372" t="s">
        <v>162</v>
      </c>
      <c r="F372">
        <v>43</v>
      </c>
      <c r="G372" t="s">
        <v>34</v>
      </c>
      <c r="H372" t="s">
        <v>1046</v>
      </c>
      <c r="I372">
        <f>1-514-555-198</f>
        <v>-1266</v>
      </c>
      <c r="J372" s="1">
        <v>44375</v>
      </c>
      <c r="K372" s="1">
        <v>45302</v>
      </c>
      <c r="L372">
        <v>87800.6</v>
      </c>
      <c r="M372">
        <v>39100.75</v>
      </c>
      <c r="N372">
        <v>760</v>
      </c>
      <c r="O372">
        <v>145000</v>
      </c>
      <c r="P372" t="s">
        <v>26</v>
      </c>
      <c r="Q372" t="s">
        <v>27</v>
      </c>
      <c r="R372">
        <v>0</v>
      </c>
      <c r="S372" t="s">
        <v>28</v>
      </c>
    </row>
    <row r="373" spans="1:19">
      <c r="A373" t="s">
        <v>458</v>
      </c>
      <c r="B373" t="s">
        <v>1047</v>
      </c>
      <c r="C373" t="s">
        <v>31</v>
      </c>
      <c r="D373" t="s">
        <v>460</v>
      </c>
      <c r="E373" t="s">
        <v>663</v>
      </c>
      <c r="F373">
        <v>34</v>
      </c>
      <c r="G373" t="s">
        <v>24</v>
      </c>
      <c r="H373" t="s">
        <v>1048</v>
      </c>
      <c r="I373">
        <f>62-818-9012-3456</f>
        <v>-13224</v>
      </c>
      <c r="J373" s="1">
        <v>45150</v>
      </c>
      <c r="K373" s="1">
        <v>45306</v>
      </c>
      <c r="L373">
        <v>11400.25</v>
      </c>
      <c r="M373">
        <v>6700.8</v>
      </c>
      <c r="N373">
        <v>695</v>
      </c>
      <c r="O373">
        <v>45000</v>
      </c>
      <c r="P373" t="s">
        <v>26</v>
      </c>
      <c r="Q373" t="s">
        <v>43</v>
      </c>
      <c r="R373">
        <v>0</v>
      </c>
      <c r="S373" t="s">
        <v>28</v>
      </c>
    </row>
    <row r="374" spans="1:19">
      <c r="A374" t="s">
        <v>582</v>
      </c>
      <c r="B374" t="s">
        <v>1049</v>
      </c>
      <c r="C374" t="s">
        <v>57</v>
      </c>
      <c r="D374" t="s">
        <v>22</v>
      </c>
      <c r="E374" t="s">
        <v>23</v>
      </c>
      <c r="F374">
        <v>37</v>
      </c>
      <c r="G374" t="s">
        <v>34</v>
      </c>
      <c r="H374" t="s">
        <v>1050</v>
      </c>
      <c r="I374">
        <f>1-646-555-188</f>
        <v>-1388</v>
      </c>
      <c r="J374" s="1">
        <v>44642</v>
      </c>
      <c r="K374" s="1">
        <v>45303</v>
      </c>
      <c r="L374">
        <v>22200.9</v>
      </c>
      <c r="M374">
        <v>9200.25</v>
      </c>
      <c r="N374">
        <v>755</v>
      </c>
      <c r="O374">
        <v>67000</v>
      </c>
      <c r="P374" t="s">
        <v>36</v>
      </c>
      <c r="Q374" t="s">
        <v>27</v>
      </c>
      <c r="R374">
        <v>0</v>
      </c>
      <c r="S374" t="s">
        <v>28</v>
      </c>
    </row>
    <row r="375" spans="1:19">
      <c r="A375" t="s">
        <v>55</v>
      </c>
      <c r="B375" t="s">
        <v>1051</v>
      </c>
      <c r="C375" t="s">
        <v>39</v>
      </c>
      <c r="D375" t="s">
        <v>58</v>
      </c>
      <c r="E375" t="s">
        <v>122</v>
      </c>
      <c r="F375">
        <v>55</v>
      </c>
      <c r="G375" t="s">
        <v>24</v>
      </c>
      <c r="H375" t="s">
        <v>1052</v>
      </c>
      <c r="I375">
        <f>86-138-3456-7890</f>
        <v>-11398</v>
      </c>
      <c r="J375" s="1">
        <v>43395</v>
      </c>
      <c r="K375" s="1">
        <v>45300</v>
      </c>
      <c r="L375">
        <v>190200.4</v>
      </c>
      <c r="M375">
        <v>93000.75</v>
      </c>
      <c r="N375">
        <v>685</v>
      </c>
      <c r="O375">
        <v>201000</v>
      </c>
      <c r="P375" t="s">
        <v>76</v>
      </c>
      <c r="Q375" t="s">
        <v>27</v>
      </c>
      <c r="R375">
        <v>0</v>
      </c>
      <c r="S375" t="s">
        <v>28</v>
      </c>
    </row>
    <row r="376" spans="1:19">
      <c r="A376" t="s">
        <v>469</v>
      </c>
      <c r="B376" t="s">
        <v>1053</v>
      </c>
      <c r="C376" t="s">
        <v>52</v>
      </c>
      <c r="D376" t="s">
        <v>471</v>
      </c>
      <c r="E376" t="s">
        <v>472</v>
      </c>
      <c r="F376">
        <v>46</v>
      </c>
      <c r="G376" t="s">
        <v>34</v>
      </c>
      <c r="H376" t="s">
        <v>1054</v>
      </c>
      <c r="I376">
        <f>48-706-890-123</f>
        <v>-1671</v>
      </c>
      <c r="J376" s="1">
        <v>44040</v>
      </c>
      <c r="K376" s="1">
        <v>45301</v>
      </c>
      <c r="L376">
        <v>52200.800000000003</v>
      </c>
      <c r="M376">
        <v>25300.6</v>
      </c>
      <c r="N376">
        <v>715</v>
      </c>
      <c r="O376">
        <v>100000</v>
      </c>
      <c r="P376" t="s">
        <v>26</v>
      </c>
      <c r="Q376" t="s">
        <v>27</v>
      </c>
      <c r="R376">
        <v>0</v>
      </c>
      <c r="S376" t="s">
        <v>28</v>
      </c>
    </row>
    <row r="377" spans="1:19">
      <c r="A377" t="s">
        <v>474</v>
      </c>
      <c r="B377" t="s">
        <v>1055</v>
      </c>
      <c r="C377" t="s">
        <v>46</v>
      </c>
      <c r="D377" t="s">
        <v>345</v>
      </c>
      <c r="E377" t="s">
        <v>346</v>
      </c>
      <c r="F377">
        <v>49</v>
      </c>
      <c r="G377" t="s">
        <v>24</v>
      </c>
      <c r="H377" t="s">
        <v>1056</v>
      </c>
      <c r="I377">
        <f>880-1812-12345</f>
        <v>-13277</v>
      </c>
      <c r="J377" s="1">
        <v>43936</v>
      </c>
      <c r="K377" s="1">
        <v>45302</v>
      </c>
      <c r="L377">
        <v>80000.25</v>
      </c>
      <c r="M377">
        <v>35300.400000000001</v>
      </c>
      <c r="N377">
        <v>680</v>
      </c>
      <c r="O377">
        <v>129000</v>
      </c>
      <c r="P377" t="s">
        <v>26</v>
      </c>
      <c r="Q377" t="s">
        <v>27</v>
      </c>
      <c r="R377">
        <v>0</v>
      </c>
      <c r="S377" t="s">
        <v>28</v>
      </c>
    </row>
    <row r="378" spans="1:19">
      <c r="A378" t="s">
        <v>592</v>
      </c>
      <c r="B378" t="s">
        <v>1057</v>
      </c>
      <c r="C378" t="s">
        <v>84</v>
      </c>
      <c r="D378" t="s">
        <v>32</v>
      </c>
      <c r="E378" t="s">
        <v>90</v>
      </c>
      <c r="F378">
        <v>29</v>
      </c>
      <c r="G378" t="s">
        <v>34</v>
      </c>
      <c r="H378" t="s">
        <v>1058</v>
      </c>
      <c r="I378">
        <f>81-90-2345-6789</f>
        <v>-9143</v>
      </c>
      <c r="J378" s="1">
        <v>45299</v>
      </c>
      <c r="K378" s="1">
        <v>45304</v>
      </c>
      <c r="L378">
        <v>2550.4</v>
      </c>
      <c r="M378">
        <v>10400.75</v>
      </c>
      <c r="N378">
        <v>610</v>
      </c>
      <c r="O378">
        <v>25000</v>
      </c>
      <c r="P378" t="s">
        <v>76</v>
      </c>
      <c r="Q378" t="s">
        <v>43</v>
      </c>
      <c r="R378">
        <v>0</v>
      </c>
      <c r="S378" t="s">
        <v>28</v>
      </c>
    </row>
    <row r="379" spans="1:19">
      <c r="A379" t="s">
        <v>595</v>
      </c>
      <c r="B379" t="s">
        <v>1059</v>
      </c>
      <c r="C379" t="s">
        <v>21</v>
      </c>
      <c r="D379" t="s">
        <v>209</v>
      </c>
      <c r="E379" t="s">
        <v>210</v>
      </c>
      <c r="F379">
        <v>61</v>
      </c>
      <c r="G379" t="s">
        <v>24</v>
      </c>
      <c r="H379" t="s">
        <v>1060</v>
      </c>
      <c r="I379">
        <f>52-55-123-4567</f>
        <v>-4693</v>
      </c>
      <c r="J379" s="1">
        <v>43084</v>
      </c>
      <c r="K379" s="1">
        <v>45299</v>
      </c>
      <c r="L379">
        <v>288200.8</v>
      </c>
      <c r="M379">
        <v>84000.25</v>
      </c>
      <c r="N379">
        <v>825</v>
      </c>
      <c r="O379">
        <v>281000</v>
      </c>
      <c r="P379" t="s">
        <v>36</v>
      </c>
      <c r="Q379" t="s">
        <v>27</v>
      </c>
      <c r="R379">
        <v>0</v>
      </c>
      <c r="S379" t="s">
        <v>28</v>
      </c>
    </row>
    <row r="380" spans="1:19">
      <c r="A380" t="s">
        <v>226</v>
      </c>
      <c r="B380" t="s">
        <v>1061</v>
      </c>
      <c r="C380" t="s">
        <v>57</v>
      </c>
      <c r="D380" t="s">
        <v>228</v>
      </c>
      <c r="E380" t="s">
        <v>229</v>
      </c>
      <c r="F380">
        <v>36</v>
      </c>
      <c r="G380" t="s">
        <v>34</v>
      </c>
      <c r="H380" t="s">
        <v>1062</v>
      </c>
      <c r="I380">
        <f>254-730-123-456</f>
        <v>-1055</v>
      </c>
      <c r="J380" s="1">
        <v>44832</v>
      </c>
      <c r="K380" s="1">
        <v>45305</v>
      </c>
      <c r="L380">
        <v>18900.75</v>
      </c>
      <c r="M380">
        <v>7600.4</v>
      </c>
      <c r="N380">
        <v>725</v>
      </c>
      <c r="O380">
        <v>57000</v>
      </c>
      <c r="P380" t="s">
        <v>36</v>
      </c>
      <c r="Q380" t="s">
        <v>27</v>
      </c>
      <c r="R380">
        <v>0</v>
      </c>
      <c r="S380" t="s">
        <v>28</v>
      </c>
    </row>
    <row r="381" spans="1:19">
      <c r="A381" t="s">
        <v>488</v>
      </c>
      <c r="B381" t="s">
        <v>1063</v>
      </c>
      <c r="C381" t="s">
        <v>39</v>
      </c>
      <c r="D381" t="s">
        <v>304</v>
      </c>
      <c r="E381" t="s">
        <v>304</v>
      </c>
      <c r="F381">
        <v>53</v>
      </c>
      <c r="G381" t="s">
        <v>24</v>
      </c>
      <c r="H381" t="s">
        <v>1064</v>
      </c>
      <c r="I381">
        <f>65-8990-1234</f>
        <v>-10159</v>
      </c>
      <c r="J381" s="1">
        <v>43573</v>
      </c>
      <c r="K381" s="1">
        <v>45300</v>
      </c>
      <c r="L381">
        <v>168400.6</v>
      </c>
      <c r="M381">
        <v>84000.9</v>
      </c>
      <c r="N381">
        <v>675</v>
      </c>
      <c r="O381">
        <v>181000</v>
      </c>
      <c r="P381" t="s">
        <v>76</v>
      </c>
      <c r="Q381" t="s">
        <v>27</v>
      </c>
      <c r="R381">
        <v>0</v>
      </c>
      <c r="S381" t="s">
        <v>28</v>
      </c>
    </row>
    <row r="382" spans="1:19">
      <c r="A382" t="s">
        <v>491</v>
      </c>
      <c r="B382" t="s">
        <v>1065</v>
      </c>
      <c r="C382" t="s">
        <v>52</v>
      </c>
      <c r="D382" t="s">
        <v>493</v>
      </c>
      <c r="E382" t="s">
        <v>494</v>
      </c>
      <c r="F382">
        <v>44</v>
      </c>
      <c r="G382" t="s">
        <v>34</v>
      </c>
      <c r="H382" t="s">
        <v>1066</v>
      </c>
      <c r="I382">
        <f>30-698-901-2345</f>
        <v>-3914</v>
      </c>
      <c r="J382" s="1">
        <v>44338</v>
      </c>
      <c r="K382" s="1">
        <v>45302</v>
      </c>
      <c r="L382">
        <v>46400.4</v>
      </c>
      <c r="M382">
        <v>21100.25</v>
      </c>
      <c r="N382">
        <v>705</v>
      </c>
      <c r="O382">
        <v>89000</v>
      </c>
      <c r="P382" t="s">
        <v>26</v>
      </c>
      <c r="Q382" t="s">
        <v>27</v>
      </c>
      <c r="R382">
        <v>0</v>
      </c>
      <c r="S382" t="s">
        <v>28</v>
      </c>
    </row>
    <row r="383" spans="1:19">
      <c r="A383" t="s">
        <v>496</v>
      </c>
      <c r="B383" t="s">
        <v>1067</v>
      </c>
      <c r="C383" t="s">
        <v>46</v>
      </c>
      <c r="D383" t="s">
        <v>321</v>
      </c>
      <c r="E383" t="s">
        <v>322</v>
      </c>
      <c r="F383">
        <v>47</v>
      </c>
      <c r="G383" t="s">
        <v>24</v>
      </c>
      <c r="H383" t="s">
        <v>1068</v>
      </c>
      <c r="I383">
        <f>61-430-123-456</f>
        <v>-948</v>
      </c>
      <c r="J383" s="1">
        <v>43821</v>
      </c>
      <c r="K383" s="1">
        <v>45301</v>
      </c>
      <c r="L383">
        <v>93300.75</v>
      </c>
      <c r="M383">
        <v>42200.800000000003</v>
      </c>
      <c r="N383">
        <v>730</v>
      </c>
      <c r="O383">
        <v>155000</v>
      </c>
      <c r="P383" t="s">
        <v>26</v>
      </c>
      <c r="Q383" t="s">
        <v>27</v>
      </c>
      <c r="R383">
        <v>0</v>
      </c>
      <c r="S383" t="s">
        <v>28</v>
      </c>
    </row>
    <row r="384" spans="1:19">
      <c r="A384" t="s">
        <v>324</v>
      </c>
      <c r="B384" t="s">
        <v>1069</v>
      </c>
      <c r="C384" t="s">
        <v>31</v>
      </c>
      <c r="D384" t="s">
        <v>313</v>
      </c>
      <c r="E384" t="s">
        <v>385</v>
      </c>
      <c r="F384">
        <v>32</v>
      </c>
      <c r="G384" t="s">
        <v>34</v>
      </c>
      <c r="H384" t="s">
        <v>1070</v>
      </c>
      <c r="I384">
        <f>92-328-2109876</f>
        <v>-2110112</v>
      </c>
      <c r="J384" s="1">
        <v>45191</v>
      </c>
      <c r="K384" s="1">
        <v>45306</v>
      </c>
      <c r="L384">
        <v>10200.9</v>
      </c>
      <c r="M384">
        <v>6300.75</v>
      </c>
      <c r="N384">
        <v>685</v>
      </c>
      <c r="O384">
        <v>42000</v>
      </c>
      <c r="P384" t="s">
        <v>26</v>
      </c>
      <c r="Q384" t="s">
        <v>43</v>
      </c>
      <c r="R384">
        <v>0</v>
      </c>
      <c r="S384" t="s">
        <v>28</v>
      </c>
    </row>
    <row r="385" spans="1:19">
      <c r="A385" t="s">
        <v>503</v>
      </c>
      <c r="B385" t="s">
        <v>1071</v>
      </c>
      <c r="C385" t="s">
        <v>21</v>
      </c>
      <c r="D385" t="s">
        <v>32</v>
      </c>
      <c r="E385" t="s">
        <v>33</v>
      </c>
      <c r="F385">
        <v>64</v>
      </c>
      <c r="G385" t="s">
        <v>24</v>
      </c>
      <c r="H385" t="s">
        <v>1072</v>
      </c>
      <c r="I385">
        <f>81-80-8901-2345</f>
        <v>-11245</v>
      </c>
      <c r="J385" s="1">
        <v>42822</v>
      </c>
      <c r="K385" s="1">
        <v>45299</v>
      </c>
      <c r="L385">
        <v>299100.25</v>
      </c>
      <c r="M385">
        <v>88000.4</v>
      </c>
      <c r="N385">
        <v>840</v>
      </c>
      <c r="O385">
        <v>296000</v>
      </c>
      <c r="P385" t="s">
        <v>36</v>
      </c>
      <c r="Q385" t="s">
        <v>27</v>
      </c>
      <c r="R385">
        <v>0</v>
      </c>
      <c r="S385" t="s">
        <v>28</v>
      </c>
    </row>
    <row r="386" spans="1:19">
      <c r="A386" t="s">
        <v>506</v>
      </c>
      <c r="B386" t="s">
        <v>1073</v>
      </c>
      <c r="C386" t="s">
        <v>39</v>
      </c>
      <c r="D386" t="s">
        <v>68</v>
      </c>
      <c r="E386" t="s">
        <v>69</v>
      </c>
      <c r="F386">
        <v>56</v>
      </c>
      <c r="G386" t="s">
        <v>34</v>
      </c>
      <c r="H386" t="s">
        <v>1074</v>
      </c>
      <c r="I386">
        <f>234-820-123-4567</f>
        <v>-5276</v>
      </c>
      <c r="J386" s="1">
        <v>43334</v>
      </c>
      <c r="K386" s="1">
        <v>45300</v>
      </c>
      <c r="L386">
        <v>179500.4</v>
      </c>
      <c r="M386">
        <v>88000.75</v>
      </c>
      <c r="N386">
        <v>650</v>
      </c>
      <c r="O386">
        <v>191000</v>
      </c>
      <c r="P386" t="s">
        <v>76</v>
      </c>
      <c r="Q386" t="s">
        <v>27</v>
      </c>
      <c r="R386">
        <v>0</v>
      </c>
      <c r="S386" t="s">
        <v>28</v>
      </c>
    </row>
    <row r="387" spans="1:19">
      <c r="A387" t="s">
        <v>509</v>
      </c>
      <c r="B387" t="s">
        <v>1075</v>
      </c>
      <c r="C387" t="s">
        <v>46</v>
      </c>
      <c r="D387" t="s">
        <v>73</v>
      </c>
      <c r="E387" t="s">
        <v>74</v>
      </c>
      <c r="F387">
        <v>43</v>
      </c>
      <c r="G387" t="s">
        <v>24</v>
      </c>
      <c r="H387" t="s">
        <v>1076</v>
      </c>
      <c r="I387">
        <f>49-182-3456789</f>
        <v>-3456922</v>
      </c>
      <c r="J387" s="1">
        <v>44552</v>
      </c>
      <c r="K387" s="1">
        <v>45303</v>
      </c>
      <c r="L387">
        <v>81100.399999999994</v>
      </c>
      <c r="M387">
        <v>36400.25</v>
      </c>
      <c r="N387">
        <v>745</v>
      </c>
      <c r="O387">
        <v>135000</v>
      </c>
      <c r="P387" t="s">
        <v>26</v>
      </c>
      <c r="Q387" t="s">
        <v>27</v>
      </c>
      <c r="R387">
        <v>0</v>
      </c>
      <c r="S387" t="s">
        <v>28</v>
      </c>
    </row>
    <row r="388" spans="1:19">
      <c r="A388" t="s">
        <v>513</v>
      </c>
      <c r="B388" t="s">
        <v>1077</v>
      </c>
      <c r="C388" t="s">
        <v>57</v>
      </c>
      <c r="D388" t="s">
        <v>58</v>
      </c>
      <c r="E388" t="s">
        <v>59</v>
      </c>
      <c r="F388">
        <v>38</v>
      </c>
      <c r="G388" t="s">
        <v>34</v>
      </c>
      <c r="H388" t="s">
        <v>1078</v>
      </c>
      <c r="I388">
        <f>86-137-3456-7890</f>
        <v>-11397</v>
      </c>
      <c r="J388" s="1">
        <v>44740</v>
      </c>
      <c r="K388" s="1">
        <v>45302</v>
      </c>
      <c r="L388">
        <v>21100.799999999999</v>
      </c>
      <c r="M388">
        <v>8800.9</v>
      </c>
      <c r="N388">
        <v>765</v>
      </c>
      <c r="O388">
        <v>67000</v>
      </c>
      <c r="P388" t="s">
        <v>36</v>
      </c>
      <c r="Q388" t="s">
        <v>27</v>
      </c>
      <c r="R388">
        <v>0</v>
      </c>
      <c r="S388" t="s">
        <v>28</v>
      </c>
    </row>
    <row r="389" spans="1:19">
      <c r="A389" t="s">
        <v>516</v>
      </c>
      <c r="B389" t="s">
        <v>1079</v>
      </c>
      <c r="C389" t="s">
        <v>52</v>
      </c>
      <c r="D389" t="s">
        <v>277</v>
      </c>
      <c r="E389" t="s">
        <v>404</v>
      </c>
      <c r="F389">
        <v>51</v>
      </c>
      <c r="G389" t="s">
        <v>24</v>
      </c>
      <c r="H389" t="s">
        <v>1080</v>
      </c>
      <c r="I389">
        <f>20-122-432-1098</f>
        <v>-1632</v>
      </c>
      <c r="J389" s="1">
        <v>44004</v>
      </c>
      <c r="K389" s="1">
        <v>45301</v>
      </c>
      <c r="L389">
        <v>54400.75</v>
      </c>
      <c r="M389">
        <v>27500.400000000001</v>
      </c>
      <c r="N389">
        <v>675</v>
      </c>
      <c r="O389">
        <v>107000</v>
      </c>
      <c r="P389" t="s">
        <v>26</v>
      </c>
      <c r="Q389" t="s">
        <v>27</v>
      </c>
      <c r="R389">
        <v>0</v>
      </c>
      <c r="S389" t="s">
        <v>28</v>
      </c>
    </row>
    <row r="390" spans="1:19">
      <c r="A390" t="s">
        <v>519</v>
      </c>
      <c r="B390" t="s">
        <v>1081</v>
      </c>
      <c r="C390" t="s">
        <v>84</v>
      </c>
      <c r="D390" t="s">
        <v>183</v>
      </c>
      <c r="E390" t="s">
        <v>184</v>
      </c>
      <c r="F390">
        <v>30</v>
      </c>
      <c r="G390" t="s">
        <v>34</v>
      </c>
      <c r="H390" t="s">
        <v>1082</v>
      </c>
      <c r="I390">
        <f>33-6-123-4567</f>
        <v>-4663</v>
      </c>
      <c r="J390" s="1">
        <v>45306</v>
      </c>
      <c r="K390" s="1">
        <v>45304</v>
      </c>
      <c r="L390">
        <v>2800.25</v>
      </c>
      <c r="M390">
        <v>11600.6</v>
      </c>
      <c r="N390">
        <v>615</v>
      </c>
      <c r="O390">
        <v>27000</v>
      </c>
      <c r="P390" t="s">
        <v>76</v>
      </c>
      <c r="Q390" t="s">
        <v>43</v>
      </c>
      <c r="R390">
        <v>0</v>
      </c>
      <c r="S390" t="s">
        <v>28</v>
      </c>
    </row>
    <row r="391" spans="1:19">
      <c r="A391" t="s">
        <v>522</v>
      </c>
      <c r="B391" t="s">
        <v>1083</v>
      </c>
      <c r="C391" t="s">
        <v>39</v>
      </c>
      <c r="D391" t="s">
        <v>40</v>
      </c>
      <c r="E391" t="s">
        <v>41</v>
      </c>
      <c r="F391">
        <v>58</v>
      </c>
      <c r="G391" t="s">
        <v>24</v>
      </c>
      <c r="H391" t="s">
        <v>1084</v>
      </c>
      <c r="I391">
        <f>91-987-654-3210</f>
        <v>-4760</v>
      </c>
      <c r="J391" s="1">
        <v>43296</v>
      </c>
      <c r="K391" s="1">
        <v>45299</v>
      </c>
      <c r="L391">
        <v>214100.8</v>
      </c>
      <c r="M391">
        <v>101000.25</v>
      </c>
      <c r="N391">
        <v>660</v>
      </c>
      <c r="O391">
        <v>226000</v>
      </c>
      <c r="P391" t="s">
        <v>76</v>
      </c>
      <c r="Q391" t="s">
        <v>27</v>
      </c>
      <c r="R391">
        <v>0</v>
      </c>
      <c r="S391" t="s">
        <v>28</v>
      </c>
    </row>
    <row r="392" spans="1:19">
      <c r="A392" t="s">
        <v>306</v>
      </c>
      <c r="B392" t="s">
        <v>1085</v>
      </c>
      <c r="C392" t="s">
        <v>46</v>
      </c>
      <c r="D392" t="s">
        <v>209</v>
      </c>
      <c r="E392" t="s">
        <v>447</v>
      </c>
      <c r="F392">
        <v>45</v>
      </c>
      <c r="G392" t="s">
        <v>34</v>
      </c>
      <c r="H392" t="s">
        <v>1086</v>
      </c>
      <c r="I392">
        <f>52-33-5678-9012</f>
        <v>-14671</v>
      </c>
      <c r="J392" s="1">
        <v>44163</v>
      </c>
      <c r="K392" s="1">
        <v>45302</v>
      </c>
      <c r="L392">
        <v>75500.899999999994</v>
      </c>
      <c r="M392">
        <v>33300.75</v>
      </c>
      <c r="N392">
        <v>730</v>
      </c>
      <c r="O392">
        <v>130000</v>
      </c>
      <c r="P392" t="s">
        <v>26</v>
      </c>
      <c r="Q392" t="s">
        <v>27</v>
      </c>
      <c r="R392">
        <v>0</v>
      </c>
      <c r="S392" t="s">
        <v>28</v>
      </c>
    </row>
    <row r="393" spans="1:19">
      <c r="A393" t="s">
        <v>527</v>
      </c>
      <c r="B393" t="s">
        <v>1087</v>
      </c>
      <c r="C393" t="s">
        <v>31</v>
      </c>
      <c r="D393" t="s">
        <v>32</v>
      </c>
      <c r="E393" t="s">
        <v>90</v>
      </c>
      <c r="F393">
        <v>34</v>
      </c>
      <c r="G393" t="s">
        <v>34</v>
      </c>
      <c r="H393" t="s">
        <v>1088</v>
      </c>
      <c r="I393">
        <f>81-90-9012-3456</f>
        <v>-12477</v>
      </c>
      <c r="J393" s="1">
        <v>45227</v>
      </c>
      <c r="K393" s="1">
        <v>45305</v>
      </c>
      <c r="L393">
        <v>11300.4</v>
      </c>
      <c r="M393">
        <v>6600.25</v>
      </c>
      <c r="N393">
        <v>705</v>
      </c>
      <c r="O393">
        <v>44000</v>
      </c>
      <c r="P393" t="s">
        <v>26</v>
      </c>
      <c r="Q393" t="s">
        <v>43</v>
      </c>
      <c r="R393">
        <v>0</v>
      </c>
      <c r="S393" t="s">
        <v>28</v>
      </c>
    </row>
    <row r="394" spans="1:19">
      <c r="A394" t="s">
        <v>530</v>
      </c>
      <c r="B394" t="s">
        <v>1089</v>
      </c>
      <c r="C394" t="s">
        <v>57</v>
      </c>
      <c r="D394" t="s">
        <v>219</v>
      </c>
      <c r="E394" t="s">
        <v>220</v>
      </c>
      <c r="F394">
        <v>39</v>
      </c>
      <c r="G394" t="s">
        <v>24</v>
      </c>
      <c r="H394" t="s">
        <v>1090</v>
      </c>
      <c r="I394">
        <f>233-61-234-5678</f>
        <v>-5740</v>
      </c>
      <c r="J394" s="1">
        <v>44703</v>
      </c>
      <c r="K394" s="1">
        <v>45303</v>
      </c>
      <c r="L394">
        <v>20000.599999999999</v>
      </c>
      <c r="M394">
        <v>8200.7999999999993</v>
      </c>
      <c r="N394">
        <v>710</v>
      </c>
      <c r="O394">
        <v>60000</v>
      </c>
      <c r="P394" t="s">
        <v>36</v>
      </c>
      <c r="Q394" t="s">
        <v>27</v>
      </c>
      <c r="R394">
        <v>0</v>
      </c>
      <c r="S394" t="s">
        <v>28</v>
      </c>
    </row>
    <row r="395" spans="1:19">
      <c r="A395" t="s">
        <v>533</v>
      </c>
      <c r="B395" t="s">
        <v>1091</v>
      </c>
      <c r="C395" t="s">
        <v>52</v>
      </c>
      <c r="D395" t="s">
        <v>204</v>
      </c>
      <c r="E395" t="s">
        <v>259</v>
      </c>
      <c r="F395">
        <v>46</v>
      </c>
      <c r="G395" t="s">
        <v>34</v>
      </c>
      <c r="H395" t="s">
        <v>1092</v>
      </c>
      <c r="I395">
        <f>7-921-210-98-76</f>
        <v>-1298</v>
      </c>
      <c r="J395" s="1">
        <v>44010</v>
      </c>
      <c r="K395" s="1">
        <v>45301</v>
      </c>
      <c r="L395">
        <v>51300.25</v>
      </c>
      <c r="M395">
        <v>24400.9</v>
      </c>
      <c r="N395">
        <v>695</v>
      </c>
      <c r="O395">
        <v>95000</v>
      </c>
      <c r="P395" t="s">
        <v>26</v>
      </c>
      <c r="Q395" t="s">
        <v>27</v>
      </c>
      <c r="R395">
        <v>0</v>
      </c>
      <c r="S395" t="s">
        <v>28</v>
      </c>
    </row>
    <row r="396" spans="1:19">
      <c r="A396" t="s">
        <v>536</v>
      </c>
      <c r="B396" t="s">
        <v>1093</v>
      </c>
      <c r="C396" t="s">
        <v>39</v>
      </c>
      <c r="D396" t="s">
        <v>195</v>
      </c>
      <c r="E396" t="s">
        <v>300</v>
      </c>
      <c r="F396">
        <v>54</v>
      </c>
      <c r="G396" t="s">
        <v>24</v>
      </c>
      <c r="H396" t="s">
        <v>1094</v>
      </c>
      <c r="I396">
        <f>353-93-123-4567</f>
        <v>-4430</v>
      </c>
      <c r="J396" s="1">
        <v>43462</v>
      </c>
      <c r="K396" s="1">
        <v>45300</v>
      </c>
      <c r="L396">
        <v>146300.4</v>
      </c>
      <c r="M396">
        <v>75000.600000000006</v>
      </c>
      <c r="N396">
        <v>670</v>
      </c>
      <c r="O396">
        <v>162000</v>
      </c>
      <c r="P396" t="s">
        <v>76</v>
      </c>
      <c r="Q396" t="s">
        <v>27</v>
      </c>
      <c r="R396">
        <v>0</v>
      </c>
      <c r="S396" t="s">
        <v>28</v>
      </c>
    </row>
    <row r="397" spans="1:19">
      <c r="A397" t="s">
        <v>539</v>
      </c>
      <c r="B397" t="s">
        <v>1095</v>
      </c>
      <c r="C397" t="s">
        <v>21</v>
      </c>
      <c r="D397" t="s">
        <v>58</v>
      </c>
      <c r="E397" t="s">
        <v>122</v>
      </c>
      <c r="F397">
        <v>62</v>
      </c>
      <c r="G397" t="s">
        <v>34</v>
      </c>
      <c r="H397" t="s">
        <v>1096</v>
      </c>
      <c r="I397">
        <f>86-139-123-4567</f>
        <v>-4743</v>
      </c>
      <c r="J397" s="1">
        <v>43030</v>
      </c>
      <c r="K397" s="1">
        <v>45299</v>
      </c>
      <c r="L397">
        <v>313200.75</v>
      </c>
      <c r="M397">
        <v>92000.8</v>
      </c>
      <c r="N397">
        <v>835</v>
      </c>
      <c r="O397">
        <v>307000</v>
      </c>
      <c r="P397" t="s">
        <v>36</v>
      </c>
      <c r="Q397" t="s">
        <v>27</v>
      </c>
      <c r="R397">
        <v>0</v>
      </c>
      <c r="S397" t="s">
        <v>28</v>
      </c>
    </row>
    <row r="398" spans="1:19">
      <c r="A398" t="s">
        <v>542</v>
      </c>
      <c r="B398" t="s">
        <v>1097</v>
      </c>
      <c r="C398" t="s">
        <v>52</v>
      </c>
      <c r="D398" t="s">
        <v>68</v>
      </c>
      <c r="E398" t="s">
        <v>69</v>
      </c>
      <c r="F398">
        <v>49</v>
      </c>
      <c r="G398" t="s">
        <v>34</v>
      </c>
      <c r="H398" t="s">
        <v>1098</v>
      </c>
      <c r="I398">
        <f>234-821-234-5678</f>
        <v>-6499</v>
      </c>
      <c r="J398" s="1">
        <v>43966</v>
      </c>
      <c r="K398" s="1">
        <v>45302</v>
      </c>
      <c r="L398">
        <v>60000.6</v>
      </c>
      <c r="M398">
        <v>30000.25</v>
      </c>
      <c r="N398">
        <v>665</v>
      </c>
      <c r="O398">
        <v>115000</v>
      </c>
      <c r="P398" t="s">
        <v>26</v>
      </c>
      <c r="Q398" t="s">
        <v>27</v>
      </c>
      <c r="R398">
        <v>0</v>
      </c>
      <c r="S398" t="s">
        <v>28</v>
      </c>
    </row>
    <row r="399" spans="1:19">
      <c r="A399" t="s">
        <v>545</v>
      </c>
      <c r="B399" t="s">
        <v>1099</v>
      </c>
      <c r="C399" t="s">
        <v>46</v>
      </c>
      <c r="D399" t="s">
        <v>241</v>
      </c>
      <c r="E399" t="s">
        <v>389</v>
      </c>
      <c r="F399">
        <v>41</v>
      </c>
      <c r="G399" t="s">
        <v>24</v>
      </c>
      <c r="H399" t="s">
        <v>1100</v>
      </c>
      <c r="I399">
        <f>39-355-901-2345</f>
        <v>-3562</v>
      </c>
      <c r="J399" s="1">
        <v>44607</v>
      </c>
      <c r="K399" s="1">
        <v>45303</v>
      </c>
      <c r="L399">
        <v>83300.800000000003</v>
      </c>
      <c r="M399">
        <v>37500.400000000001</v>
      </c>
      <c r="N399">
        <v>750</v>
      </c>
      <c r="O399">
        <v>141000</v>
      </c>
      <c r="P399" t="s">
        <v>26</v>
      </c>
      <c r="Q399" t="s">
        <v>27</v>
      </c>
      <c r="R399">
        <v>0</v>
      </c>
      <c r="S399" t="s">
        <v>28</v>
      </c>
    </row>
    <row r="400" spans="1:19">
      <c r="A400" t="s">
        <v>548</v>
      </c>
      <c r="B400" t="s">
        <v>1101</v>
      </c>
      <c r="C400" t="s">
        <v>57</v>
      </c>
      <c r="D400" t="s">
        <v>22</v>
      </c>
      <c r="E400" t="s">
        <v>381</v>
      </c>
      <c r="F400">
        <v>37</v>
      </c>
      <c r="G400" t="s">
        <v>34</v>
      </c>
      <c r="H400" t="s">
        <v>1102</v>
      </c>
      <c r="I400">
        <f>1-415-555-196</f>
        <v>-1165</v>
      </c>
      <c r="J400" s="1">
        <v>44795</v>
      </c>
      <c r="K400" s="1">
        <v>45305</v>
      </c>
      <c r="L400">
        <v>22200.9</v>
      </c>
      <c r="M400">
        <v>9200.75</v>
      </c>
      <c r="N400">
        <v>770</v>
      </c>
      <c r="O400">
        <v>72000</v>
      </c>
      <c r="P400" t="s">
        <v>36</v>
      </c>
      <c r="Q400" t="s">
        <v>27</v>
      </c>
      <c r="R400">
        <v>0</v>
      </c>
      <c r="S400" t="s">
        <v>28</v>
      </c>
    </row>
    <row r="401" spans="1:19">
      <c r="A401" t="s">
        <v>551</v>
      </c>
      <c r="B401" t="s">
        <v>1103</v>
      </c>
      <c r="C401" t="s">
        <v>39</v>
      </c>
      <c r="D401" t="s">
        <v>313</v>
      </c>
      <c r="E401" t="s">
        <v>501</v>
      </c>
      <c r="F401">
        <v>60</v>
      </c>
      <c r="G401" t="s">
        <v>24</v>
      </c>
      <c r="H401" t="s">
        <v>1104</v>
      </c>
      <c r="I401">
        <f>92-307-2109876</f>
        <v>-2110091</v>
      </c>
      <c r="J401" s="1">
        <v>43208</v>
      </c>
      <c r="K401" s="1">
        <v>45299</v>
      </c>
      <c r="L401">
        <v>199400.25</v>
      </c>
      <c r="M401">
        <v>96000.8</v>
      </c>
      <c r="N401">
        <v>645</v>
      </c>
      <c r="O401">
        <v>212000</v>
      </c>
      <c r="P401" t="s">
        <v>76</v>
      </c>
      <c r="Q401" t="s">
        <v>27</v>
      </c>
      <c r="R401">
        <v>0</v>
      </c>
      <c r="S401" t="s">
        <v>28</v>
      </c>
    </row>
    <row r="402" spans="1:19">
      <c r="A402" t="s">
        <v>554</v>
      </c>
      <c r="B402" t="s">
        <v>1105</v>
      </c>
      <c r="C402" t="s">
        <v>31</v>
      </c>
      <c r="D402" t="s">
        <v>214</v>
      </c>
      <c r="E402" t="s">
        <v>483</v>
      </c>
      <c r="F402">
        <v>33</v>
      </c>
      <c r="G402" t="s">
        <v>34</v>
      </c>
      <c r="H402" t="s">
        <v>1106</v>
      </c>
      <c r="I402">
        <f>34-630-123-456</f>
        <v>-1175</v>
      </c>
      <c r="J402" s="1">
        <v>45242</v>
      </c>
      <c r="K402" s="1">
        <v>45306</v>
      </c>
      <c r="L402">
        <v>17200.5</v>
      </c>
      <c r="M402">
        <v>8800.4</v>
      </c>
      <c r="N402">
        <v>720</v>
      </c>
      <c r="O402">
        <v>49000</v>
      </c>
      <c r="P402" t="s">
        <v>36</v>
      </c>
      <c r="Q402" t="s">
        <v>27</v>
      </c>
      <c r="R402">
        <v>0</v>
      </c>
      <c r="S402" t="s">
        <v>28</v>
      </c>
    </row>
    <row r="403" spans="1:19">
      <c r="A403" t="s">
        <v>108</v>
      </c>
      <c r="B403" t="s">
        <v>1107</v>
      </c>
      <c r="C403" t="s">
        <v>84</v>
      </c>
      <c r="D403" t="s">
        <v>32</v>
      </c>
      <c r="E403" t="s">
        <v>33</v>
      </c>
      <c r="F403">
        <v>29</v>
      </c>
      <c r="G403" t="s">
        <v>24</v>
      </c>
      <c r="H403" t="s">
        <v>1108</v>
      </c>
      <c r="I403">
        <f>81-90-2345-6789</f>
        <v>-9143</v>
      </c>
      <c r="J403" s="1">
        <v>45309</v>
      </c>
      <c r="K403" s="1">
        <v>45304</v>
      </c>
      <c r="L403">
        <v>2550.8000000000002</v>
      </c>
      <c r="M403">
        <v>10000.25</v>
      </c>
      <c r="N403">
        <v>605</v>
      </c>
      <c r="O403">
        <v>25000</v>
      </c>
      <c r="P403" t="s">
        <v>76</v>
      </c>
      <c r="Q403" t="s">
        <v>43</v>
      </c>
      <c r="R403">
        <v>0</v>
      </c>
      <c r="S403" t="s">
        <v>28</v>
      </c>
    </row>
    <row r="404" spans="1:19">
      <c r="A404" t="s">
        <v>559</v>
      </c>
      <c r="B404" t="s">
        <v>1109</v>
      </c>
      <c r="C404" t="s">
        <v>46</v>
      </c>
      <c r="D404" t="s">
        <v>254</v>
      </c>
      <c r="E404" t="s">
        <v>255</v>
      </c>
      <c r="F404">
        <v>43</v>
      </c>
      <c r="G404" t="s">
        <v>34</v>
      </c>
      <c r="H404" t="s">
        <v>1110</v>
      </c>
      <c r="I404">
        <f>221-85-901-2345</f>
        <v>-3110</v>
      </c>
      <c r="J404" s="1">
        <v>44491</v>
      </c>
      <c r="K404" s="1">
        <v>45302</v>
      </c>
      <c r="L404">
        <v>70000.399999999994</v>
      </c>
      <c r="M404">
        <v>32200.75</v>
      </c>
      <c r="N404">
        <v>710</v>
      </c>
      <c r="O404">
        <v>123000</v>
      </c>
      <c r="P404" t="s">
        <v>26</v>
      </c>
      <c r="Q404" t="s">
        <v>27</v>
      </c>
      <c r="R404">
        <v>0</v>
      </c>
      <c r="S404" t="s">
        <v>28</v>
      </c>
    </row>
    <row r="405" spans="1:19">
      <c r="A405" t="s">
        <v>562</v>
      </c>
      <c r="B405" t="s">
        <v>1111</v>
      </c>
      <c r="C405" t="s">
        <v>39</v>
      </c>
      <c r="D405" t="s">
        <v>47</v>
      </c>
      <c r="E405" t="s">
        <v>48</v>
      </c>
      <c r="F405">
        <v>57</v>
      </c>
      <c r="G405" t="s">
        <v>24</v>
      </c>
      <c r="H405" t="s">
        <v>1112</v>
      </c>
      <c r="I405">
        <f>44-79-2345-6789</f>
        <v>-9169</v>
      </c>
      <c r="J405" s="1">
        <v>43358</v>
      </c>
      <c r="K405" s="1">
        <v>45300</v>
      </c>
      <c r="L405">
        <v>179600.6</v>
      </c>
      <c r="M405">
        <v>89000.25</v>
      </c>
      <c r="N405">
        <v>675</v>
      </c>
      <c r="O405">
        <v>192000</v>
      </c>
      <c r="P405" t="s">
        <v>76</v>
      </c>
      <c r="Q405" t="s">
        <v>27</v>
      </c>
      <c r="R405">
        <v>0</v>
      </c>
      <c r="S405" t="s">
        <v>28</v>
      </c>
    </row>
    <row r="406" spans="1:19">
      <c r="A406" t="s">
        <v>565</v>
      </c>
      <c r="B406" t="s">
        <v>1113</v>
      </c>
      <c r="C406" t="s">
        <v>52</v>
      </c>
      <c r="D406" t="s">
        <v>233</v>
      </c>
      <c r="E406" t="s">
        <v>296</v>
      </c>
      <c r="F406">
        <v>42</v>
      </c>
      <c r="G406" t="s">
        <v>34</v>
      </c>
      <c r="H406" t="s">
        <v>1114</v>
      </c>
      <c r="I406">
        <f>82-10-1234-5678</f>
        <v>-6840</v>
      </c>
      <c r="J406" s="1">
        <v>44283</v>
      </c>
      <c r="K406" s="1">
        <v>45301</v>
      </c>
      <c r="L406">
        <v>46400.75</v>
      </c>
      <c r="M406">
        <v>23300.799999999999</v>
      </c>
      <c r="N406">
        <v>725</v>
      </c>
      <c r="O406">
        <v>89000</v>
      </c>
      <c r="P406" t="s">
        <v>26</v>
      </c>
      <c r="Q406" t="s">
        <v>27</v>
      </c>
      <c r="R406">
        <v>0</v>
      </c>
      <c r="S406" t="s">
        <v>28</v>
      </c>
    </row>
    <row r="407" spans="1:19">
      <c r="A407" t="s">
        <v>568</v>
      </c>
      <c r="B407" t="s">
        <v>1115</v>
      </c>
      <c r="C407" t="s">
        <v>57</v>
      </c>
      <c r="D407" t="s">
        <v>79</v>
      </c>
      <c r="E407" t="s">
        <v>102</v>
      </c>
      <c r="F407">
        <v>40</v>
      </c>
      <c r="G407" t="s">
        <v>24</v>
      </c>
      <c r="H407" t="s">
        <v>1116</v>
      </c>
      <c r="I407">
        <f>971-50-345-6789</f>
        <v>-6213</v>
      </c>
      <c r="J407" s="1">
        <v>44740</v>
      </c>
      <c r="K407" s="1">
        <v>45303</v>
      </c>
      <c r="L407">
        <v>24400.400000000001</v>
      </c>
      <c r="M407">
        <v>10000.9</v>
      </c>
      <c r="N407">
        <v>740</v>
      </c>
      <c r="O407">
        <v>75000</v>
      </c>
      <c r="P407" t="s">
        <v>36</v>
      </c>
      <c r="Q407" t="s">
        <v>27</v>
      </c>
      <c r="R407">
        <v>0</v>
      </c>
      <c r="S407" t="s">
        <v>28</v>
      </c>
    </row>
    <row r="408" spans="1:19">
      <c r="A408" t="s">
        <v>571</v>
      </c>
      <c r="B408" t="s">
        <v>1117</v>
      </c>
      <c r="C408" t="s">
        <v>21</v>
      </c>
      <c r="D408" t="s">
        <v>63</v>
      </c>
      <c r="E408" t="s">
        <v>106</v>
      </c>
      <c r="F408">
        <v>63</v>
      </c>
      <c r="G408" t="s">
        <v>34</v>
      </c>
      <c r="H408" t="s">
        <v>1118</v>
      </c>
      <c r="I408">
        <f>55-21-99345-6789</f>
        <v>-106100</v>
      </c>
      <c r="J408" s="1">
        <v>42914</v>
      </c>
      <c r="K408" s="1">
        <v>45299</v>
      </c>
      <c r="L408">
        <v>268500.90000000002</v>
      </c>
      <c r="M408">
        <v>79000.600000000006</v>
      </c>
      <c r="N408">
        <v>830</v>
      </c>
      <c r="O408">
        <v>287000</v>
      </c>
      <c r="P408" t="s">
        <v>36</v>
      </c>
      <c r="Q408" t="s">
        <v>27</v>
      </c>
      <c r="R408">
        <v>0</v>
      </c>
      <c r="S408" t="s">
        <v>28</v>
      </c>
    </row>
    <row r="409" spans="1:19">
      <c r="A409" t="s">
        <v>574</v>
      </c>
      <c r="B409" t="s">
        <v>1119</v>
      </c>
      <c r="C409" t="s">
        <v>39</v>
      </c>
      <c r="D409" t="s">
        <v>68</v>
      </c>
      <c r="E409" t="s">
        <v>179</v>
      </c>
      <c r="F409">
        <v>55</v>
      </c>
      <c r="G409" t="s">
        <v>24</v>
      </c>
      <c r="H409" t="s">
        <v>1120</v>
      </c>
      <c r="I409">
        <f>234-822-345-6789</f>
        <v>-7722</v>
      </c>
      <c r="J409" s="1">
        <v>43518</v>
      </c>
      <c r="K409" s="1">
        <v>45300</v>
      </c>
      <c r="L409">
        <v>157400.25</v>
      </c>
      <c r="M409">
        <v>81000.399999999994</v>
      </c>
      <c r="N409">
        <v>655</v>
      </c>
      <c r="O409">
        <v>177000</v>
      </c>
      <c r="P409" t="s">
        <v>76</v>
      </c>
      <c r="Q409" t="s">
        <v>27</v>
      </c>
      <c r="R409">
        <v>0</v>
      </c>
      <c r="S409" t="s">
        <v>28</v>
      </c>
    </row>
    <row r="410" spans="1:19">
      <c r="A410" t="s">
        <v>577</v>
      </c>
      <c r="B410" t="s">
        <v>1121</v>
      </c>
      <c r="C410" t="s">
        <v>46</v>
      </c>
      <c r="D410" t="s">
        <v>85</v>
      </c>
      <c r="E410" t="s">
        <v>130</v>
      </c>
      <c r="F410">
        <v>44</v>
      </c>
      <c r="G410" t="s">
        <v>34</v>
      </c>
      <c r="H410" t="s">
        <v>1122</v>
      </c>
      <c r="I410">
        <f>1-604-555-194</f>
        <v>-1352</v>
      </c>
      <c r="J410" s="1">
        <v>44399</v>
      </c>
      <c r="K410" s="1">
        <v>45302</v>
      </c>
      <c r="L410">
        <v>88900.6</v>
      </c>
      <c r="M410">
        <v>40200.75</v>
      </c>
      <c r="N410">
        <v>760</v>
      </c>
      <c r="O410">
        <v>146000</v>
      </c>
      <c r="P410" t="s">
        <v>26</v>
      </c>
      <c r="Q410" t="s">
        <v>27</v>
      </c>
      <c r="R410">
        <v>0</v>
      </c>
      <c r="S410" t="s">
        <v>28</v>
      </c>
    </row>
    <row r="411" spans="1:19">
      <c r="A411" t="s">
        <v>458</v>
      </c>
      <c r="B411" t="s">
        <v>1123</v>
      </c>
      <c r="C411" t="s">
        <v>31</v>
      </c>
      <c r="D411" t="s">
        <v>460</v>
      </c>
      <c r="E411" t="s">
        <v>461</v>
      </c>
      <c r="F411">
        <v>35</v>
      </c>
      <c r="G411" t="s">
        <v>24</v>
      </c>
      <c r="H411" t="s">
        <v>1124</v>
      </c>
      <c r="I411">
        <f>62-819-123-4567</f>
        <v>-5447</v>
      </c>
      <c r="J411" s="1">
        <v>45187</v>
      </c>
      <c r="K411" s="1">
        <v>45306</v>
      </c>
      <c r="L411">
        <v>11900.25</v>
      </c>
      <c r="M411">
        <v>7000.8</v>
      </c>
      <c r="N411">
        <v>695</v>
      </c>
      <c r="O411">
        <v>46000</v>
      </c>
      <c r="P411" t="s">
        <v>26</v>
      </c>
      <c r="Q411" t="s">
        <v>43</v>
      </c>
      <c r="R411">
        <v>0</v>
      </c>
      <c r="S411" t="s">
        <v>28</v>
      </c>
    </row>
    <row r="412" spans="1:19">
      <c r="A412" t="s">
        <v>582</v>
      </c>
      <c r="B412" t="s">
        <v>1125</v>
      </c>
      <c r="C412" t="s">
        <v>57</v>
      </c>
      <c r="D412" t="s">
        <v>22</v>
      </c>
      <c r="E412" t="s">
        <v>53</v>
      </c>
      <c r="F412">
        <v>38</v>
      </c>
      <c r="G412" t="s">
        <v>34</v>
      </c>
      <c r="H412" t="s">
        <v>1126</v>
      </c>
      <c r="I412">
        <f>1-773-555-192</f>
        <v>-1519</v>
      </c>
      <c r="J412" s="1">
        <v>44679</v>
      </c>
      <c r="K412" s="1">
        <v>45303</v>
      </c>
      <c r="L412">
        <v>23300.9</v>
      </c>
      <c r="M412">
        <v>9600.25</v>
      </c>
      <c r="N412">
        <v>755</v>
      </c>
      <c r="O412">
        <v>68000</v>
      </c>
      <c r="P412" t="s">
        <v>36</v>
      </c>
      <c r="Q412" t="s">
        <v>27</v>
      </c>
      <c r="R412">
        <v>0</v>
      </c>
      <c r="S412" t="s">
        <v>28</v>
      </c>
    </row>
    <row r="413" spans="1:19">
      <c r="A413" t="s">
        <v>55</v>
      </c>
      <c r="B413" t="s">
        <v>1127</v>
      </c>
      <c r="C413" t="s">
        <v>39</v>
      </c>
      <c r="D413" t="s">
        <v>58</v>
      </c>
      <c r="E413" t="s">
        <v>122</v>
      </c>
      <c r="F413">
        <v>56</v>
      </c>
      <c r="G413" t="s">
        <v>24</v>
      </c>
      <c r="H413" t="s">
        <v>1128</v>
      </c>
      <c r="I413">
        <f>86-138-4567-8901</f>
        <v>-13520</v>
      </c>
      <c r="J413" s="1">
        <v>43432</v>
      </c>
      <c r="K413" s="1">
        <v>45300</v>
      </c>
      <c r="L413">
        <v>190300.4</v>
      </c>
      <c r="M413">
        <v>94000.75</v>
      </c>
      <c r="N413">
        <v>685</v>
      </c>
      <c r="O413">
        <v>202000</v>
      </c>
      <c r="P413" t="s">
        <v>76</v>
      </c>
      <c r="Q413" t="s">
        <v>27</v>
      </c>
      <c r="R413">
        <v>0</v>
      </c>
      <c r="S413" t="s">
        <v>28</v>
      </c>
    </row>
    <row r="414" spans="1:19">
      <c r="A414" t="s">
        <v>469</v>
      </c>
      <c r="B414" t="s">
        <v>1129</v>
      </c>
      <c r="C414" t="s">
        <v>52</v>
      </c>
      <c r="D414" t="s">
        <v>471</v>
      </c>
      <c r="E414" t="s">
        <v>472</v>
      </c>
      <c r="F414">
        <v>47</v>
      </c>
      <c r="G414" t="s">
        <v>34</v>
      </c>
      <c r="H414" t="s">
        <v>1130</v>
      </c>
      <c r="I414">
        <f>48-707-901-234</f>
        <v>-1794</v>
      </c>
      <c r="J414" s="1">
        <v>44058</v>
      </c>
      <c r="K414" s="1">
        <v>45301</v>
      </c>
      <c r="L414">
        <v>53300.800000000003</v>
      </c>
      <c r="M414">
        <v>26400.6</v>
      </c>
      <c r="N414">
        <v>715</v>
      </c>
      <c r="O414">
        <v>101000</v>
      </c>
      <c r="P414" t="s">
        <v>26</v>
      </c>
      <c r="Q414" t="s">
        <v>27</v>
      </c>
      <c r="R414">
        <v>0</v>
      </c>
      <c r="S414" t="s">
        <v>28</v>
      </c>
    </row>
    <row r="415" spans="1:19">
      <c r="A415" t="s">
        <v>474</v>
      </c>
      <c r="B415" t="s">
        <v>1131</v>
      </c>
      <c r="C415" t="s">
        <v>46</v>
      </c>
      <c r="D415" t="s">
        <v>345</v>
      </c>
      <c r="E415" t="s">
        <v>476</v>
      </c>
      <c r="F415">
        <v>50</v>
      </c>
      <c r="G415" t="s">
        <v>24</v>
      </c>
      <c r="H415" t="s">
        <v>1132</v>
      </c>
      <c r="I415">
        <f>880-1812-123456</f>
        <v>-124388</v>
      </c>
      <c r="J415" s="1">
        <v>43973</v>
      </c>
      <c r="K415" s="1">
        <v>45302</v>
      </c>
      <c r="L415">
        <v>81100.25</v>
      </c>
      <c r="M415">
        <v>36400.400000000001</v>
      </c>
      <c r="N415">
        <v>680</v>
      </c>
      <c r="O415">
        <v>130000</v>
      </c>
      <c r="P415" t="s">
        <v>26</v>
      </c>
      <c r="Q415" t="s">
        <v>27</v>
      </c>
      <c r="R415">
        <v>0</v>
      </c>
      <c r="S415" t="s">
        <v>28</v>
      </c>
    </row>
    <row r="416" spans="1:19">
      <c r="A416" t="s">
        <v>592</v>
      </c>
      <c r="B416" t="s">
        <v>1133</v>
      </c>
      <c r="C416" t="s">
        <v>84</v>
      </c>
      <c r="D416" t="s">
        <v>32</v>
      </c>
      <c r="E416" t="s">
        <v>90</v>
      </c>
      <c r="F416">
        <v>30</v>
      </c>
      <c r="G416" t="s">
        <v>34</v>
      </c>
      <c r="H416" t="s">
        <v>1134</v>
      </c>
      <c r="I416">
        <f>81-90-3456-7890</f>
        <v>-11355</v>
      </c>
      <c r="J416" s="1">
        <v>45313</v>
      </c>
      <c r="K416" s="1">
        <v>45304</v>
      </c>
      <c r="L416">
        <v>2650.4</v>
      </c>
      <c r="M416">
        <v>10600.75</v>
      </c>
      <c r="N416">
        <v>610</v>
      </c>
      <c r="O416">
        <v>26000</v>
      </c>
      <c r="P416" t="s">
        <v>76</v>
      </c>
      <c r="Q416" t="s">
        <v>43</v>
      </c>
      <c r="R416">
        <v>0</v>
      </c>
      <c r="S416" t="s">
        <v>28</v>
      </c>
    </row>
    <row r="417" spans="1:19">
      <c r="A417" t="s">
        <v>595</v>
      </c>
      <c r="B417" t="s">
        <v>1135</v>
      </c>
      <c r="C417" t="s">
        <v>21</v>
      </c>
      <c r="D417" t="s">
        <v>209</v>
      </c>
      <c r="E417" t="s">
        <v>210</v>
      </c>
      <c r="F417">
        <v>62</v>
      </c>
      <c r="G417" t="s">
        <v>24</v>
      </c>
      <c r="H417" t="s">
        <v>1136</v>
      </c>
      <c r="I417">
        <f>52-55-1234-5678</f>
        <v>-6915</v>
      </c>
      <c r="J417" s="1">
        <v>43108</v>
      </c>
      <c r="K417" s="1">
        <v>45299</v>
      </c>
      <c r="L417">
        <v>288300.79999999999</v>
      </c>
      <c r="M417">
        <v>85000.25</v>
      </c>
      <c r="N417">
        <v>825</v>
      </c>
      <c r="O417">
        <v>282000</v>
      </c>
      <c r="P417" t="s">
        <v>36</v>
      </c>
      <c r="Q417" t="s">
        <v>27</v>
      </c>
      <c r="R417">
        <v>0</v>
      </c>
      <c r="S417" t="s">
        <v>28</v>
      </c>
    </row>
    <row r="418" spans="1:19">
      <c r="A418" t="s">
        <v>226</v>
      </c>
      <c r="B418" t="s">
        <v>1137</v>
      </c>
      <c r="C418" t="s">
        <v>57</v>
      </c>
      <c r="D418" t="s">
        <v>228</v>
      </c>
      <c r="E418" t="s">
        <v>678</v>
      </c>
      <c r="F418">
        <v>37</v>
      </c>
      <c r="G418" t="s">
        <v>34</v>
      </c>
      <c r="H418" t="s">
        <v>1138</v>
      </c>
      <c r="I418">
        <f>254-731-234-567</f>
        <v>-1278</v>
      </c>
      <c r="J418" s="1">
        <v>44862</v>
      </c>
      <c r="K418" s="1">
        <v>45305</v>
      </c>
      <c r="L418">
        <v>20000.75</v>
      </c>
      <c r="M418">
        <v>8000.4</v>
      </c>
      <c r="N418">
        <v>725</v>
      </c>
      <c r="O418">
        <v>58000</v>
      </c>
      <c r="P418" t="s">
        <v>36</v>
      </c>
      <c r="Q418" t="s">
        <v>27</v>
      </c>
      <c r="R418">
        <v>0</v>
      </c>
      <c r="S418" t="s">
        <v>28</v>
      </c>
    </row>
    <row r="419" spans="1:19">
      <c r="A419" t="s">
        <v>488</v>
      </c>
      <c r="B419" t="s">
        <v>1139</v>
      </c>
      <c r="C419" t="s">
        <v>39</v>
      </c>
      <c r="D419" t="s">
        <v>304</v>
      </c>
      <c r="E419" t="s">
        <v>304</v>
      </c>
      <c r="F419">
        <v>54</v>
      </c>
      <c r="G419" t="s">
        <v>24</v>
      </c>
      <c r="H419" t="s">
        <v>1140</v>
      </c>
      <c r="I419">
        <f>65-9090-1234</f>
        <v>-10259</v>
      </c>
      <c r="J419" s="1">
        <v>43597</v>
      </c>
      <c r="K419" s="1">
        <v>45300</v>
      </c>
      <c r="L419">
        <v>168500.6</v>
      </c>
      <c r="M419">
        <v>85000.9</v>
      </c>
      <c r="N419">
        <v>675</v>
      </c>
      <c r="O419">
        <v>182000</v>
      </c>
      <c r="P419" t="s">
        <v>76</v>
      </c>
      <c r="Q419" t="s">
        <v>27</v>
      </c>
      <c r="R419">
        <v>0</v>
      </c>
      <c r="S419" t="s">
        <v>28</v>
      </c>
    </row>
    <row r="420" spans="1:19">
      <c r="A420" t="s">
        <v>491</v>
      </c>
      <c r="B420" t="s">
        <v>1141</v>
      </c>
      <c r="C420" t="s">
        <v>52</v>
      </c>
      <c r="D420" t="s">
        <v>493</v>
      </c>
      <c r="E420" t="s">
        <v>494</v>
      </c>
      <c r="F420">
        <v>45</v>
      </c>
      <c r="G420" t="s">
        <v>34</v>
      </c>
      <c r="H420" t="s">
        <v>1142</v>
      </c>
      <c r="I420">
        <f>30-699-12-3456</f>
        <v>-4137</v>
      </c>
      <c r="J420" s="1">
        <v>44375</v>
      </c>
      <c r="K420" s="1">
        <v>45302</v>
      </c>
      <c r="L420">
        <v>47500.4</v>
      </c>
      <c r="M420">
        <v>22200.25</v>
      </c>
      <c r="N420">
        <v>705</v>
      </c>
      <c r="O420">
        <v>90000</v>
      </c>
      <c r="P420" t="s">
        <v>26</v>
      </c>
      <c r="Q420" t="s">
        <v>27</v>
      </c>
      <c r="R420">
        <v>0</v>
      </c>
      <c r="S420" t="s">
        <v>28</v>
      </c>
    </row>
    <row r="421" spans="1:19">
      <c r="A421" t="s">
        <v>496</v>
      </c>
      <c r="B421" t="s">
        <v>1143</v>
      </c>
      <c r="C421" t="s">
        <v>46</v>
      </c>
      <c r="D421" t="s">
        <v>321</v>
      </c>
      <c r="E421" t="s">
        <v>498</v>
      </c>
      <c r="F421">
        <v>48</v>
      </c>
      <c r="G421" t="s">
        <v>24</v>
      </c>
      <c r="H421" t="s">
        <v>1144</v>
      </c>
      <c r="I421">
        <f>61-431-234-567</f>
        <v>-1171</v>
      </c>
      <c r="J421" s="1">
        <v>43845</v>
      </c>
      <c r="K421" s="1">
        <v>45301</v>
      </c>
      <c r="L421">
        <v>94400.75</v>
      </c>
      <c r="M421">
        <v>43300.800000000003</v>
      </c>
      <c r="N421">
        <v>730</v>
      </c>
      <c r="O421">
        <v>156000</v>
      </c>
      <c r="P421" t="s">
        <v>26</v>
      </c>
      <c r="Q421" t="s">
        <v>27</v>
      </c>
      <c r="R421">
        <v>0</v>
      </c>
      <c r="S421" t="s">
        <v>28</v>
      </c>
    </row>
    <row r="422" spans="1:19">
      <c r="A422" t="s">
        <v>324</v>
      </c>
      <c r="B422" t="s">
        <v>1145</v>
      </c>
      <c r="C422" t="s">
        <v>31</v>
      </c>
      <c r="D422" t="s">
        <v>313</v>
      </c>
      <c r="E422" t="s">
        <v>314</v>
      </c>
      <c r="F422">
        <v>33</v>
      </c>
      <c r="G422" t="s">
        <v>34</v>
      </c>
      <c r="H422" t="s">
        <v>1146</v>
      </c>
      <c r="I422">
        <f>92-329-1098765</f>
        <v>-1099002</v>
      </c>
      <c r="J422" s="1">
        <v>45221</v>
      </c>
      <c r="K422" s="1">
        <v>45306</v>
      </c>
      <c r="L422">
        <v>10600.9</v>
      </c>
      <c r="M422">
        <v>6600.75</v>
      </c>
      <c r="N422">
        <v>685</v>
      </c>
      <c r="O422">
        <v>43000</v>
      </c>
      <c r="P422" t="s">
        <v>26</v>
      </c>
      <c r="Q422" t="s">
        <v>43</v>
      </c>
      <c r="R422">
        <v>0</v>
      </c>
      <c r="S422" t="s">
        <v>28</v>
      </c>
    </row>
    <row r="423" spans="1:19">
      <c r="A423" t="s">
        <v>503</v>
      </c>
      <c r="B423" t="s">
        <v>1147</v>
      </c>
      <c r="C423" t="s">
        <v>21</v>
      </c>
      <c r="D423" t="s">
        <v>32</v>
      </c>
      <c r="E423" t="s">
        <v>33</v>
      </c>
      <c r="F423">
        <v>65</v>
      </c>
      <c r="G423" t="s">
        <v>24</v>
      </c>
      <c r="H423" t="s">
        <v>1148</v>
      </c>
      <c r="I423">
        <f>81-80-9012-3456</f>
        <v>-12467</v>
      </c>
      <c r="J423" s="1">
        <v>42847</v>
      </c>
      <c r="K423" s="1">
        <v>45299</v>
      </c>
      <c r="L423">
        <v>299200.25</v>
      </c>
      <c r="M423">
        <v>89000.4</v>
      </c>
      <c r="N423">
        <v>840</v>
      </c>
      <c r="O423">
        <v>297000</v>
      </c>
      <c r="P423" t="s">
        <v>36</v>
      </c>
      <c r="Q423" t="s">
        <v>27</v>
      </c>
      <c r="R423">
        <v>0</v>
      </c>
      <c r="S423" t="s">
        <v>28</v>
      </c>
    </row>
    <row r="424" spans="1:19">
      <c r="A424" t="s">
        <v>506</v>
      </c>
      <c r="B424" t="s">
        <v>1149</v>
      </c>
      <c r="C424" t="s">
        <v>39</v>
      </c>
      <c r="D424" t="s">
        <v>68</v>
      </c>
      <c r="E424" t="s">
        <v>69</v>
      </c>
      <c r="F424">
        <v>57</v>
      </c>
      <c r="G424" t="s">
        <v>34</v>
      </c>
      <c r="H424" t="s">
        <v>1150</v>
      </c>
      <c r="I424">
        <f>234-821-234-5678</f>
        <v>-6499</v>
      </c>
      <c r="J424" s="1">
        <v>43371</v>
      </c>
      <c r="K424" s="1">
        <v>45300</v>
      </c>
      <c r="L424">
        <v>179600.4</v>
      </c>
      <c r="M424">
        <v>89000.75</v>
      </c>
      <c r="N424">
        <v>650</v>
      </c>
      <c r="O424">
        <v>192000</v>
      </c>
      <c r="P424" t="s">
        <v>76</v>
      </c>
      <c r="Q424" t="s">
        <v>27</v>
      </c>
      <c r="R424">
        <v>0</v>
      </c>
      <c r="S424" t="s">
        <v>28</v>
      </c>
    </row>
    <row r="425" spans="1:19">
      <c r="A425" t="s">
        <v>509</v>
      </c>
      <c r="B425" t="s">
        <v>1151</v>
      </c>
      <c r="C425" t="s">
        <v>46</v>
      </c>
      <c r="D425" t="s">
        <v>73</v>
      </c>
      <c r="E425" t="s">
        <v>126</v>
      </c>
      <c r="F425">
        <v>44</v>
      </c>
      <c r="G425" t="s">
        <v>24</v>
      </c>
      <c r="H425" t="s">
        <v>1152</v>
      </c>
      <c r="I425">
        <f>49-183-4567890</f>
        <v>-4568024</v>
      </c>
      <c r="J425" s="1">
        <v>44579</v>
      </c>
      <c r="K425" s="1">
        <v>45303</v>
      </c>
      <c r="L425">
        <v>82200.399999999994</v>
      </c>
      <c r="M425">
        <v>37500.25</v>
      </c>
      <c r="N425">
        <v>745</v>
      </c>
      <c r="O425">
        <v>136000</v>
      </c>
      <c r="P425" t="s">
        <v>26</v>
      </c>
      <c r="Q425" t="s">
        <v>27</v>
      </c>
      <c r="R425">
        <v>0</v>
      </c>
      <c r="S425" t="s">
        <v>28</v>
      </c>
    </row>
    <row r="426" spans="1:19">
      <c r="A426" t="s">
        <v>513</v>
      </c>
      <c r="B426" t="s">
        <v>1153</v>
      </c>
      <c r="C426" t="s">
        <v>57</v>
      </c>
      <c r="D426" t="s">
        <v>58</v>
      </c>
      <c r="E426" t="s">
        <v>59</v>
      </c>
      <c r="F426">
        <v>39</v>
      </c>
      <c r="G426" t="s">
        <v>34</v>
      </c>
      <c r="H426" t="s">
        <v>1154</v>
      </c>
      <c r="I426">
        <f>86-137-4567-8901</f>
        <v>-13519</v>
      </c>
      <c r="J426" s="1">
        <v>44764</v>
      </c>
      <c r="K426" s="1">
        <v>45302</v>
      </c>
      <c r="L426">
        <v>22200.799999999999</v>
      </c>
      <c r="M426">
        <v>9200.9</v>
      </c>
      <c r="N426">
        <v>765</v>
      </c>
      <c r="O426">
        <v>68000</v>
      </c>
      <c r="P426" t="s">
        <v>36</v>
      </c>
      <c r="Q426" t="s">
        <v>27</v>
      </c>
      <c r="R426">
        <v>0</v>
      </c>
      <c r="S426" t="s">
        <v>28</v>
      </c>
    </row>
    <row r="427" spans="1:19">
      <c r="A427" t="s">
        <v>516</v>
      </c>
      <c r="B427" t="s">
        <v>1155</v>
      </c>
      <c r="C427" t="s">
        <v>52</v>
      </c>
      <c r="D427" t="s">
        <v>277</v>
      </c>
      <c r="E427" t="s">
        <v>278</v>
      </c>
      <c r="F427">
        <v>52</v>
      </c>
      <c r="G427" t="s">
        <v>24</v>
      </c>
      <c r="H427" t="s">
        <v>1156</v>
      </c>
      <c r="I427">
        <f>20-122-321-987</f>
        <v>-1410</v>
      </c>
      <c r="J427" s="1">
        <v>44040</v>
      </c>
      <c r="K427" s="1">
        <v>45301</v>
      </c>
      <c r="L427">
        <v>55500.75</v>
      </c>
      <c r="M427">
        <v>28600.400000000001</v>
      </c>
      <c r="N427">
        <v>675</v>
      </c>
      <c r="O427">
        <v>108000</v>
      </c>
      <c r="P427" t="s">
        <v>26</v>
      </c>
      <c r="Q427" t="s">
        <v>27</v>
      </c>
      <c r="R427">
        <v>0</v>
      </c>
      <c r="S427" t="s">
        <v>28</v>
      </c>
    </row>
    <row r="428" spans="1:19">
      <c r="A428" t="s">
        <v>519</v>
      </c>
      <c r="B428" t="s">
        <v>1157</v>
      </c>
      <c r="C428" t="s">
        <v>84</v>
      </c>
      <c r="D428" t="s">
        <v>183</v>
      </c>
      <c r="E428" t="s">
        <v>273</v>
      </c>
      <c r="F428">
        <v>31</v>
      </c>
      <c r="G428" t="s">
        <v>34</v>
      </c>
      <c r="H428" t="s">
        <v>1158</v>
      </c>
      <c r="I428">
        <f>33-6-1234-5678</f>
        <v>-6885</v>
      </c>
      <c r="J428" s="1">
        <v>45319</v>
      </c>
      <c r="K428" s="1">
        <v>45304</v>
      </c>
      <c r="L428">
        <v>2900.25</v>
      </c>
      <c r="M428">
        <v>11800.6</v>
      </c>
      <c r="N428">
        <v>615</v>
      </c>
      <c r="O428">
        <v>28000</v>
      </c>
      <c r="P428" t="s">
        <v>76</v>
      </c>
      <c r="Q428" t="s">
        <v>43</v>
      </c>
      <c r="R428">
        <v>0</v>
      </c>
      <c r="S428" t="s">
        <v>28</v>
      </c>
    </row>
    <row r="429" spans="1:19">
      <c r="A429" t="s">
        <v>522</v>
      </c>
      <c r="B429" t="s">
        <v>1159</v>
      </c>
      <c r="C429" t="s">
        <v>39</v>
      </c>
      <c r="D429" t="s">
        <v>40</v>
      </c>
      <c r="E429" t="s">
        <v>94</v>
      </c>
      <c r="F429">
        <v>59</v>
      </c>
      <c r="G429" t="s">
        <v>24</v>
      </c>
      <c r="H429" t="s">
        <v>1160</v>
      </c>
      <c r="I429">
        <f>91-987-654-3210</f>
        <v>-4760</v>
      </c>
      <c r="J429" s="1">
        <v>43334</v>
      </c>
      <c r="K429" s="1">
        <v>45299</v>
      </c>
      <c r="L429">
        <v>214200.8</v>
      </c>
      <c r="M429">
        <v>102000.25</v>
      </c>
      <c r="N429">
        <v>660</v>
      </c>
      <c r="O429">
        <v>227000</v>
      </c>
      <c r="P429" t="s">
        <v>76</v>
      </c>
      <c r="Q429" t="s">
        <v>27</v>
      </c>
      <c r="R429">
        <v>0</v>
      </c>
      <c r="S429" t="s">
        <v>28</v>
      </c>
    </row>
    <row r="430" spans="1:19">
      <c r="A430" t="s">
        <v>306</v>
      </c>
      <c r="B430" t="s">
        <v>1161</v>
      </c>
      <c r="C430" t="s">
        <v>46</v>
      </c>
      <c r="D430" t="s">
        <v>209</v>
      </c>
      <c r="E430" t="s">
        <v>210</v>
      </c>
      <c r="F430">
        <v>46</v>
      </c>
      <c r="G430" t="s">
        <v>34</v>
      </c>
      <c r="H430" t="s">
        <v>1162</v>
      </c>
      <c r="I430">
        <f>52-55-2345-6789</f>
        <v>-9137</v>
      </c>
      <c r="J430" s="1">
        <v>44187</v>
      </c>
      <c r="K430" s="1">
        <v>45302</v>
      </c>
      <c r="L430">
        <v>76600.899999999994</v>
      </c>
      <c r="M430">
        <v>34400.75</v>
      </c>
      <c r="N430">
        <v>730</v>
      </c>
      <c r="O430">
        <v>131000</v>
      </c>
      <c r="P430" t="s">
        <v>26</v>
      </c>
      <c r="Q430" t="s">
        <v>27</v>
      </c>
      <c r="R430">
        <v>0</v>
      </c>
      <c r="S430" t="s">
        <v>28</v>
      </c>
    </row>
    <row r="431" spans="1:19">
      <c r="A431" t="s">
        <v>527</v>
      </c>
      <c r="B431" t="s">
        <v>1163</v>
      </c>
      <c r="C431" t="s">
        <v>31</v>
      </c>
      <c r="D431" t="s">
        <v>32</v>
      </c>
      <c r="E431" t="s">
        <v>90</v>
      </c>
      <c r="F431">
        <v>35</v>
      </c>
      <c r="G431" t="s">
        <v>34</v>
      </c>
      <c r="H431" t="s">
        <v>1164</v>
      </c>
      <c r="I431">
        <f>81-90-123-4567</f>
        <v>-4699</v>
      </c>
      <c r="J431" s="1">
        <v>45258</v>
      </c>
      <c r="K431" s="1">
        <v>45305</v>
      </c>
      <c r="L431">
        <v>11700.4</v>
      </c>
      <c r="M431">
        <v>6800.25</v>
      </c>
      <c r="N431">
        <v>705</v>
      </c>
      <c r="O431">
        <v>45000</v>
      </c>
      <c r="P431" t="s">
        <v>26</v>
      </c>
      <c r="Q431" t="s">
        <v>43</v>
      </c>
      <c r="R431">
        <v>0</v>
      </c>
      <c r="S431" t="s">
        <v>28</v>
      </c>
    </row>
    <row r="432" spans="1:19">
      <c r="A432" t="s">
        <v>530</v>
      </c>
      <c r="B432" t="s">
        <v>1165</v>
      </c>
      <c r="C432" t="s">
        <v>57</v>
      </c>
      <c r="D432" t="s">
        <v>219</v>
      </c>
      <c r="E432" t="s">
        <v>220</v>
      </c>
      <c r="F432">
        <v>40</v>
      </c>
      <c r="G432" t="s">
        <v>24</v>
      </c>
      <c r="H432" t="s">
        <v>1166</v>
      </c>
      <c r="I432">
        <f>233-62-345-6789</f>
        <v>-6963</v>
      </c>
      <c r="J432" s="1">
        <v>44740</v>
      </c>
      <c r="K432" s="1">
        <v>45303</v>
      </c>
      <c r="L432">
        <v>21100.6</v>
      </c>
      <c r="M432">
        <v>8600.7999999999993</v>
      </c>
      <c r="N432">
        <v>710</v>
      </c>
      <c r="O432">
        <v>61000</v>
      </c>
      <c r="P432" t="s">
        <v>36</v>
      </c>
      <c r="Q432" t="s">
        <v>27</v>
      </c>
      <c r="R432">
        <v>0</v>
      </c>
      <c r="S432" t="s">
        <v>28</v>
      </c>
    </row>
    <row r="433" spans="1:19">
      <c r="A433" t="s">
        <v>533</v>
      </c>
      <c r="B433" t="s">
        <v>1167</v>
      </c>
      <c r="C433" t="s">
        <v>52</v>
      </c>
      <c r="D433" t="s">
        <v>204</v>
      </c>
      <c r="E433" t="s">
        <v>205</v>
      </c>
      <c r="F433">
        <v>47</v>
      </c>
      <c r="G433" t="s">
        <v>34</v>
      </c>
      <c r="H433" t="s">
        <v>1168</v>
      </c>
      <c r="I433">
        <f>7-915-109-87-65</f>
        <v>-1169</v>
      </c>
      <c r="J433" s="1">
        <v>44034</v>
      </c>
      <c r="K433" s="1">
        <v>45301</v>
      </c>
      <c r="L433">
        <v>52400.25</v>
      </c>
      <c r="M433">
        <v>25500.9</v>
      </c>
      <c r="N433">
        <v>695</v>
      </c>
      <c r="O433">
        <v>96000</v>
      </c>
      <c r="P433" t="s">
        <v>26</v>
      </c>
      <c r="Q433" t="s">
        <v>27</v>
      </c>
      <c r="R433">
        <v>0</v>
      </c>
      <c r="S433" t="s">
        <v>28</v>
      </c>
    </row>
    <row r="434" spans="1:19">
      <c r="A434" t="s">
        <v>536</v>
      </c>
      <c r="B434" t="s">
        <v>1169</v>
      </c>
      <c r="C434" t="s">
        <v>39</v>
      </c>
      <c r="D434" t="s">
        <v>195</v>
      </c>
      <c r="E434" t="s">
        <v>196</v>
      </c>
      <c r="F434">
        <v>55</v>
      </c>
      <c r="G434" t="s">
        <v>24</v>
      </c>
      <c r="H434" t="s">
        <v>1170</v>
      </c>
      <c r="I434">
        <f>353-94-234-5678</f>
        <v>-5653</v>
      </c>
      <c r="J434" s="1">
        <v>43493</v>
      </c>
      <c r="K434" s="1">
        <v>45300</v>
      </c>
      <c r="L434">
        <v>146400.4</v>
      </c>
      <c r="M434">
        <v>76000.600000000006</v>
      </c>
      <c r="N434">
        <v>670</v>
      </c>
      <c r="O434">
        <v>163000</v>
      </c>
      <c r="P434" t="s">
        <v>76</v>
      </c>
      <c r="Q434" t="s">
        <v>27</v>
      </c>
      <c r="R434">
        <v>0</v>
      </c>
      <c r="S434" t="s">
        <v>28</v>
      </c>
    </row>
    <row r="435" spans="1:19">
      <c r="A435" t="s">
        <v>539</v>
      </c>
      <c r="B435" t="s">
        <v>1171</v>
      </c>
      <c r="C435" t="s">
        <v>21</v>
      </c>
      <c r="D435" t="s">
        <v>58</v>
      </c>
      <c r="E435" t="s">
        <v>122</v>
      </c>
      <c r="F435">
        <v>63</v>
      </c>
      <c r="G435" t="s">
        <v>34</v>
      </c>
      <c r="H435" t="s">
        <v>1172</v>
      </c>
      <c r="I435">
        <f>86-139-1234-5678</f>
        <v>-6965</v>
      </c>
      <c r="J435" s="1">
        <v>43067</v>
      </c>
      <c r="K435" s="1">
        <v>45299</v>
      </c>
      <c r="L435">
        <v>313300.75</v>
      </c>
      <c r="M435">
        <v>93000.8</v>
      </c>
      <c r="N435">
        <v>835</v>
      </c>
      <c r="O435">
        <v>308000</v>
      </c>
      <c r="P435" t="s">
        <v>36</v>
      </c>
      <c r="Q435" t="s">
        <v>27</v>
      </c>
      <c r="R435">
        <v>0</v>
      </c>
      <c r="S435" t="s">
        <v>28</v>
      </c>
    </row>
    <row r="436" spans="1:19">
      <c r="A436" t="s">
        <v>542</v>
      </c>
      <c r="B436" t="s">
        <v>1173</v>
      </c>
      <c r="C436" t="s">
        <v>52</v>
      </c>
      <c r="D436" t="s">
        <v>68</v>
      </c>
      <c r="E436" t="s">
        <v>114</v>
      </c>
      <c r="F436">
        <v>50</v>
      </c>
      <c r="G436" t="s">
        <v>34</v>
      </c>
      <c r="H436" t="s">
        <v>1174</v>
      </c>
      <c r="I436">
        <f>234-822-345-6789</f>
        <v>-7722</v>
      </c>
      <c r="J436" s="1">
        <v>43994</v>
      </c>
      <c r="K436" s="1">
        <v>45302</v>
      </c>
      <c r="L436">
        <v>61100.6</v>
      </c>
      <c r="M436">
        <v>31100.25</v>
      </c>
      <c r="N436">
        <v>665</v>
      </c>
      <c r="O436">
        <v>116000</v>
      </c>
      <c r="P436" t="s">
        <v>26</v>
      </c>
      <c r="Q436" t="s">
        <v>27</v>
      </c>
      <c r="R436">
        <v>0</v>
      </c>
      <c r="S436" t="s">
        <v>28</v>
      </c>
    </row>
    <row r="437" spans="1:19">
      <c r="A437" t="s">
        <v>545</v>
      </c>
      <c r="B437" t="s">
        <v>1175</v>
      </c>
      <c r="C437" t="s">
        <v>46</v>
      </c>
      <c r="D437" t="s">
        <v>241</v>
      </c>
      <c r="E437" t="s">
        <v>242</v>
      </c>
      <c r="F437">
        <v>42</v>
      </c>
      <c r="G437" t="s">
        <v>24</v>
      </c>
      <c r="H437" t="s">
        <v>1176</v>
      </c>
      <c r="I437">
        <f>39-356-12-3456</f>
        <v>-3785</v>
      </c>
      <c r="J437" s="1">
        <v>44642</v>
      </c>
      <c r="K437" s="1">
        <v>45303</v>
      </c>
      <c r="L437">
        <v>84400.8</v>
      </c>
      <c r="M437">
        <v>38600.400000000001</v>
      </c>
      <c r="N437">
        <v>750</v>
      </c>
      <c r="O437">
        <v>142000</v>
      </c>
      <c r="P437" t="s">
        <v>26</v>
      </c>
      <c r="Q437" t="s">
        <v>27</v>
      </c>
      <c r="R437">
        <v>0</v>
      </c>
      <c r="S437" t="s">
        <v>28</v>
      </c>
    </row>
    <row r="438" spans="1:19">
      <c r="A438" t="s">
        <v>548</v>
      </c>
      <c r="B438" t="s">
        <v>1177</v>
      </c>
      <c r="C438" t="s">
        <v>57</v>
      </c>
      <c r="D438" t="s">
        <v>22</v>
      </c>
      <c r="E438" t="s">
        <v>282</v>
      </c>
      <c r="F438">
        <v>38</v>
      </c>
      <c r="G438" t="s">
        <v>34</v>
      </c>
      <c r="H438" t="s">
        <v>1178</v>
      </c>
      <c r="I438">
        <f>1-206-555-194</f>
        <v>-954</v>
      </c>
      <c r="J438" s="1">
        <v>44826</v>
      </c>
      <c r="K438" s="1">
        <v>45305</v>
      </c>
      <c r="L438">
        <v>23300.9</v>
      </c>
      <c r="M438">
        <v>9600.75</v>
      </c>
      <c r="N438">
        <v>770</v>
      </c>
      <c r="O438">
        <v>73000</v>
      </c>
      <c r="P438" t="s">
        <v>36</v>
      </c>
      <c r="Q438" t="s">
        <v>27</v>
      </c>
      <c r="R438">
        <v>0</v>
      </c>
      <c r="S438" t="s">
        <v>28</v>
      </c>
    </row>
    <row r="439" spans="1:19">
      <c r="A439" t="s">
        <v>551</v>
      </c>
      <c r="B439" t="s">
        <v>1179</v>
      </c>
      <c r="C439" t="s">
        <v>39</v>
      </c>
      <c r="D439" t="s">
        <v>313</v>
      </c>
      <c r="E439" t="s">
        <v>385</v>
      </c>
      <c r="F439">
        <v>61</v>
      </c>
      <c r="G439" t="s">
        <v>24</v>
      </c>
      <c r="H439" t="s">
        <v>1180</v>
      </c>
      <c r="I439">
        <f>92-308-1098765</f>
        <v>-1098981</v>
      </c>
      <c r="J439" s="1">
        <v>43242</v>
      </c>
      <c r="K439" s="1">
        <v>45299</v>
      </c>
      <c r="L439">
        <v>199500.25</v>
      </c>
      <c r="M439">
        <v>97000.8</v>
      </c>
      <c r="N439">
        <v>645</v>
      </c>
      <c r="O439">
        <v>213000</v>
      </c>
      <c r="P439" t="s">
        <v>76</v>
      </c>
      <c r="Q439" t="s">
        <v>27</v>
      </c>
      <c r="R439">
        <v>0</v>
      </c>
      <c r="S439" t="s">
        <v>28</v>
      </c>
    </row>
    <row r="440" spans="1:19">
      <c r="A440" t="s">
        <v>554</v>
      </c>
      <c r="B440" t="s">
        <v>1181</v>
      </c>
      <c r="C440" t="s">
        <v>31</v>
      </c>
      <c r="D440" t="s">
        <v>214</v>
      </c>
      <c r="E440" t="s">
        <v>215</v>
      </c>
      <c r="F440">
        <v>34</v>
      </c>
      <c r="G440" t="s">
        <v>34</v>
      </c>
      <c r="H440" t="s">
        <v>1182</v>
      </c>
      <c r="I440">
        <f>34-631-234-567</f>
        <v>-1398</v>
      </c>
      <c r="J440" s="1">
        <v>45275</v>
      </c>
      <c r="K440" s="1">
        <v>45306</v>
      </c>
      <c r="L440">
        <v>18200.5</v>
      </c>
      <c r="M440">
        <v>9200.4</v>
      </c>
      <c r="N440">
        <v>720</v>
      </c>
      <c r="O440">
        <v>50000</v>
      </c>
      <c r="P440" t="s">
        <v>36</v>
      </c>
      <c r="Q440" t="s">
        <v>27</v>
      </c>
      <c r="R440">
        <v>0</v>
      </c>
      <c r="S440" t="s">
        <v>28</v>
      </c>
    </row>
    <row r="441" spans="1:19">
      <c r="A441" t="s">
        <v>108</v>
      </c>
      <c r="B441" t="s">
        <v>1183</v>
      </c>
      <c r="C441" t="s">
        <v>84</v>
      </c>
      <c r="D441" t="s">
        <v>32</v>
      </c>
      <c r="E441" t="s">
        <v>33</v>
      </c>
      <c r="F441">
        <v>30</v>
      </c>
      <c r="G441" t="s">
        <v>24</v>
      </c>
      <c r="H441" t="s">
        <v>1184</v>
      </c>
      <c r="I441">
        <f>81-90-3456-7890</f>
        <v>-11355</v>
      </c>
      <c r="J441" s="1">
        <v>45316</v>
      </c>
      <c r="K441" s="1">
        <v>45304</v>
      </c>
      <c r="L441">
        <v>2650.8</v>
      </c>
      <c r="M441">
        <v>10200.25</v>
      </c>
      <c r="N441">
        <v>605</v>
      </c>
      <c r="O441">
        <v>26000</v>
      </c>
      <c r="P441" t="s">
        <v>76</v>
      </c>
      <c r="Q441" t="s">
        <v>43</v>
      </c>
      <c r="R441">
        <v>0</v>
      </c>
      <c r="S441" t="s">
        <v>28</v>
      </c>
    </row>
    <row r="442" spans="1:19">
      <c r="A442" t="s">
        <v>559</v>
      </c>
      <c r="B442" t="s">
        <v>1185</v>
      </c>
      <c r="C442" t="s">
        <v>46</v>
      </c>
      <c r="D442" t="s">
        <v>254</v>
      </c>
      <c r="E442" t="s">
        <v>255</v>
      </c>
      <c r="F442">
        <v>44</v>
      </c>
      <c r="G442" t="s">
        <v>34</v>
      </c>
      <c r="H442" t="s">
        <v>1186</v>
      </c>
      <c r="I442">
        <f>221-86-12-3456</f>
        <v>-3333</v>
      </c>
      <c r="J442" s="1">
        <v>44528</v>
      </c>
      <c r="K442" s="1">
        <v>45302</v>
      </c>
      <c r="L442">
        <v>71100.399999999994</v>
      </c>
      <c r="M442">
        <v>33300.75</v>
      </c>
      <c r="N442">
        <v>710</v>
      </c>
      <c r="O442">
        <v>124000</v>
      </c>
      <c r="P442" t="s">
        <v>26</v>
      </c>
      <c r="Q442" t="s">
        <v>27</v>
      </c>
      <c r="R442">
        <v>0</v>
      </c>
      <c r="S442" t="s">
        <v>28</v>
      </c>
    </row>
    <row r="443" spans="1:19">
      <c r="A443" t="s">
        <v>562</v>
      </c>
      <c r="B443" t="s">
        <v>1187</v>
      </c>
      <c r="C443" t="s">
        <v>39</v>
      </c>
      <c r="D443" t="s">
        <v>47</v>
      </c>
      <c r="E443" t="s">
        <v>98</v>
      </c>
      <c r="F443">
        <v>58</v>
      </c>
      <c r="G443" t="s">
        <v>24</v>
      </c>
      <c r="H443" t="s">
        <v>1188</v>
      </c>
      <c r="I443">
        <f>44-79-3456-7890</f>
        <v>-11381</v>
      </c>
      <c r="J443" s="1">
        <v>43395</v>
      </c>
      <c r="K443" s="1">
        <v>45300</v>
      </c>
      <c r="L443">
        <v>179700.6</v>
      </c>
      <c r="M443">
        <v>90000.25</v>
      </c>
      <c r="N443">
        <v>675</v>
      </c>
      <c r="O443">
        <v>193000</v>
      </c>
      <c r="P443" t="s">
        <v>76</v>
      </c>
      <c r="Q443" t="s">
        <v>27</v>
      </c>
      <c r="R443">
        <v>0</v>
      </c>
      <c r="S443" t="s">
        <v>28</v>
      </c>
    </row>
    <row r="444" spans="1:19">
      <c r="A444" t="s">
        <v>565</v>
      </c>
      <c r="B444" t="s">
        <v>1189</v>
      </c>
      <c r="C444" t="s">
        <v>52</v>
      </c>
      <c r="D444" t="s">
        <v>233</v>
      </c>
      <c r="E444" t="s">
        <v>234</v>
      </c>
      <c r="F444">
        <v>43</v>
      </c>
      <c r="G444" t="s">
        <v>34</v>
      </c>
      <c r="H444" t="s">
        <v>1190</v>
      </c>
      <c r="I444">
        <f>82-10-2345-6789</f>
        <v>-9062</v>
      </c>
      <c r="J444" s="1">
        <v>44314</v>
      </c>
      <c r="K444" s="1">
        <v>45301</v>
      </c>
      <c r="L444">
        <v>47500.75</v>
      </c>
      <c r="M444">
        <v>24400.799999999999</v>
      </c>
      <c r="N444">
        <v>725</v>
      </c>
      <c r="O444">
        <v>90000</v>
      </c>
      <c r="P444" t="s">
        <v>26</v>
      </c>
      <c r="Q444" t="s">
        <v>27</v>
      </c>
      <c r="R444">
        <v>0</v>
      </c>
      <c r="S444" t="s">
        <v>28</v>
      </c>
    </row>
    <row r="445" spans="1:19">
      <c r="A445" t="s">
        <v>568</v>
      </c>
      <c r="B445" t="s">
        <v>1191</v>
      </c>
      <c r="C445" t="s">
        <v>57</v>
      </c>
      <c r="D445" t="s">
        <v>79</v>
      </c>
      <c r="E445" t="s">
        <v>80</v>
      </c>
      <c r="F445">
        <v>41</v>
      </c>
      <c r="G445" t="s">
        <v>24</v>
      </c>
      <c r="H445" t="s">
        <v>1192</v>
      </c>
      <c r="I445">
        <f>971-50-456-7890</f>
        <v>-7425</v>
      </c>
      <c r="J445" s="1">
        <v>44764</v>
      </c>
      <c r="K445" s="1">
        <v>45303</v>
      </c>
      <c r="L445">
        <v>25500.400000000001</v>
      </c>
      <c r="M445">
        <v>10400.9</v>
      </c>
      <c r="N445">
        <v>740</v>
      </c>
      <c r="O445">
        <v>76000</v>
      </c>
      <c r="P445" t="s">
        <v>36</v>
      </c>
      <c r="Q445" t="s">
        <v>27</v>
      </c>
      <c r="R445">
        <v>0</v>
      </c>
      <c r="S445" t="s">
        <v>28</v>
      </c>
    </row>
    <row r="446" spans="1:19">
      <c r="A446" t="s">
        <v>571</v>
      </c>
      <c r="B446" t="s">
        <v>1193</v>
      </c>
      <c r="C446" t="s">
        <v>21</v>
      </c>
      <c r="D446" t="s">
        <v>63</v>
      </c>
      <c r="E446" t="s">
        <v>64</v>
      </c>
      <c r="F446">
        <v>64</v>
      </c>
      <c r="G446" t="s">
        <v>34</v>
      </c>
      <c r="H446" t="s">
        <v>1194</v>
      </c>
      <c r="I446">
        <f>55-11-99456-7890</f>
        <v>-107302</v>
      </c>
      <c r="J446" s="1">
        <v>42944</v>
      </c>
      <c r="K446" s="1">
        <v>45299</v>
      </c>
      <c r="L446">
        <v>268600.90000000002</v>
      </c>
      <c r="M446">
        <v>80000.600000000006</v>
      </c>
      <c r="N446">
        <v>830</v>
      </c>
      <c r="O446">
        <v>288000</v>
      </c>
      <c r="P446" t="s">
        <v>36</v>
      </c>
      <c r="Q446" t="s">
        <v>27</v>
      </c>
      <c r="R446">
        <v>0</v>
      </c>
      <c r="S446" t="s">
        <v>28</v>
      </c>
    </row>
    <row r="447" spans="1:19">
      <c r="A447" t="s">
        <v>574</v>
      </c>
      <c r="B447" t="s">
        <v>1195</v>
      </c>
      <c r="C447" t="s">
        <v>39</v>
      </c>
      <c r="D447" t="s">
        <v>68</v>
      </c>
      <c r="E447" t="s">
        <v>179</v>
      </c>
      <c r="F447">
        <v>56</v>
      </c>
      <c r="G447" t="s">
        <v>24</v>
      </c>
      <c r="H447" t="s">
        <v>1196</v>
      </c>
      <c r="I447">
        <f>234-823-456-7890</f>
        <v>-8935</v>
      </c>
      <c r="J447" s="1">
        <v>43539</v>
      </c>
      <c r="K447" s="1">
        <v>45300</v>
      </c>
      <c r="L447">
        <v>157500.25</v>
      </c>
      <c r="M447">
        <v>82000.399999999994</v>
      </c>
      <c r="N447">
        <v>655</v>
      </c>
      <c r="O447">
        <v>178000</v>
      </c>
      <c r="P447" t="s">
        <v>76</v>
      </c>
      <c r="Q447" t="s">
        <v>27</v>
      </c>
      <c r="R447">
        <v>0</v>
      </c>
      <c r="S447" t="s">
        <v>28</v>
      </c>
    </row>
    <row r="448" spans="1:19">
      <c r="A448" t="s">
        <v>577</v>
      </c>
      <c r="B448" t="s">
        <v>1197</v>
      </c>
      <c r="C448" t="s">
        <v>46</v>
      </c>
      <c r="D448" t="s">
        <v>85</v>
      </c>
      <c r="E448" t="s">
        <v>86</v>
      </c>
      <c r="F448">
        <v>45</v>
      </c>
      <c r="G448" t="s">
        <v>34</v>
      </c>
      <c r="H448" t="s">
        <v>1198</v>
      </c>
      <c r="I448">
        <f>1-647-555-196</f>
        <v>-1397</v>
      </c>
      <c r="J448" s="1">
        <v>44436</v>
      </c>
      <c r="K448" s="1">
        <v>45302</v>
      </c>
      <c r="L448">
        <v>90000.6</v>
      </c>
      <c r="M448">
        <v>41300.75</v>
      </c>
      <c r="N448">
        <v>760</v>
      </c>
      <c r="O448">
        <v>147000</v>
      </c>
      <c r="P448" t="s">
        <v>26</v>
      </c>
      <c r="Q448" t="s">
        <v>27</v>
      </c>
      <c r="R448">
        <v>0</v>
      </c>
      <c r="S448" t="s">
        <v>28</v>
      </c>
    </row>
    <row r="449" spans="1:19">
      <c r="A449" t="s">
        <v>458</v>
      </c>
      <c r="B449" t="s">
        <v>1199</v>
      </c>
      <c r="C449" t="s">
        <v>31</v>
      </c>
      <c r="D449" t="s">
        <v>460</v>
      </c>
      <c r="E449" t="s">
        <v>663</v>
      </c>
      <c r="F449">
        <v>36</v>
      </c>
      <c r="G449" t="s">
        <v>24</v>
      </c>
      <c r="H449" t="s">
        <v>1200</v>
      </c>
      <c r="I449">
        <f>62-820-1234-5678</f>
        <v>-7670</v>
      </c>
      <c r="J449" s="1">
        <v>45221</v>
      </c>
      <c r="K449" s="1">
        <v>45306</v>
      </c>
      <c r="L449">
        <v>12400.25</v>
      </c>
      <c r="M449">
        <v>7300.8</v>
      </c>
      <c r="N449">
        <v>695</v>
      </c>
      <c r="O449">
        <v>47000</v>
      </c>
      <c r="P449" t="s">
        <v>26</v>
      </c>
      <c r="Q449" t="s">
        <v>43</v>
      </c>
      <c r="R449">
        <v>0</v>
      </c>
      <c r="S449" t="s">
        <v>28</v>
      </c>
    </row>
    <row r="450" spans="1:19">
      <c r="A450" t="s">
        <v>582</v>
      </c>
      <c r="B450" t="s">
        <v>1201</v>
      </c>
      <c r="C450" t="s">
        <v>57</v>
      </c>
      <c r="D450" t="s">
        <v>22</v>
      </c>
      <c r="E450" t="s">
        <v>23</v>
      </c>
      <c r="F450">
        <v>39</v>
      </c>
      <c r="G450" t="s">
        <v>34</v>
      </c>
      <c r="H450" t="s">
        <v>1202</v>
      </c>
      <c r="I450">
        <f>1-646-555-196</f>
        <v>-1396</v>
      </c>
      <c r="J450" s="1">
        <v>44703</v>
      </c>
      <c r="K450" s="1">
        <v>45303</v>
      </c>
      <c r="L450">
        <v>24400.9</v>
      </c>
      <c r="M450">
        <v>10000.25</v>
      </c>
      <c r="N450">
        <v>755</v>
      </c>
      <c r="O450">
        <v>69000</v>
      </c>
      <c r="P450" t="s">
        <v>36</v>
      </c>
      <c r="Q450" t="s">
        <v>27</v>
      </c>
      <c r="R450">
        <v>0</v>
      </c>
      <c r="S450" t="s">
        <v>28</v>
      </c>
    </row>
    <row r="451" spans="1:19">
      <c r="A451" t="s">
        <v>55</v>
      </c>
      <c r="B451" t="s">
        <v>1203</v>
      </c>
      <c r="C451" t="s">
        <v>39</v>
      </c>
      <c r="D451" t="s">
        <v>58</v>
      </c>
      <c r="E451" t="s">
        <v>122</v>
      </c>
      <c r="F451">
        <v>57</v>
      </c>
      <c r="G451" t="s">
        <v>24</v>
      </c>
      <c r="H451" t="s">
        <v>1204</v>
      </c>
      <c r="I451">
        <f>86-138-5678-9012</f>
        <v>-14742</v>
      </c>
      <c r="J451" s="1">
        <v>43456</v>
      </c>
      <c r="K451" s="1">
        <v>45300</v>
      </c>
      <c r="L451">
        <v>190400.4</v>
      </c>
      <c r="M451">
        <v>95000.75</v>
      </c>
      <c r="N451">
        <v>685</v>
      </c>
      <c r="O451">
        <v>203000</v>
      </c>
      <c r="P451" t="s">
        <v>76</v>
      </c>
      <c r="Q451" t="s">
        <v>27</v>
      </c>
      <c r="R451">
        <v>0</v>
      </c>
      <c r="S451" t="s">
        <v>28</v>
      </c>
    </row>
    <row r="452" spans="1:19">
      <c r="A452" t="s">
        <v>469</v>
      </c>
      <c r="B452" t="s">
        <v>1205</v>
      </c>
      <c r="C452" t="s">
        <v>52</v>
      </c>
      <c r="D452" t="s">
        <v>471</v>
      </c>
      <c r="E452" t="s">
        <v>472</v>
      </c>
      <c r="F452">
        <v>48</v>
      </c>
      <c r="G452" t="s">
        <v>34</v>
      </c>
      <c r="H452" t="s">
        <v>1206</v>
      </c>
      <c r="I452">
        <f>48-708-12-345</f>
        <v>-1017</v>
      </c>
      <c r="J452" s="1">
        <v>44086</v>
      </c>
      <c r="K452" s="1">
        <v>45301</v>
      </c>
      <c r="L452">
        <v>54400.800000000003</v>
      </c>
      <c r="M452">
        <v>27500.6</v>
      </c>
      <c r="N452">
        <v>715</v>
      </c>
      <c r="O452">
        <v>102000</v>
      </c>
      <c r="P452" t="s">
        <v>26</v>
      </c>
      <c r="Q452" t="s">
        <v>27</v>
      </c>
      <c r="R452">
        <v>0</v>
      </c>
      <c r="S452" t="s">
        <v>28</v>
      </c>
    </row>
    <row r="453" spans="1:19">
      <c r="A453" t="s">
        <v>474</v>
      </c>
      <c r="B453" t="s">
        <v>1207</v>
      </c>
      <c r="C453" t="s">
        <v>46</v>
      </c>
      <c r="D453" t="s">
        <v>345</v>
      </c>
      <c r="E453" t="s">
        <v>346</v>
      </c>
      <c r="F453">
        <v>51</v>
      </c>
      <c r="G453" t="s">
        <v>24</v>
      </c>
      <c r="H453" t="s">
        <v>1208</v>
      </c>
      <c r="I453">
        <f>880-1812-234567</f>
        <v>-235499</v>
      </c>
      <c r="J453" s="1">
        <v>44010</v>
      </c>
      <c r="K453" s="1">
        <v>45302</v>
      </c>
      <c r="L453">
        <v>82200.25</v>
      </c>
      <c r="M453">
        <v>37500.400000000001</v>
      </c>
      <c r="N453">
        <v>680</v>
      </c>
      <c r="O453">
        <v>131000</v>
      </c>
      <c r="P453" t="s">
        <v>26</v>
      </c>
      <c r="Q453" t="s">
        <v>27</v>
      </c>
      <c r="R453">
        <v>0</v>
      </c>
      <c r="S453" t="s">
        <v>28</v>
      </c>
    </row>
    <row r="454" spans="1:19">
      <c r="A454" t="s">
        <v>592</v>
      </c>
      <c r="B454" t="s">
        <v>1209</v>
      </c>
      <c r="C454" t="s">
        <v>84</v>
      </c>
      <c r="D454" t="s">
        <v>32</v>
      </c>
      <c r="E454" t="s">
        <v>90</v>
      </c>
      <c r="F454">
        <v>31</v>
      </c>
      <c r="G454" t="s">
        <v>34</v>
      </c>
      <c r="H454" t="s">
        <v>1210</v>
      </c>
      <c r="I454">
        <f>81-90-4567-8901</f>
        <v>-13477</v>
      </c>
      <c r="J454" s="1">
        <v>45319</v>
      </c>
      <c r="K454" s="1">
        <v>45304</v>
      </c>
      <c r="L454">
        <v>2750.4</v>
      </c>
      <c r="M454">
        <v>10800.75</v>
      </c>
      <c r="N454">
        <v>610</v>
      </c>
      <c r="O454">
        <v>27000</v>
      </c>
      <c r="P454" t="s">
        <v>76</v>
      </c>
      <c r="Q454" t="s">
        <v>43</v>
      </c>
      <c r="R454">
        <v>0</v>
      </c>
      <c r="S454" t="s">
        <v>28</v>
      </c>
    </row>
    <row r="455" spans="1:19">
      <c r="A455" t="s">
        <v>595</v>
      </c>
      <c r="B455" t="s">
        <v>1211</v>
      </c>
      <c r="C455" t="s">
        <v>21</v>
      </c>
      <c r="D455" t="s">
        <v>209</v>
      </c>
      <c r="E455" t="s">
        <v>210</v>
      </c>
      <c r="F455">
        <v>63</v>
      </c>
      <c r="G455" t="s">
        <v>24</v>
      </c>
      <c r="H455" t="s">
        <v>1212</v>
      </c>
      <c r="I455">
        <f>52-55-2345-6789</f>
        <v>-9137</v>
      </c>
      <c r="J455" s="1">
        <v>43143</v>
      </c>
      <c r="K455" s="1">
        <v>45299</v>
      </c>
      <c r="L455">
        <v>288400.8</v>
      </c>
      <c r="M455">
        <v>86000.25</v>
      </c>
      <c r="N455">
        <v>825</v>
      </c>
      <c r="O455">
        <v>283000</v>
      </c>
      <c r="P455" t="s">
        <v>36</v>
      </c>
      <c r="Q455" t="s">
        <v>27</v>
      </c>
      <c r="R455">
        <v>0</v>
      </c>
      <c r="S455" t="s">
        <v>28</v>
      </c>
    </row>
    <row r="456" spans="1:19">
      <c r="A456" t="s">
        <v>226</v>
      </c>
      <c r="B456" t="s">
        <v>1213</v>
      </c>
      <c r="C456" t="s">
        <v>57</v>
      </c>
      <c r="D456" t="s">
        <v>228</v>
      </c>
      <c r="E456" t="s">
        <v>229</v>
      </c>
      <c r="F456">
        <v>38</v>
      </c>
      <c r="G456" t="s">
        <v>34</v>
      </c>
      <c r="H456" t="s">
        <v>1214</v>
      </c>
      <c r="I456">
        <f>254-732-345-678</f>
        <v>-1501</v>
      </c>
      <c r="J456" s="1">
        <v>44887</v>
      </c>
      <c r="K456" s="1">
        <v>45305</v>
      </c>
      <c r="L456">
        <v>21100.75</v>
      </c>
      <c r="M456">
        <v>8400.4</v>
      </c>
      <c r="N456">
        <v>725</v>
      </c>
      <c r="O456">
        <v>59000</v>
      </c>
      <c r="P456" t="s">
        <v>36</v>
      </c>
      <c r="Q456" t="s">
        <v>27</v>
      </c>
      <c r="R456">
        <v>0</v>
      </c>
      <c r="S456" t="s">
        <v>28</v>
      </c>
    </row>
    <row r="457" spans="1:19">
      <c r="A457" t="s">
        <v>488</v>
      </c>
      <c r="B457" t="s">
        <v>1215</v>
      </c>
      <c r="C457" t="s">
        <v>39</v>
      </c>
      <c r="D457" t="s">
        <v>304</v>
      </c>
      <c r="E457" t="s">
        <v>304</v>
      </c>
      <c r="F457">
        <v>55</v>
      </c>
      <c r="G457" t="s">
        <v>24</v>
      </c>
      <c r="H457" t="s">
        <v>1216</v>
      </c>
      <c r="I457">
        <f>65-9190-1234</f>
        <v>-10359</v>
      </c>
      <c r="J457" s="1">
        <v>43624</v>
      </c>
      <c r="K457" s="1">
        <v>45300</v>
      </c>
      <c r="L457">
        <v>168600.6</v>
      </c>
      <c r="M457">
        <v>86000.9</v>
      </c>
      <c r="N457">
        <v>675</v>
      </c>
      <c r="O457">
        <v>183000</v>
      </c>
      <c r="P457" t="s">
        <v>76</v>
      </c>
      <c r="Q457" t="s">
        <v>27</v>
      </c>
      <c r="R457">
        <v>0</v>
      </c>
      <c r="S457" t="s">
        <v>28</v>
      </c>
    </row>
    <row r="458" spans="1:19">
      <c r="A458" t="s">
        <v>491</v>
      </c>
      <c r="B458" t="s">
        <v>1217</v>
      </c>
      <c r="C458" t="s">
        <v>52</v>
      </c>
      <c r="D458" t="s">
        <v>493</v>
      </c>
      <c r="E458" t="s">
        <v>494</v>
      </c>
      <c r="F458">
        <v>46</v>
      </c>
      <c r="G458" t="s">
        <v>34</v>
      </c>
      <c r="H458" t="s">
        <v>1218</v>
      </c>
      <c r="I458">
        <f>30-700-123-4567</f>
        <v>-5360</v>
      </c>
      <c r="J458" s="1">
        <v>44399</v>
      </c>
      <c r="K458" s="1">
        <v>45302</v>
      </c>
      <c r="L458">
        <v>48600.4</v>
      </c>
      <c r="M458">
        <v>23300.25</v>
      </c>
      <c r="N458">
        <v>705</v>
      </c>
      <c r="O458">
        <v>91000</v>
      </c>
      <c r="P458" t="s">
        <v>26</v>
      </c>
      <c r="Q458" t="s">
        <v>27</v>
      </c>
      <c r="R458">
        <v>0</v>
      </c>
      <c r="S458" t="s">
        <v>28</v>
      </c>
    </row>
    <row r="459" spans="1:19">
      <c r="A459" t="s">
        <v>496</v>
      </c>
      <c r="B459" t="s">
        <v>1219</v>
      </c>
      <c r="C459" t="s">
        <v>46</v>
      </c>
      <c r="D459" t="s">
        <v>321</v>
      </c>
      <c r="E459" t="s">
        <v>322</v>
      </c>
      <c r="F459">
        <v>49</v>
      </c>
      <c r="G459" t="s">
        <v>24</v>
      </c>
      <c r="H459" t="s">
        <v>1220</v>
      </c>
      <c r="I459">
        <f>61-432-345-678</f>
        <v>-1394</v>
      </c>
      <c r="J459" s="1">
        <v>43873</v>
      </c>
      <c r="K459" s="1">
        <v>45301</v>
      </c>
      <c r="L459">
        <v>95500.75</v>
      </c>
      <c r="M459">
        <v>44400.800000000003</v>
      </c>
      <c r="N459">
        <v>730</v>
      </c>
      <c r="O459">
        <v>157000</v>
      </c>
      <c r="P459" t="s">
        <v>26</v>
      </c>
      <c r="Q459" t="s">
        <v>27</v>
      </c>
      <c r="R459">
        <v>0</v>
      </c>
      <c r="S459" t="s">
        <v>28</v>
      </c>
    </row>
    <row r="460" spans="1:19">
      <c r="A460" t="s">
        <v>324</v>
      </c>
      <c r="B460" t="s">
        <v>1221</v>
      </c>
      <c r="C460" t="s">
        <v>31</v>
      </c>
      <c r="D460" t="s">
        <v>313</v>
      </c>
      <c r="E460" t="s">
        <v>501</v>
      </c>
      <c r="F460">
        <v>34</v>
      </c>
      <c r="G460" t="s">
        <v>34</v>
      </c>
      <c r="H460" t="s">
        <v>1222</v>
      </c>
      <c r="I460">
        <f>92-330-987654</f>
        <v>-987892</v>
      </c>
      <c r="J460" s="1">
        <v>45258</v>
      </c>
      <c r="K460" s="1">
        <v>45306</v>
      </c>
      <c r="L460">
        <v>11000.9</v>
      </c>
      <c r="M460">
        <v>6900.75</v>
      </c>
      <c r="N460">
        <v>685</v>
      </c>
      <c r="O460">
        <v>44000</v>
      </c>
      <c r="P460" t="s">
        <v>26</v>
      </c>
      <c r="Q460" t="s">
        <v>43</v>
      </c>
      <c r="R460">
        <v>0</v>
      </c>
      <c r="S460" t="s">
        <v>28</v>
      </c>
    </row>
    <row r="461" spans="1:19">
      <c r="A461" t="s">
        <v>503</v>
      </c>
      <c r="B461" t="s">
        <v>1223</v>
      </c>
      <c r="C461" t="s">
        <v>21</v>
      </c>
      <c r="D461" t="s">
        <v>32</v>
      </c>
      <c r="E461" t="s">
        <v>33</v>
      </c>
      <c r="F461">
        <v>66</v>
      </c>
      <c r="G461" t="s">
        <v>24</v>
      </c>
      <c r="H461" t="s">
        <v>1224</v>
      </c>
      <c r="I461">
        <f>81-80-123-4567</f>
        <v>-4689</v>
      </c>
      <c r="J461" s="1">
        <v>42883</v>
      </c>
      <c r="K461" s="1">
        <v>45299</v>
      </c>
      <c r="L461">
        <v>299300.25</v>
      </c>
      <c r="M461">
        <v>90000.4</v>
      </c>
      <c r="N461">
        <v>840</v>
      </c>
      <c r="O461">
        <v>298000</v>
      </c>
      <c r="P461" t="s">
        <v>36</v>
      </c>
      <c r="Q461" t="s">
        <v>27</v>
      </c>
      <c r="R461">
        <v>0</v>
      </c>
      <c r="S461" t="s">
        <v>28</v>
      </c>
    </row>
    <row r="462" spans="1:19">
      <c r="A462" t="s">
        <v>506</v>
      </c>
      <c r="B462" t="s">
        <v>1225</v>
      </c>
      <c r="C462" t="s">
        <v>39</v>
      </c>
      <c r="D462" t="s">
        <v>68</v>
      </c>
      <c r="E462" t="s">
        <v>69</v>
      </c>
      <c r="F462">
        <v>58</v>
      </c>
      <c r="G462" t="s">
        <v>34</v>
      </c>
      <c r="H462" t="s">
        <v>1226</v>
      </c>
      <c r="I462">
        <f>234-822-345-6789</f>
        <v>-7722</v>
      </c>
      <c r="J462" s="1">
        <v>43388</v>
      </c>
      <c r="K462" s="1">
        <v>45300</v>
      </c>
      <c r="L462">
        <v>179700.4</v>
      </c>
      <c r="M462">
        <v>90000.75</v>
      </c>
      <c r="N462">
        <v>650</v>
      </c>
      <c r="O462">
        <v>193000</v>
      </c>
      <c r="P462" t="s">
        <v>76</v>
      </c>
      <c r="Q462" t="s">
        <v>27</v>
      </c>
      <c r="R462">
        <v>0</v>
      </c>
      <c r="S462" t="s">
        <v>28</v>
      </c>
    </row>
    <row r="463" spans="1:19">
      <c r="A463" t="s">
        <v>509</v>
      </c>
      <c r="B463" t="s">
        <v>1227</v>
      </c>
      <c r="C463" t="s">
        <v>46</v>
      </c>
      <c r="D463" t="s">
        <v>73</v>
      </c>
      <c r="E463" t="s">
        <v>158</v>
      </c>
      <c r="F463">
        <v>45</v>
      </c>
      <c r="G463" t="s">
        <v>24</v>
      </c>
      <c r="H463" t="s">
        <v>1228</v>
      </c>
      <c r="I463">
        <f>49-184-5678901</f>
        <v>-5679036</v>
      </c>
      <c r="J463" s="1">
        <v>44614</v>
      </c>
      <c r="K463" s="1">
        <v>45303</v>
      </c>
      <c r="L463">
        <v>83300.399999999994</v>
      </c>
      <c r="M463">
        <v>38600.25</v>
      </c>
      <c r="N463">
        <v>745</v>
      </c>
      <c r="O463">
        <v>137000</v>
      </c>
      <c r="P463" t="s">
        <v>26</v>
      </c>
      <c r="Q463" t="s">
        <v>27</v>
      </c>
      <c r="R463">
        <v>0</v>
      </c>
      <c r="S463" t="s">
        <v>28</v>
      </c>
    </row>
    <row r="464" spans="1:19">
      <c r="A464" t="s">
        <v>513</v>
      </c>
      <c r="B464" t="s">
        <v>1229</v>
      </c>
      <c r="C464" t="s">
        <v>57</v>
      </c>
      <c r="D464" t="s">
        <v>58</v>
      </c>
      <c r="E464" t="s">
        <v>122</v>
      </c>
      <c r="F464">
        <v>40</v>
      </c>
      <c r="G464" t="s">
        <v>34</v>
      </c>
      <c r="H464" t="s">
        <v>1230</v>
      </c>
      <c r="I464">
        <f>86-137-5678-9012</f>
        <v>-14741</v>
      </c>
      <c r="J464" s="1">
        <v>44801</v>
      </c>
      <c r="K464" s="1">
        <v>45302</v>
      </c>
      <c r="L464">
        <v>23300.799999999999</v>
      </c>
      <c r="M464">
        <v>9600.9</v>
      </c>
      <c r="N464">
        <v>765</v>
      </c>
      <c r="O464">
        <v>69000</v>
      </c>
      <c r="P464" t="s">
        <v>36</v>
      </c>
      <c r="Q464" t="s">
        <v>27</v>
      </c>
      <c r="R464">
        <v>0</v>
      </c>
      <c r="S464" t="s">
        <v>28</v>
      </c>
    </row>
    <row r="465" spans="1:19">
      <c r="A465" t="s">
        <v>516</v>
      </c>
      <c r="B465" t="s">
        <v>1231</v>
      </c>
      <c r="C465" t="s">
        <v>52</v>
      </c>
      <c r="D465" t="s">
        <v>277</v>
      </c>
      <c r="E465" t="s">
        <v>404</v>
      </c>
      <c r="F465">
        <v>53</v>
      </c>
      <c r="G465" t="s">
        <v>24</v>
      </c>
      <c r="H465" t="s">
        <v>1232</v>
      </c>
      <c r="I465">
        <f>20-122-210-9876</f>
        <v>-10188</v>
      </c>
      <c r="J465" s="1">
        <v>44071</v>
      </c>
      <c r="K465" s="1">
        <v>45301</v>
      </c>
      <c r="L465">
        <v>56600.75</v>
      </c>
      <c r="M465">
        <v>29700.400000000001</v>
      </c>
      <c r="N465">
        <v>675</v>
      </c>
      <c r="O465">
        <v>109000</v>
      </c>
      <c r="P465" t="s">
        <v>26</v>
      </c>
      <c r="Q465" t="s">
        <v>27</v>
      </c>
      <c r="R465">
        <v>0</v>
      </c>
      <c r="S465" t="s">
        <v>28</v>
      </c>
    </row>
    <row r="466" spans="1:19">
      <c r="A466" t="s">
        <v>519</v>
      </c>
      <c r="B466" t="s">
        <v>1233</v>
      </c>
      <c r="C466" t="s">
        <v>84</v>
      </c>
      <c r="D466" t="s">
        <v>183</v>
      </c>
      <c r="E466" t="s">
        <v>184</v>
      </c>
      <c r="F466">
        <v>32</v>
      </c>
      <c r="G466" t="s">
        <v>34</v>
      </c>
      <c r="H466" t="s">
        <v>1234</v>
      </c>
      <c r="I466">
        <f>33-6-2345-6789</f>
        <v>-9107</v>
      </c>
      <c r="J466" s="1">
        <v>45327</v>
      </c>
      <c r="K466" s="1">
        <v>45304</v>
      </c>
      <c r="L466">
        <v>3000.25</v>
      </c>
      <c r="M466">
        <v>12000.6</v>
      </c>
      <c r="N466">
        <v>615</v>
      </c>
      <c r="O466">
        <v>29000</v>
      </c>
      <c r="P466" t="s">
        <v>76</v>
      </c>
      <c r="Q466" t="s">
        <v>43</v>
      </c>
      <c r="R466">
        <v>0</v>
      </c>
      <c r="S466" t="s">
        <v>28</v>
      </c>
    </row>
    <row r="467" spans="1:19">
      <c r="A467" t="s">
        <v>522</v>
      </c>
      <c r="B467" t="s">
        <v>1235</v>
      </c>
      <c r="C467" t="s">
        <v>39</v>
      </c>
      <c r="D467" t="s">
        <v>40</v>
      </c>
      <c r="E467" t="s">
        <v>41</v>
      </c>
      <c r="F467">
        <v>60</v>
      </c>
      <c r="G467" t="s">
        <v>24</v>
      </c>
      <c r="H467" t="s">
        <v>1236</v>
      </c>
      <c r="I467">
        <f>91-987-654-3210</f>
        <v>-4760</v>
      </c>
      <c r="J467" s="1">
        <v>43371</v>
      </c>
      <c r="K467" s="1">
        <v>45299</v>
      </c>
      <c r="L467">
        <v>214300.79999999999</v>
      </c>
      <c r="M467">
        <v>103000.25</v>
      </c>
      <c r="N467">
        <v>660</v>
      </c>
      <c r="O467">
        <v>228000</v>
      </c>
      <c r="P467" t="s">
        <v>76</v>
      </c>
      <c r="Q467" t="s">
        <v>27</v>
      </c>
      <c r="R467">
        <v>0</v>
      </c>
      <c r="S467" t="s">
        <v>28</v>
      </c>
    </row>
    <row r="468" spans="1:19">
      <c r="A468" t="s">
        <v>306</v>
      </c>
      <c r="B468" t="s">
        <v>1237</v>
      </c>
      <c r="C468" t="s">
        <v>46</v>
      </c>
      <c r="D468" t="s">
        <v>209</v>
      </c>
      <c r="E468" t="s">
        <v>703</v>
      </c>
      <c r="F468">
        <v>47</v>
      </c>
      <c r="G468" t="s">
        <v>34</v>
      </c>
      <c r="H468" t="s">
        <v>1238</v>
      </c>
      <c r="I468">
        <f>52-81-6789-123</f>
        <v>-6941</v>
      </c>
      <c r="J468" s="1">
        <v>44211</v>
      </c>
      <c r="K468" s="1">
        <v>45302</v>
      </c>
      <c r="L468">
        <v>77700.899999999994</v>
      </c>
      <c r="M468">
        <v>35500.75</v>
      </c>
      <c r="N468">
        <v>730</v>
      </c>
      <c r="O468">
        <v>132000</v>
      </c>
      <c r="P468" t="s">
        <v>26</v>
      </c>
      <c r="Q468" t="s">
        <v>27</v>
      </c>
      <c r="R468">
        <v>0</v>
      </c>
      <c r="S468" t="s">
        <v>28</v>
      </c>
    </row>
    <row r="469" spans="1:19">
      <c r="A469" t="s">
        <v>527</v>
      </c>
      <c r="B469" t="s">
        <v>1239</v>
      </c>
      <c r="C469" t="s">
        <v>31</v>
      </c>
      <c r="D469" t="s">
        <v>32</v>
      </c>
      <c r="E469" t="s">
        <v>90</v>
      </c>
      <c r="F469">
        <v>36</v>
      </c>
      <c r="G469" t="s">
        <v>34</v>
      </c>
      <c r="H469" t="s">
        <v>1240</v>
      </c>
      <c r="I469">
        <f>81-90-1234-5678</f>
        <v>-6921</v>
      </c>
      <c r="J469" s="1">
        <v>45282</v>
      </c>
      <c r="K469" s="1">
        <v>45305</v>
      </c>
      <c r="L469">
        <v>12100.4</v>
      </c>
      <c r="M469">
        <v>7000.25</v>
      </c>
      <c r="N469">
        <v>705</v>
      </c>
      <c r="O469">
        <v>46000</v>
      </c>
      <c r="P469" t="s">
        <v>26</v>
      </c>
      <c r="Q469" t="s">
        <v>43</v>
      </c>
      <c r="R469">
        <v>0</v>
      </c>
      <c r="S469" t="s">
        <v>28</v>
      </c>
    </row>
    <row r="470" spans="1:19">
      <c r="A470" t="s">
        <v>530</v>
      </c>
      <c r="B470" t="s">
        <v>1241</v>
      </c>
      <c r="C470" t="s">
        <v>57</v>
      </c>
      <c r="D470" t="s">
        <v>219</v>
      </c>
      <c r="E470" t="s">
        <v>220</v>
      </c>
      <c r="F470">
        <v>41</v>
      </c>
      <c r="G470" t="s">
        <v>24</v>
      </c>
      <c r="H470" t="s">
        <v>1242</v>
      </c>
      <c r="I470">
        <f>233-63-456-7890</f>
        <v>-8176</v>
      </c>
      <c r="J470" s="1">
        <v>44764</v>
      </c>
      <c r="K470" s="1">
        <v>45303</v>
      </c>
      <c r="L470">
        <v>22200.6</v>
      </c>
      <c r="M470">
        <v>9000.7999999999993</v>
      </c>
      <c r="N470">
        <v>710</v>
      </c>
      <c r="O470">
        <v>62000</v>
      </c>
      <c r="P470" t="s">
        <v>36</v>
      </c>
      <c r="Q470" t="s">
        <v>27</v>
      </c>
      <c r="R470">
        <v>0</v>
      </c>
      <c r="S470" t="s">
        <v>28</v>
      </c>
    </row>
    <row r="471" spans="1:19">
      <c r="A471" t="s">
        <v>533</v>
      </c>
      <c r="B471" t="s">
        <v>1243</v>
      </c>
      <c r="C471" t="s">
        <v>52</v>
      </c>
      <c r="D471" t="s">
        <v>204</v>
      </c>
      <c r="E471" t="s">
        <v>259</v>
      </c>
      <c r="F471">
        <v>48</v>
      </c>
      <c r="G471" t="s">
        <v>34</v>
      </c>
      <c r="H471" t="s">
        <v>1244</v>
      </c>
      <c r="I471">
        <f>7-921-98-76-54</f>
        <v>-1142</v>
      </c>
      <c r="J471" s="1">
        <v>44071</v>
      </c>
      <c r="K471" s="1">
        <v>45301</v>
      </c>
      <c r="L471">
        <v>53500.25</v>
      </c>
      <c r="M471">
        <v>26600.9</v>
      </c>
      <c r="N471">
        <v>695</v>
      </c>
      <c r="O471">
        <v>97000</v>
      </c>
      <c r="P471" t="s">
        <v>26</v>
      </c>
      <c r="Q471" t="s">
        <v>27</v>
      </c>
      <c r="R471">
        <v>0</v>
      </c>
      <c r="S471" t="s">
        <v>28</v>
      </c>
    </row>
    <row r="472" spans="1:19">
      <c r="A472" t="s">
        <v>536</v>
      </c>
      <c r="B472" t="s">
        <v>1245</v>
      </c>
      <c r="C472" t="s">
        <v>39</v>
      </c>
      <c r="D472" t="s">
        <v>195</v>
      </c>
      <c r="E472" t="s">
        <v>196</v>
      </c>
      <c r="F472">
        <v>56</v>
      </c>
      <c r="G472" t="s">
        <v>24</v>
      </c>
      <c r="H472" t="s">
        <v>1246</v>
      </c>
      <c r="I472">
        <f>353-95-345-6789</f>
        <v>-6876</v>
      </c>
      <c r="J472" s="1">
        <v>43518</v>
      </c>
      <c r="K472" s="1">
        <v>45300</v>
      </c>
      <c r="L472">
        <v>146500.4</v>
      </c>
      <c r="M472">
        <v>77000.600000000006</v>
      </c>
      <c r="N472">
        <v>670</v>
      </c>
      <c r="O472">
        <v>164000</v>
      </c>
      <c r="P472" t="s">
        <v>76</v>
      </c>
      <c r="Q472" t="s">
        <v>27</v>
      </c>
      <c r="R472">
        <v>0</v>
      </c>
      <c r="S472" t="s">
        <v>28</v>
      </c>
    </row>
    <row r="473" spans="1:19">
      <c r="A473" t="s">
        <v>539</v>
      </c>
      <c r="B473" t="s">
        <v>1247</v>
      </c>
      <c r="C473" t="s">
        <v>21</v>
      </c>
      <c r="D473" t="s">
        <v>58</v>
      </c>
      <c r="E473" t="s">
        <v>59</v>
      </c>
      <c r="F473">
        <v>64</v>
      </c>
      <c r="G473" t="s">
        <v>34</v>
      </c>
      <c r="H473" t="s">
        <v>1248</v>
      </c>
      <c r="I473">
        <f>86-139-2345-6789</f>
        <v>-9187</v>
      </c>
      <c r="J473" s="1">
        <v>43091</v>
      </c>
      <c r="K473" s="1">
        <v>45299</v>
      </c>
      <c r="L473">
        <v>313400.75</v>
      </c>
      <c r="M473">
        <v>94000.8</v>
      </c>
      <c r="N473">
        <v>835</v>
      </c>
      <c r="O473">
        <v>309000</v>
      </c>
      <c r="P473" t="s">
        <v>36</v>
      </c>
      <c r="Q473" t="s">
        <v>27</v>
      </c>
      <c r="R473">
        <v>0</v>
      </c>
      <c r="S473" t="s">
        <v>28</v>
      </c>
    </row>
    <row r="474" spans="1:19">
      <c r="A474" t="s">
        <v>542</v>
      </c>
      <c r="B474" t="s">
        <v>1249</v>
      </c>
      <c r="C474" t="s">
        <v>52</v>
      </c>
      <c r="D474" t="s">
        <v>68</v>
      </c>
      <c r="E474" t="s">
        <v>69</v>
      </c>
      <c r="F474">
        <v>51</v>
      </c>
      <c r="G474" t="s">
        <v>34</v>
      </c>
      <c r="H474" t="s">
        <v>1250</v>
      </c>
      <c r="I474">
        <f>234-823-456-7890</f>
        <v>-8935</v>
      </c>
      <c r="J474" s="1">
        <v>44027</v>
      </c>
      <c r="K474" s="1">
        <v>45302</v>
      </c>
      <c r="L474">
        <v>62200.6</v>
      </c>
      <c r="M474">
        <v>32200.25</v>
      </c>
      <c r="N474">
        <v>665</v>
      </c>
      <c r="O474">
        <v>117000</v>
      </c>
      <c r="P474" t="s">
        <v>26</v>
      </c>
      <c r="Q474" t="s">
        <v>27</v>
      </c>
      <c r="R474">
        <v>0</v>
      </c>
      <c r="S474" t="s">
        <v>28</v>
      </c>
    </row>
    <row r="475" spans="1:19">
      <c r="A475" t="s">
        <v>545</v>
      </c>
      <c r="B475" t="s">
        <v>1251</v>
      </c>
      <c r="C475" t="s">
        <v>46</v>
      </c>
      <c r="D475" t="s">
        <v>241</v>
      </c>
      <c r="E475" t="s">
        <v>389</v>
      </c>
      <c r="F475">
        <v>43</v>
      </c>
      <c r="G475" t="s">
        <v>24</v>
      </c>
      <c r="H475" t="s">
        <v>1252</v>
      </c>
      <c r="I475">
        <f>39-357-123-4567</f>
        <v>-5008</v>
      </c>
      <c r="J475" s="1">
        <v>44679</v>
      </c>
      <c r="K475" s="1">
        <v>45303</v>
      </c>
      <c r="L475">
        <v>85500.800000000003</v>
      </c>
      <c r="M475">
        <v>39700.400000000001</v>
      </c>
      <c r="N475">
        <v>750</v>
      </c>
      <c r="O475">
        <v>143000</v>
      </c>
      <c r="P475" t="s">
        <v>26</v>
      </c>
      <c r="Q475" t="s">
        <v>27</v>
      </c>
      <c r="R475">
        <v>0</v>
      </c>
      <c r="S475" t="s">
        <v>28</v>
      </c>
    </row>
    <row r="476" spans="1:19">
      <c r="A476" t="s">
        <v>548</v>
      </c>
      <c r="B476" t="s">
        <v>1253</v>
      </c>
      <c r="C476" t="s">
        <v>57</v>
      </c>
      <c r="D476" t="s">
        <v>22</v>
      </c>
      <c r="E476" t="s">
        <v>118</v>
      </c>
      <c r="F476">
        <v>39</v>
      </c>
      <c r="G476" t="s">
        <v>34</v>
      </c>
      <c r="H476" t="s">
        <v>1254</v>
      </c>
      <c r="I476">
        <f>1-310-555-194</f>
        <v>-1058</v>
      </c>
      <c r="J476" s="1">
        <v>44856</v>
      </c>
      <c r="K476" s="1">
        <v>45305</v>
      </c>
      <c r="L476">
        <v>24400.9</v>
      </c>
      <c r="M476">
        <v>10000.75</v>
      </c>
      <c r="N476">
        <v>770</v>
      </c>
      <c r="O476">
        <v>74000</v>
      </c>
      <c r="P476" t="s">
        <v>36</v>
      </c>
      <c r="Q476" t="s">
        <v>27</v>
      </c>
      <c r="R476">
        <v>0</v>
      </c>
      <c r="S476" t="s">
        <v>28</v>
      </c>
    </row>
    <row r="477" spans="1:19">
      <c r="A477" t="s">
        <v>551</v>
      </c>
      <c r="B477" t="s">
        <v>1255</v>
      </c>
      <c r="C477" t="s">
        <v>39</v>
      </c>
      <c r="D477" t="s">
        <v>313</v>
      </c>
      <c r="E477" t="s">
        <v>314</v>
      </c>
      <c r="F477">
        <v>62</v>
      </c>
      <c r="G477" t="s">
        <v>24</v>
      </c>
      <c r="H477" t="s">
        <v>1256</v>
      </c>
      <c r="I477">
        <f>92-309-987654</f>
        <v>-987871</v>
      </c>
      <c r="J477" s="1">
        <v>43279</v>
      </c>
      <c r="K477" s="1">
        <v>45299</v>
      </c>
      <c r="L477">
        <v>199600.25</v>
      </c>
      <c r="M477">
        <v>98000.8</v>
      </c>
      <c r="N477">
        <v>645</v>
      </c>
      <c r="O477">
        <v>214000</v>
      </c>
      <c r="P477" t="s">
        <v>76</v>
      </c>
      <c r="Q477" t="s">
        <v>27</v>
      </c>
      <c r="R477">
        <v>0</v>
      </c>
      <c r="S477" t="s">
        <v>28</v>
      </c>
    </row>
    <row r="478" spans="1:19">
      <c r="A478" t="s">
        <v>554</v>
      </c>
      <c r="B478" t="s">
        <v>1257</v>
      </c>
      <c r="C478" t="s">
        <v>31</v>
      </c>
      <c r="D478" t="s">
        <v>214</v>
      </c>
      <c r="E478" t="s">
        <v>724</v>
      </c>
      <c r="F478">
        <v>35</v>
      </c>
      <c r="G478" t="s">
        <v>34</v>
      </c>
      <c r="H478" t="s">
        <v>1258</v>
      </c>
      <c r="I478">
        <f>34-632-345-678</f>
        <v>-1621</v>
      </c>
      <c r="J478" s="1">
        <v>45299</v>
      </c>
      <c r="K478" s="1">
        <v>45306</v>
      </c>
      <c r="L478">
        <v>19200.5</v>
      </c>
      <c r="M478">
        <v>9600.4</v>
      </c>
      <c r="N478">
        <v>720</v>
      </c>
      <c r="O478">
        <v>51000</v>
      </c>
      <c r="P478" t="s">
        <v>36</v>
      </c>
      <c r="Q478" t="s">
        <v>27</v>
      </c>
      <c r="R478">
        <v>0</v>
      </c>
      <c r="S478" t="s">
        <v>28</v>
      </c>
    </row>
    <row r="479" spans="1:19">
      <c r="A479" t="s">
        <v>108</v>
      </c>
      <c r="B479" t="s">
        <v>1259</v>
      </c>
      <c r="C479" t="s">
        <v>84</v>
      </c>
      <c r="D479" t="s">
        <v>32</v>
      </c>
      <c r="E479" t="s">
        <v>33</v>
      </c>
      <c r="F479">
        <v>31</v>
      </c>
      <c r="G479" t="s">
        <v>24</v>
      </c>
      <c r="H479" t="s">
        <v>1260</v>
      </c>
      <c r="I479">
        <f>81-90-4567-8901</f>
        <v>-13477</v>
      </c>
      <c r="J479" s="1">
        <v>45319</v>
      </c>
      <c r="K479" s="1">
        <v>45304</v>
      </c>
      <c r="L479">
        <v>2750.8</v>
      </c>
      <c r="M479">
        <v>10400.25</v>
      </c>
      <c r="N479">
        <v>605</v>
      </c>
      <c r="O479">
        <v>27000</v>
      </c>
      <c r="P479" t="s">
        <v>76</v>
      </c>
      <c r="Q479" t="s">
        <v>43</v>
      </c>
      <c r="R479">
        <v>0</v>
      </c>
      <c r="S479" t="s">
        <v>28</v>
      </c>
    </row>
    <row r="480" spans="1:19">
      <c r="A480" t="s">
        <v>559</v>
      </c>
      <c r="B480" t="s">
        <v>1261</v>
      </c>
      <c r="C480" t="s">
        <v>46</v>
      </c>
      <c r="D480" t="s">
        <v>254</v>
      </c>
      <c r="E480" t="s">
        <v>255</v>
      </c>
      <c r="F480">
        <v>45</v>
      </c>
      <c r="G480" t="s">
        <v>34</v>
      </c>
      <c r="H480" t="s">
        <v>1262</v>
      </c>
      <c r="I480">
        <f>221-87-123-4567</f>
        <v>-4556</v>
      </c>
      <c r="J480" s="1">
        <v>44552</v>
      </c>
      <c r="K480" s="1">
        <v>45302</v>
      </c>
      <c r="L480">
        <v>72200.399999999994</v>
      </c>
      <c r="M480">
        <v>34400.75</v>
      </c>
      <c r="N480">
        <v>710</v>
      </c>
      <c r="O480">
        <v>125000</v>
      </c>
      <c r="P480" t="s">
        <v>26</v>
      </c>
      <c r="Q480" t="s">
        <v>27</v>
      </c>
      <c r="R480">
        <v>0</v>
      </c>
      <c r="S480" t="s">
        <v>28</v>
      </c>
    </row>
    <row r="481" spans="1:19">
      <c r="A481" t="s">
        <v>562</v>
      </c>
      <c r="B481" t="s">
        <v>1263</v>
      </c>
      <c r="C481" t="s">
        <v>39</v>
      </c>
      <c r="D481" t="s">
        <v>47</v>
      </c>
      <c r="E481" t="s">
        <v>48</v>
      </c>
      <c r="F481">
        <v>59</v>
      </c>
      <c r="G481" t="s">
        <v>24</v>
      </c>
      <c r="H481" t="s">
        <v>1264</v>
      </c>
      <c r="I481">
        <f>44-79-4567-8901</f>
        <v>-13503</v>
      </c>
      <c r="J481" s="1">
        <v>43432</v>
      </c>
      <c r="K481" s="1">
        <v>45300</v>
      </c>
      <c r="L481">
        <v>179800.6</v>
      </c>
      <c r="M481">
        <v>91000.25</v>
      </c>
      <c r="N481">
        <v>675</v>
      </c>
      <c r="O481">
        <v>194000</v>
      </c>
      <c r="P481" t="s">
        <v>76</v>
      </c>
      <c r="Q481" t="s">
        <v>27</v>
      </c>
      <c r="R481">
        <v>0</v>
      </c>
      <c r="S481" t="s">
        <v>28</v>
      </c>
    </row>
    <row r="482" spans="1:19">
      <c r="A482" t="s">
        <v>565</v>
      </c>
      <c r="B482" t="s">
        <v>1265</v>
      </c>
      <c r="C482" t="s">
        <v>52</v>
      </c>
      <c r="D482" t="s">
        <v>233</v>
      </c>
      <c r="E482" t="s">
        <v>234</v>
      </c>
      <c r="F482">
        <v>44</v>
      </c>
      <c r="G482" t="s">
        <v>34</v>
      </c>
      <c r="H482" t="s">
        <v>1266</v>
      </c>
      <c r="I482">
        <f>82-10-3456-7890</f>
        <v>-11274</v>
      </c>
      <c r="J482" s="1">
        <v>44338</v>
      </c>
      <c r="K482" s="1">
        <v>45301</v>
      </c>
      <c r="L482">
        <v>48600.75</v>
      </c>
      <c r="M482">
        <v>25500.799999999999</v>
      </c>
      <c r="N482">
        <v>725</v>
      </c>
      <c r="O482">
        <v>91000</v>
      </c>
      <c r="P482" t="s">
        <v>26</v>
      </c>
      <c r="Q482" t="s">
        <v>27</v>
      </c>
      <c r="R482">
        <v>0</v>
      </c>
      <c r="S482" t="s">
        <v>28</v>
      </c>
    </row>
    <row r="483" spans="1:19">
      <c r="A483" t="s">
        <v>568</v>
      </c>
      <c r="B483" t="s">
        <v>1267</v>
      </c>
      <c r="C483" t="s">
        <v>57</v>
      </c>
      <c r="D483" t="s">
        <v>79</v>
      </c>
      <c r="E483" t="s">
        <v>102</v>
      </c>
      <c r="F483">
        <v>42</v>
      </c>
      <c r="G483" t="s">
        <v>24</v>
      </c>
      <c r="H483" t="s">
        <v>1268</v>
      </c>
      <c r="I483">
        <f>971-50-567-8901</f>
        <v>-8547</v>
      </c>
      <c r="J483" s="1">
        <v>44801</v>
      </c>
      <c r="K483" s="1">
        <v>45303</v>
      </c>
      <c r="L483">
        <v>26600.400000000001</v>
      </c>
      <c r="M483">
        <v>10800.9</v>
      </c>
      <c r="N483">
        <v>740</v>
      </c>
      <c r="O483">
        <v>77000</v>
      </c>
      <c r="P483" t="s">
        <v>36</v>
      </c>
      <c r="Q483" t="s">
        <v>27</v>
      </c>
      <c r="R483">
        <v>0</v>
      </c>
      <c r="S483" t="s">
        <v>28</v>
      </c>
    </row>
    <row r="484" spans="1:19">
      <c r="A484" t="s">
        <v>571</v>
      </c>
      <c r="B484" t="s">
        <v>1269</v>
      </c>
      <c r="C484" t="s">
        <v>21</v>
      </c>
      <c r="D484" t="s">
        <v>63</v>
      </c>
      <c r="E484" t="s">
        <v>64</v>
      </c>
      <c r="F484">
        <v>65</v>
      </c>
      <c r="G484" t="s">
        <v>34</v>
      </c>
      <c r="H484" t="s">
        <v>1270</v>
      </c>
      <c r="I484">
        <f>55-11-99567-8901</f>
        <v>-108424</v>
      </c>
      <c r="J484" s="1">
        <v>42975</v>
      </c>
      <c r="K484" s="1">
        <v>45299</v>
      </c>
      <c r="L484">
        <v>268700.90000000002</v>
      </c>
      <c r="M484">
        <v>81000.600000000006</v>
      </c>
      <c r="N484">
        <v>830</v>
      </c>
      <c r="O484">
        <v>289000</v>
      </c>
      <c r="P484" t="s">
        <v>36</v>
      </c>
      <c r="Q484" t="s">
        <v>27</v>
      </c>
      <c r="R484">
        <v>0</v>
      </c>
      <c r="S484" t="s">
        <v>28</v>
      </c>
    </row>
    <row r="485" spans="1:19">
      <c r="A485" t="s">
        <v>574</v>
      </c>
      <c r="B485" t="s">
        <v>1271</v>
      </c>
      <c r="C485" t="s">
        <v>39</v>
      </c>
      <c r="D485" t="s">
        <v>68</v>
      </c>
      <c r="E485" t="s">
        <v>114</v>
      </c>
      <c r="F485">
        <v>57</v>
      </c>
      <c r="G485" t="s">
        <v>24</v>
      </c>
      <c r="H485" t="s">
        <v>1272</v>
      </c>
      <c r="I485">
        <f>234-824-567-8901</f>
        <v>-10058</v>
      </c>
      <c r="J485" s="1">
        <v>43567</v>
      </c>
      <c r="K485" s="1">
        <v>45300</v>
      </c>
      <c r="L485">
        <v>157600.25</v>
      </c>
      <c r="M485">
        <v>83000.399999999994</v>
      </c>
      <c r="N485">
        <v>655</v>
      </c>
      <c r="O485">
        <v>179000</v>
      </c>
      <c r="P485" t="s">
        <v>76</v>
      </c>
      <c r="Q485" t="s">
        <v>27</v>
      </c>
      <c r="R485">
        <v>0</v>
      </c>
      <c r="S485" t="s">
        <v>28</v>
      </c>
    </row>
    <row r="486" spans="1:19">
      <c r="A486" t="s">
        <v>577</v>
      </c>
      <c r="B486" t="s">
        <v>1273</v>
      </c>
      <c r="C486" t="s">
        <v>46</v>
      </c>
      <c r="D486" t="s">
        <v>85</v>
      </c>
      <c r="E486" t="s">
        <v>162</v>
      </c>
      <c r="F486">
        <v>46</v>
      </c>
      <c r="G486" t="s">
        <v>34</v>
      </c>
      <c r="H486" t="s">
        <v>1274</v>
      </c>
      <c r="I486">
        <f>1-514-555-194</f>
        <v>-1262</v>
      </c>
      <c r="J486" s="1">
        <v>44461</v>
      </c>
      <c r="K486" s="1">
        <v>45302</v>
      </c>
      <c r="L486">
        <v>91100.6</v>
      </c>
      <c r="M486">
        <v>42400.75</v>
      </c>
      <c r="N486">
        <v>760</v>
      </c>
      <c r="O486">
        <v>148000</v>
      </c>
      <c r="P486" t="s">
        <v>26</v>
      </c>
      <c r="Q486" t="s">
        <v>27</v>
      </c>
      <c r="R486">
        <v>0</v>
      </c>
      <c r="S486" t="s">
        <v>28</v>
      </c>
    </row>
    <row r="487" spans="1:19">
      <c r="A487" t="s">
        <v>458</v>
      </c>
      <c r="B487" t="s">
        <v>1275</v>
      </c>
      <c r="C487" t="s">
        <v>31</v>
      </c>
      <c r="D487" t="s">
        <v>460</v>
      </c>
      <c r="E487" t="s">
        <v>461</v>
      </c>
      <c r="F487">
        <v>37</v>
      </c>
      <c r="G487" t="s">
        <v>24</v>
      </c>
      <c r="H487" t="s">
        <v>1276</v>
      </c>
      <c r="I487">
        <f>62-821-2345-6789</f>
        <v>-9893</v>
      </c>
      <c r="J487" s="1">
        <v>45258</v>
      </c>
      <c r="K487" s="1">
        <v>45306</v>
      </c>
      <c r="L487">
        <v>12900.25</v>
      </c>
      <c r="M487">
        <v>7600.8</v>
      </c>
      <c r="N487">
        <v>695</v>
      </c>
      <c r="O487">
        <v>48000</v>
      </c>
      <c r="P487" t="s">
        <v>26</v>
      </c>
      <c r="Q487" t="s">
        <v>43</v>
      </c>
      <c r="R487">
        <v>0</v>
      </c>
      <c r="S487" t="s">
        <v>28</v>
      </c>
    </row>
    <row r="488" spans="1:19">
      <c r="A488" t="s">
        <v>582</v>
      </c>
      <c r="B488" t="s">
        <v>1277</v>
      </c>
      <c r="C488" t="s">
        <v>57</v>
      </c>
      <c r="D488" t="s">
        <v>22</v>
      </c>
      <c r="E488" t="s">
        <v>53</v>
      </c>
      <c r="F488">
        <v>40</v>
      </c>
      <c r="G488" t="s">
        <v>34</v>
      </c>
      <c r="H488" t="s">
        <v>1278</v>
      </c>
      <c r="I488">
        <f>1-773-555-196</f>
        <v>-1523</v>
      </c>
      <c r="J488" s="1">
        <v>44740</v>
      </c>
      <c r="K488" s="1">
        <v>45303</v>
      </c>
      <c r="L488">
        <v>25500.9</v>
      </c>
      <c r="M488">
        <v>10400.25</v>
      </c>
      <c r="N488">
        <v>755</v>
      </c>
      <c r="O488">
        <v>70000</v>
      </c>
      <c r="P488" t="s">
        <v>36</v>
      </c>
      <c r="Q488" t="s">
        <v>27</v>
      </c>
      <c r="R488">
        <v>0</v>
      </c>
      <c r="S488" t="s">
        <v>28</v>
      </c>
    </row>
    <row r="489" spans="1:19">
      <c r="A489" t="s">
        <v>55</v>
      </c>
      <c r="B489" t="s">
        <v>1279</v>
      </c>
      <c r="C489" t="s">
        <v>39</v>
      </c>
      <c r="D489" t="s">
        <v>58</v>
      </c>
      <c r="E489" t="s">
        <v>122</v>
      </c>
      <c r="F489">
        <v>58</v>
      </c>
      <c r="G489" t="s">
        <v>24</v>
      </c>
      <c r="H489" t="s">
        <v>1280</v>
      </c>
      <c r="I489">
        <f>86-138-6789-123</f>
        <v>-6964</v>
      </c>
      <c r="J489" s="1">
        <v>43480</v>
      </c>
      <c r="K489" s="1">
        <v>45300</v>
      </c>
      <c r="L489">
        <v>190500.4</v>
      </c>
      <c r="M489">
        <v>96000.75</v>
      </c>
      <c r="N489">
        <v>685</v>
      </c>
      <c r="O489">
        <v>204000</v>
      </c>
      <c r="P489" t="s">
        <v>76</v>
      </c>
      <c r="Q489" t="s">
        <v>27</v>
      </c>
      <c r="R489">
        <v>0</v>
      </c>
      <c r="S489" t="s">
        <v>28</v>
      </c>
    </row>
    <row r="490" spans="1:19">
      <c r="A490" t="s">
        <v>469</v>
      </c>
      <c r="B490" t="s">
        <v>1281</v>
      </c>
      <c r="C490" t="s">
        <v>52</v>
      </c>
      <c r="D490" t="s">
        <v>471</v>
      </c>
      <c r="E490" t="s">
        <v>472</v>
      </c>
      <c r="F490">
        <v>49</v>
      </c>
      <c r="G490" t="s">
        <v>34</v>
      </c>
      <c r="H490" t="s">
        <v>1282</v>
      </c>
      <c r="I490">
        <f>48-709-123-456</f>
        <v>-1240</v>
      </c>
      <c r="J490" s="1">
        <v>44126</v>
      </c>
      <c r="K490" s="1">
        <v>45301</v>
      </c>
      <c r="L490">
        <v>55500.800000000003</v>
      </c>
      <c r="M490">
        <v>28600.6</v>
      </c>
      <c r="N490">
        <v>715</v>
      </c>
      <c r="O490">
        <v>103000</v>
      </c>
      <c r="P490" t="s">
        <v>26</v>
      </c>
      <c r="Q490" t="s">
        <v>27</v>
      </c>
      <c r="R490">
        <v>0</v>
      </c>
      <c r="S490" t="s">
        <v>28</v>
      </c>
    </row>
    <row r="491" spans="1:19">
      <c r="A491" t="s">
        <v>474</v>
      </c>
      <c r="B491" t="s">
        <v>1283</v>
      </c>
      <c r="C491" t="s">
        <v>46</v>
      </c>
      <c r="D491" t="s">
        <v>345</v>
      </c>
      <c r="E491" t="s">
        <v>476</v>
      </c>
      <c r="F491">
        <v>52</v>
      </c>
      <c r="G491" t="s">
        <v>24</v>
      </c>
      <c r="H491" t="s">
        <v>1284</v>
      </c>
      <c r="I491">
        <f>880-1812-345678</f>
        <v>-346610</v>
      </c>
      <c r="J491" s="1">
        <v>44040</v>
      </c>
      <c r="K491" s="1">
        <v>45302</v>
      </c>
      <c r="L491">
        <v>83300.25</v>
      </c>
      <c r="M491">
        <v>38600.400000000001</v>
      </c>
      <c r="N491">
        <v>680</v>
      </c>
      <c r="O491">
        <v>132000</v>
      </c>
      <c r="P491" t="s">
        <v>26</v>
      </c>
      <c r="Q491" t="s">
        <v>27</v>
      </c>
      <c r="R491">
        <v>0</v>
      </c>
      <c r="S491" t="s">
        <v>28</v>
      </c>
    </row>
    <row r="492" spans="1:19">
      <c r="A492" t="s">
        <v>592</v>
      </c>
      <c r="B492" t="s">
        <v>1285</v>
      </c>
      <c r="C492" t="s">
        <v>84</v>
      </c>
      <c r="D492" t="s">
        <v>32</v>
      </c>
      <c r="E492" t="s">
        <v>90</v>
      </c>
      <c r="F492">
        <v>32</v>
      </c>
      <c r="G492" t="s">
        <v>34</v>
      </c>
      <c r="H492" t="s">
        <v>1286</v>
      </c>
      <c r="I492">
        <f>81-90-5678-9012</f>
        <v>-14699</v>
      </c>
      <c r="J492" s="1">
        <v>45327</v>
      </c>
      <c r="K492" s="1">
        <v>45304</v>
      </c>
      <c r="L492">
        <v>2850.4</v>
      </c>
      <c r="M492">
        <v>11000.75</v>
      </c>
      <c r="N492">
        <v>610</v>
      </c>
      <c r="O492">
        <v>28000</v>
      </c>
      <c r="P492" t="s">
        <v>76</v>
      </c>
      <c r="Q492" t="s">
        <v>43</v>
      </c>
      <c r="R492">
        <v>0</v>
      </c>
      <c r="S492" t="s">
        <v>28</v>
      </c>
    </row>
    <row r="493" spans="1:19">
      <c r="A493" t="s">
        <v>595</v>
      </c>
      <c r="B493" t="s">
        <v>1287</v>
      </c>
      <c r="C493" t="s">
        <v>21</v>
      </c>
      <c r="D493" t="s">
        <v>209</v>
      </c>
      <c r="E493" t="s">
        <v>210</v>
      </c>
      <c r="F493">
        <v>64</v>
      </c>
      <c r="G493" t="s">
        <v>24</v>
      </c>
      <c r="H493" t="s">
        <v>1288</v>
      </c>
      <c r="I493">
        <f>52-55-3456-7890</f>
        <v>-11349</v>
      </c>
      <c r="J493" s="1">
        <v>43181</v>
      </c>
      <c r="K493" s="1">
        <v>45299</v>
      </c>
      <c r="L493">
        <v>288500.8</v>
      </c>
      <c r="M493">
        <v>87000.25</v>
      </c>
      <c r="N493">
        <v>825</v>
      </c>
      <c r="O493">
        <v>284000</v>
      </c>
      <c r="P493" t="s">
        <v>36</v>
      </c>
      <c r="Q493" t="s">
        <v>27</v>
      </c>
      <c r="R493">
        <v>0</v>
      </c>
      <c r="S493" t="s">
        <v>28</v>
      </c>
    </row>
    <row r="494" spans="1:19">
      <c r="A494" t="s">
        <v>226</v>
      </c>
      <c r="B494" t="s">
        <v>1289</v>
      </c>
      <c r="C494" t="s">
        <v>57</v>
      </c>
      <c r="D494" t="s">
        <v>228</v>
      </c>
      <c r="E494" t="s">
        <v>229</v>
      </c>
      <c r="F494">
        <v>39</v>
      </c>
      <c r="G494" t="s">
        <v>34</v>
      </c>
      <c r="H494" t="s">
        <v>1290</v>
      </c>
      <c r="I494">
        <f>254-733-456-789</f>
        <v>-1724</v>
      </c>
      <c r="J494" s="1">
        <v>44917</v>
      </c>
      <c r="K494" s="1">
        <v>45305</v>
      </c>
      <c r="L494">
        <v>22200.75</v>
      </c>
      <c r="M494">
        <v>8800.4</v>
      </c>
      <c r="N494">
        <v>725</v>
      </c>
      <c r="O494">
        <v>60000</v>
      </c>
      <c r="P494" t="s">
        <v>36</v>
      </c>
      <c r="Q494" t="s">
        <v>27</v>
      </c>
      <c r="R494">
        <v>0</v>
      </c>
      <c r="S494" t="s">
        <v>28</v>
      </c>
    </row>
    <row r="495" spans="1:19">
      <c r="A495" t="s">
        <v>488</v>
      </c>
      <c r="B495" t="s">
        <v>1291</v>
      </c>
      <c r="C495" t="s">
        <v>39</v>
      </c>
      <c r="D495" t="s">
        <v>304</v>
      </c>
      <c r="E495" t="s">
        <v>304</v>
      </c>
      <c r="F495">
        <v>56</v>
      </c>
      <c r="G495" t="s">
        <v>24</v>
      </c>
      <c r="H495" t="s">
        <v>1292</v>
      </c>
      <c r="I495">
        <f>65-9290-1234</f>
        <v>-10459</v>
      </c>
      <c r="J495" s="1">
        <v>43651</v>
      </c>
      <c r="K495" s="1">
        <v>45300</v>
      </c>
      <c r="L495">
        <v>168700.6</v>
      </c>
      <c r="M495">
        <v>87000.9</v>
      </c>
      <c r="N495">
        <v>675</v>
      </c>
      <c r="O495">
        <v>184000</v>
      </c>
      <c r="P495" t="s">
        <v>76</v>
      </c>
      <c r="Q495" t="s">
        <v>27</v>
      </c>
      <c r="R495">
        <v>0</v>
      </c>
      <c r="S495" t="s">
        <v>28</v>
      </c>
    </row>
    <row r="496" spans="1:19">
      <c r="A496" t="s">
        <v>491</v>
      </c>
      <c r="B496" t="s">
        <v>1293</v>
      </c>
      <c r="C496" t="s">
        <v>52</v>
      </c>
      <c r="D496" t="s">
        <v>493</v>
      </c>
      <c r="E496" t="s">
        <v>494</v>
      </c>
      <c r="F496">
        <v>47</v>
      </c>
      <c r="G496" t="s">
        <v>34</v>
      </c>
      <c r="H496" t="s">
        <v>1294</v>
      </c>
      <c r="I496">
        <f>30-701-234-5678</f>
        <v>-6583</v>
      </c>
      <c r="J496" s="1">
        <v>44436</v>
      </c>
      <c r="K496" s="1">
        <v>45302</v>
      </c>
      <c r="L496">
        <v>49700.4</v>
      </c>
      <c r="M496">
        <v>24400.25</v>
      </c>
      <c r="N496">
        <v>705</v>
      </c>
      <c r="O496">
        <v>92000</v>
      </c>
      <c r="P496" t="s">
        <v>26</v>
      </c>
      <c r="Q496" t="s">
        <v>27</v>
      </c>
      <c r="R496">
        <v>0</v>
      </c>
      <c r="S496" t="s">
        <v>28</v>
      </c>
    </row>
    <row r="497" spans="1:19">
      <c r="A497" t="s">
        <v>496</v>
      </c>
      <c r="B497" t="s">
        <v>1295</v>
      </c>
      <c r="C497" t="s">
        <v>46</v>
      </c>
      <c r="D497" t="s">
        <v>321</v>
      </c>
      <c r="E497" t="s">
        <v>498</v>
      </c>
      <c r="F497">
        <v>50</v>
      </c>
      <c r="G497" t="s">
        <v>24</v>
      </c>
      <c r="H497" t="s">
        <v>1296</v>
      </c>
      <c r="I497">
        <f>61-433-456-789</f>
        <v>-1617</v>
      </c>
      <c r="J497" s="1">
        <v>43912</v>
      </c>
      <c r="K497" s="1">
        <v>45301</v>
      </c>
      <c r="L497">
        <v>96600.75</v>
      </c>
      <c r="M497">
        <v>45500.800000000003</v>
      </c>
      <c r="N497">
        <v>730</v>
      </c>
      <c r="O497">
        <v>158000</v>
      </c>
      <c r="P497" t="s">
        <v>26</v>
      </c>
      <c r="Q497" t="s">
        <v>27</v>
      </c>
      <c r="R497">
        <v>0</v>
      </c>
      <c r="S497" t="s">
        <v>28</v>
      </c>
    </row>
    <row r="498" spans="1:19">
      <c r="A498" t="s">
        <v>324</v>
      </c>
      <c r="B498" t="s">
        <v>1297</v>
      </c>
      <c r="C498" t="s">
        <v>31</v>
      </c>
      <c r="D498" t="s">
        <v>313</v>
      </c>
      <c r="E498" t="s">
        <v>385</v>
      </c>
      <c r="F498">
        <v>35</v>
      </c>
      <c r="G498" t="s">
        <v>34</v>
      </c>
      <c r="H498" t="s">
        <v>1298</v>
      </c>
      <c r="I498">
        <f>92-331-9876543</f>
        <v>-9876782</v>
      </c>
      <c r="J498" s="1">
        <v>45288</v>
      </c>
      <c r="K498" s="1">
        <v>45306</v>
      </c>
      <c r="L498">
        <v>11400.9</v>
      </c>
      <c r="M498">
        <v>7100.75</v>
      </c>
      <c r="N498">
        <v>685</v>
      </c>
      <c r="O498">
        <v>45000</v>
      </c>
      <c r="P498" t="s">
        <v>26</v>
      </c>
      <c r="Q498" t="s">
        <v>43</v>
      </c>
      <c r="R498">
        <v>0</v>
      </c>
      <c r="S498" t="s">
        <v>28</v>
      </c>
    </row>
    <row r="499" spans="1:19">
      <c r="A499" t="s">
        <v>503</v>
      </c>
      <c r="B499" t="s">
        <v>1299</v>
      </c>
      <c r="C499" t="s">
        <v>21</v>
      </c>
      <c r="D499" t="s">
        <v>32</v>
      </c>
      <c r="E499" t="s">
        <v>33</v>
      </c>
      <c r="F499">
        <v>67</v>
      </c>
      <c r="G499" t="s">
        <v>24</v>
      </c>
      <c r="H499" t="s">
        <v>1300</v>
      </c>
      <c r="I499">
        <f>81-80-1234-5678</f>
        <v>-6911</v>
      </c>
      <c r="J499" s="1">
        <v>42914</v>
      </c>
      <c r="K499" s="1">
        <v>45299</v>
      </c>
      <c r="L499">
        <v>299400.25</v>
      </c>
      <c r="M499">
        <v>91000.4</v>
      </c>
      <c r="N499">
        <v>840</v>
      </c>
      <c r="O499">
        <v>299000</v>
      </c>
      <c r="P499" t="s">
        <v>36</v>
      </c>
      <c r="Q499" t="s">
        <v>27</v>
      </c>
      <c r="R499">
        <v>0</v>
      </c>
      <c r="S499" t="s">
        <v>28</v>
      </c>
    </row>
    <row r="500" spans="1:19">
      <c r="A500" t="s">
        <v>506</v>
      </c>
      <c r="B500" t="s">
        <v>1301</v>
      </c>
      <c r="C500" t="s">
        <v>39</v>
      </c>
      <c r="D500" t="s">
        <v>68</v>
      </c>
      <c r="E500" t="s">
        <v>69</v>
      </c>
      <c r="F500">
        <v>59</v>
      </c>
      <c r="G500" t="s">
        <v>34</v>
      </c>
      <c r="H500" t="s">
        <v>1302</v>
      </c>
      <c r="I500">
        <f>234-823-456-7890</f>
        <v>-8935</v>
      </c>
      <c r="J500" s="1">
        <v>43426</v>
      </c>
      <c r="K500" s="1">
        <v>45300</v>
      </c>
      <c r="L500">
        <v>179800.4</v>
      </c>
      <c r="M500">
        <v>91000.75</v>
      </c>
      <c r="N500">
        <v>650</v>
      </c>
      <c r="O500">
        <v>194000</v>
      </c>
      <c r="P500" t="s">
        <v>76</v>
      </c>
      <c r="Q500" t="s">
        <v>27</v>
      </c>
      <c r="R500">
        <v>0</v>
      </c>
      <c r="S500" t="s">
        <v>28</v>
      </c>
    </row>
    <row r="501" spans="1:19">
      <c r="A501" t="s">
        <v>509</v>
      </c>
      <c r="B501" t="s">
        <v>1303</v>
      </c>
      <c r="C501" t="s">
        <v>46</v>
      </c>
      <c r="D501" t="s">
        <v>73</v>
      </c>
      <c r="E501" t="s">
        <v>74</v>
      </c>
      <c r="F501">
        <v>46</v>
      </c>
      <c r="G501" t="s">
        <v>24</v>
      </c>
      <c r="H501" t="s">
        <v>1304</v>
      </c>
      <c r="I501">
        <f>49-185-6789012</f>
        <v>-6789148</v>
      </c>
      <c r="J501" s="1">
        <v>44648</v>
      </c>
      <c r="K501" s="1">
        <v>45303</v>
      </c>
      <c r="L501">
        <v>84400.4</v>
      </c>
      <c r="M501">
        <v>39700.25</v>
      </c>
      <c r="N501">
        <v>745</v>
      </c>
      <c r="O501">
        <v>138000</v>
      </c>
      <c r="P501" t="s">
        <v>26</v>
      </c>
      <c r="Q501" t="s">
        <v>27</v>
      </c>
      <c r="R501">
        <v>0</v>
      </c>
      <c r="S501" t="s">
        <v>28</v>
      </c>
    </row>
    <row r="502" spans="1:19">
      <c r="A502" t="s">
        <v>513</v>
      </c>
      <c r="B502" t="s">
        <v>1305</v>
      </c>
      <c r="C502" t="s">
        <v>57</v>
      </c>
      <c r="D502" t="s">
        <v>58</v>
      </c>
      <c r="E502" t="s">
        <v>59</v>
      </c>
      <c r="F502">
        <v>41</v>
      </c>
      <c r="G502" t="s">
        <v>34</v>
      </c>
      <c r="H502" t="s">
        <v>1306</v>
      </c>
      <c r="I502">
        <f>86-137-6789-123</f>
        <v>-6963</v>
      </c>
      <c r="J502" s="1">
        <v>44826</v>
      </c>
      <c r="K502" s="1">
        <v>45302</v>
      </c>
      <c r="L502">
        <v>24400.799999999999</v>
      </c>
      <c r="M502">
        <v>10000.9</v>
      </c>
      <c r="N502">
        <v>765</v>
      </c>
      <c r="O502">
        <v>70000</v>
      </c>
      <c r="P502" t="s">
        <v>36</v>
      </c>
      <c r="Q502" t="s">
        <v>27</v>
      </c>
      <c r="R502">
        <v>0</v>
      </c>
      <c r="S502" t="s">
        <v>28</v>
      </c>
    </row>
    <row r="503" spans="1:19">
      <c r="A503" t="s">
        <v>516</v>
      </c>
      <c r="B503" t="s">
        <v>1307</v>
      </c>
      <c r="C503" t="s">
        <v>52</v>
      </c>
      <c r="D503" t="s">
        <v>277</v>
      </c>
      <c r="E503" t="s">
        <v>404</v>
      </c>
      <c r="F503">
        <v>54</v>
      </c>
      <c r="G503" t="s">
        <v>24</v>
      </c>
      <c r="H503" t="s">
        <v>1308</v>
      </c>
      <c r="I503">
        <f>20-122-109-8765</f>
        <v>-8976</v>
      </c>
      <c r="J503" s="1">
        <v>44096</v>
      </c>
      <c r="K503" s="1">
        <v>45301</v>
      </c>
      <c r="L503">
        <v>57700.75</v>
      </c>
      <c r="M503">
        <v>30800.400000000001</v>
      </c>
      <c r="N503">
        <v>675</v>
      </c>
      <c r="O503">
        <v>110000</v>
      </c>
      <c r="P503" t="s">
        <v>26</v>
      </c>
      <c r="Q503" t="s">
        <v>27</v>
      </c>
      <c r="R503">
        <v>0</v>
      </c>
      <c r="S503" t="s">
        <v>28</v>
      </c>
    </row>
    <row r="504" spans="1:19">
      <c r="A504" t="s">
        <v>519</v>
      </c>
      <c r="B504" t="s">
        <v>1309</v>
      </c>
      <c r="C504" t="s">
        <v>84</v>
      </c>
      <c r="D504" t="s">
        <v>183</v>
      </c>
      <c r="E504" t="s">
        <v>184</v>
      </c>
      <c r="F504">
        <v>33</v>
      </c>
      <c r="G504" t="s">
        <v>34</v>
      </c>
      <c r="H504" t="s">
        <v>1310</v>
      </c>
      <c r="I504">
        <f>33-6-3456-7890</f>
        <v>-11319</v>
      </c>
      <c r="J504" s="1">
        <v>45334</v>
      </c>
      <c r="K504" s="1">
        <v>45304</v>
      </c>
      <c r="L504">
        <v>3100.25</v>
      </c>
      <c r="M504">
        <v>12200.6</v>
      </c>
      <c r="N504">
        <v>615</v>
      </c>
      <c r="O504">
        <v>30000</v>
      </c>
      <c r="P504" t="s">
        <v>76</v>
      </c>
      <c r="Q504" t="s">
        <v>43</v>
      </c>
      <c r="R504">
        <v>0</v>
      </c>
      <c r="S504" t="s">
        <v>28</v>
      </c>
    </row>
    <row r="505" spans="1:19">
      <c r="A505" t="s">
        <v>522</v>
      </c>
      <c r="B505" t="s">
        <v>1311</v>
      </c>
      <c r="C505" t="s">
        <v>39</v>
      </c>
      <c r="D505" t="s">
        <v>40</v>
      </c>
      <c r="E505" t="s">
        <v>41</v>
      </c>
      <c r="F505">
        <v>61</v>
      </c>
      <c r="G505" t="s">
        <v>24</v>
      </c>
      <c r="H505" t="s">
        <v>1312</v>
      </c>
      <c r="I505">
        <f>91-987-654-3210</f>
        <v>-4760</v>
      </c>
      <c r="J505" s="1">
        <v>43395</v>
      </c>
      <c r="K505" s="1">
        <v>45299</v>
      </c>
      <c r="L505">
        <v>214400.8</v>
      </c>
      <c r="M505">
        <v>104000.25</v>
      </c>
      <c r="N505">
        <v>660</v>
      </c>
      <c r="O505">
        <v>229000</v>
      </c>
      <c r="P505" t="s">
        <v>76</v>
      </c>
      <c r="Q505" t="s">
        <v>27</v>
      </c>
      <c r="R505">
        <v>0</v>
      </c>
      <c r="S505" t="s">
        <v>28</v>
      </c>
    </row>
    <row r="506" spans="1:19">
      <c r="A506" t="s">
        <v>306</v>
      </c>
      <c r="B506" t="s">
        <v>1313</v>
      </c>
      <c r="C506" t="s">
        <v>46</v>
      </c>
      <c r="D506" t="s">
        <v>209</v>
      </c>
      <c r="E506" t="s">
        <v>447</v>
      </c>
      <c r="F506">
        <v>48</v>
      </c>
      <c r="G506" t="s">
        <v>34</v>
      </c>
      <c r="H506" t="s">
        <v>1314</v>
      </c>
      <c r="I506">
        <f>52-33-7890-123</f>
        <v>-7994</v>
      </c>
      <c r="J506" s="1">
        <v>44239</v>
      </c>
      <c r="K506" s="1">
        <v>45302</v>
      </c>
      <c r="L506">
        <v>78800.899999999994</v>
      </c>
      <c r="M506">
        <v>36600.75</v>
      </c>
      <c r="N506">
        <v>730</v>
      </c>
      <c r="O506">
        <v>133000</v>
      </c>
      <c r="P506" t="s">
        <v>26</v>
      </c>
      <c r="Q506" t="s">
        <v>27</v>
      </c>
      <c r="R506">
        <v>0</v>
      </c>
      <c r="S506" t="s">
        <v>28</v>
      </c>
    </row>
    <row r="507" spans="1:19">
      <c r="A507" t="s">
        <v>527</v>
      </c>
      <c r="B507" t="s">
        <v>1315</v>
      </c>
      <c r="C507" t="s">
        <v>31</v>
      </c>
      <c r="D507" t="s">
        <v>32</v>
      </c>
      <c r="E507" t="s">
        <v>90</v>
      </c>
      <c r="F507">
        <v>37</v>
      </c>
      <c r="G507" t="s">
        <v>34</v>
      </c>
      <c r="H507" t="s">
        <v>1316</v>
      </c>
      <c r="I507">
        <f>81-90-2345-6789</f>
        <v>-9143</v>
      </c>
      <c r="J507" s="1">
        <v>45306</v>
      </c>
      <c r="K507" s="1">
        <v>45305</v>
      </c>
      <c r="L507">
        <v>12500.4</v>
      </c>
      <c r="M507">
        <v>7200.25</v>
      </c>
      <c r="N507">
        <v>705</v>
      </c>
      <c r="O507">
        <v>47000</v>
      </c>
      <c r="P507" t="s">
        <v>26</v>
      </c>
      <c r="Q507" t="s">
        <v>43</v>
      </c>
      <c r="R507">
        <v>0</v>
      </c>
      <c r="S507" t="s">
        <v>28</v>
      </c>
    </row>
    <row r="508" spans="1:19">
      <c r="A508" t="s">
        <v>530</v>
      </c>
      <c r="B508" t="s">
        <v>1317</v>
      </c>
      <c r="C508" t="s">
        <v>57</v>
      </c>
      <c r="D508" t="s">
        <v>219</v>
      </c>
      <c r="E508" t="s">
        <v>220</v>
      </c>
      <c r="F508">
        <v>42</v>
      </c>
      <c r="G508" t="s">
        <v>24</v>
      </c>
      <c r="H508" t="s">
        <v>1318</v>
      </c>
      <c r="I508">
        <f>233-64-567-8901</f>
        <v>-9299</v>
      </c>
      <c r="J508" s="1">
        <v>44801</v>
      </c>
      <c r="K508" s="1">
        <v>45303</v>
      </c>
      <c r="L508">
        <v>23300.6</v>
      </c>
      <c r="M508">
        <v>9400.7999999999993</v>
      </c>
      <c r="N508">
        <v>710</v>
      </c>
      <c r="O508">
        <v>63000</v>
      </c>
      <c r="P508" t="s">
        <v>36</v>
      </c>
      <c r="Q508" t="s">
        <v>27</v>
      </c>
      <c r="R508">
        <v>0</v>
      </c>
      <c r="S508" t="s">
        <v>28</v>
      </c>
    </row>
    <row r="509" spans="1:19">
      <c r="A509" t="s">
        <v>533</v>
      </c>
      <c r="B509" t="s">
        <v>1319</v>
      </c>
      <c r="C509" t="s">
        <v>52</v>
      </c>
      <c r="D509" t="s">
        <v>204</v>
      </c>
      <c r="E509" t="s">
        <v>205</v>
      </c>
      <c r="F509">
        <v>49</v>
      </c>
      <c r="G509" t="s">
        <v>34</v>
      </c>
      <c r="H509" t="s">
        <v>1320</v>
      </c>
      <c r="I509">
        <f>7-915-987-65-43</f>
        <v>-2003</v>
      </c>
      <c r="J509" s="1">
        <v>44096</v>
      </c>
      <c r="K509" s="1">
        <v>45301</v>
      </c>
      <c r="L509">
        <v>54600.25</v>
      </c>
      <c r="M509">
        <v>27700.9</v>
      </c>
      <c r="N509">
        <v>695</v>
      </c>
      <c r="O509">
        <v>98000</v>
      </c>
      <c r="P509" t="s">
        <v>26</v>
      </c>
      <c r="Q509" t="s">
        <v>27</v>
      </c>
      <c r="R509">
        <v>0</v>
      </c>
      <c r="S509" t="s">
        <v>28</v>
      </c>
    </row>
    <row r="510" spans="1:19">
      <c r="A510" t="s">
        <v>536</v>
      </c>
      <c r="B510" t="s">
        <v>1321</v>
      </c>
      <c r="C510" t="s">
        <v>39</v>
      </c>
      <c r="D510" t="s">
        <v>195</v>
      </c>
      <c r="E510" t="s">
        <v>300</v>
      </c>
      <c r="F510">
        <v>57</v>
      </c>
      <c r="G510" t="s">
        <v>24</v>
      </c>
      <c r="H510" t="s">
        <v>1322</v>
      </c>
      <c r="I510">
        <f>353-96-456-7890</f>
        <v>-8089</v>
      </c>
      <c r="J510" s="1">
        <v>43552</v>
      </c>
      <c r="K510" s="1">
        <v>45300</v>
      </c>
      <c r="L510">
        <v>146600.4</v>
      </c>
      <c r="M510">
        <v>78000.600000000006</v>
      </c>
      <c r="N510">
        <v>670</v>
      </c>
      <c r="O510">
        <v>165000</v>
      </c>
      <c r="P510" t="s">
        <v>76</v>
      </c>
      <c r="Q510" t="s">
        <v>27</v>
      </c>
      <c r="R510">
        <v>0</v>
      </c>
      <c r="S510" t="s">
        <v>28</v>
      </c>
    </row>
    <row r="511" spans="1:19">
      <c r="A511" t="s">
        <v>539</v>
      </c>
      <c r="B511" t="s">
        <v>1323</v>
      </c>
      <c r="C511" t="s">
        <v>21</v>
      </c>
      <c r="D511" t="s">
        <v>58</v>
      </c>
      <c r="E511" t="s">
        <v>122</v>
      </c>
      <c r="F511">
        <v>65</v>
      </c>
      <c r="G511" t="s">
        <v>34</v>
      </c>
      <c r="H511" t="s">
        <v>1324</v>
      </c>
      <c r="I511">
        <f>86-139-3456-7890</f>
        <v>-11399</v>
      </c>
      <c r="J511" s="1">
        <v>43115</v>
      </c>
      <c r="K511" s="1">
        <v>45299</v>
      </c>
      <c r="L511">
        <v>313500.75</v>
      </c>
      <c r="M511">
        <v>95000.8</v>
      </c>
      <c r="N511">
        <v>835</v>
      </c>
      <c r="O511">
        <v>310000</v>
      </c>
      <c r="P511" t="s">
        <v>36</v>
      </c>
      <c r="Q511" t="s">
        <v>27</v>
      </c>
      <c r="R511">
        <v>0</v>
      </c>
      <c r="S511" t="s">
        <v>28</v>
      </c>
    </row>
    <row r="512" spans="1:19">
      <c r="A512" t="s">
        <v>542</v>
      </c>
      <c r="B512" t="s">
        <v>1325</v>
      </c>
      <c r="C512" t="s">
        <v>52</v>
      </c>
      <c r="D512" t="s">
        <v>68</v>
      </c>
      <c r="E512" t="s">
        <v>179</v>
      </c>
      <c r="F512">
        <v>52</v>
      </c>
      <c r="G512" t="s">
        <v>34</v>
      </c>
      <c r="H512" t="s">
        <v>1326</v>
      </c>
      <c r="I512">
        <f>234-824-567-8901</f>
        <v>-10058</v>
      </c>
      <c r="J512" s="1">
        <v>44065</v>
      </c>
      <c r="K512" s="1">
        <v>45302</v>
      </c>
      <c r="L512">
        <v>63300.6</v>
      </c>
      <c r="M512">
        <v>33300.25</v>
      </c>
      <c r="N512">
        <v>665</v>
      </c>
      <c r="O512">
        <v>118000</v>
      </c>
      <c r="P512" t="s">
        <v>26</v>
      </c>
      <c r="Q512" t="s">
        <v>27</v>
      </c>
      <c r="R512">
        <v>0</v>
      </c>
      <c r="S512" t="s">
        <v>28</v>
      </c>
    </row>
    <row r="513" spans="1:19">
      <c r="A513" t="s">
        <v>545</v>
      </c>
      <c r="B513" t="s">
        <v>1327</v>
      </c>
      <c r="C513" t="s">
        <v>46</v>
      </c>
      <c r="D513" t="s">
        <v>241</v>
      </c>
      <c r="E513" t="s">
        <v>242</v>
      </c>
      <c r="F513">
        <v>44</v>
      </c>
      <c r="G513" t="s">
        <v>24</v>
      </c>
      <c r="H513" t="s">
        <v>1328</v>
      </c>
      <c r="I513">
        <f>39-358-234-5678</f>
        <v>-6231</v>
      </c>
      <c r="J513" s="1">
        <v>44703</v>
      </c>
      <c r="K513" s="1">
        <v>45303</v>
      </c>
      <c r="L513">
        <v>86600.8</v>
      </c>
      <c r="M513">
        <v>40800.400000000001</v>
      </c>
      <c r="N513">
        <v>750</v>
      </c>
      <c r="O513">
        <v>144000</v>
      </c>
      <c r="P513" t="s">
        <v>26</v>
      </c>
      <c r="Q513" t="s">
        <v>27</v>
      </c>
      <c r="R513">
        <v>0</v>
      </c>
      <c r="S513" t="s">
        <v>28</v>
      </c>
    </row>
    <row r="514" spans="1:19">
      <c r="A514" t="s">
        <v>548</v>
      </c>
      <c r="B514" t="s">
        <v>1329</v>
      </c>
      <c r="C514" t="s">
        <v>57</v>
      </c>
      <c r="D514" t="s">
        <v>22</v>
      </c>
      <c r="E514" t="s">
        <v>381</v>
      </c>
      <c r="F514">
        <v>40</v>
      </c>
      <c r="G514" t="s">
        <v>34</v>
      </c>
      <c r="H514" t="s">
        <v>1330</v>
      </c>
      <c r="I514">
        <f>1-415-555-198</f>
        <v>-1167</v>
      </c>
      <c r="J514" s="1">
        <v>44887</v>
      </c>
      <c r="K514" s="1">
        <v>45305</v>
      </c>
      <c r="L514">
        <v>25500.9</v>
      </c>
      <c r="M514">
        <v>10400.75</v>
      </c>
      <c r="N514">
        <v>770</v>
      </c>
      <c r="O514">
        <v>75000</v>
      </c>
      <c r="P514" t="s">
        <v>36</v>
      </c>
      <c r="Q514" t="s">
        <v>27</v>
      </c>
      <c r="R514">
        <v>0</v>
      </c>
      <c r="S514" t="s">
        <v>28</v>
      </c>
    </row>
    <row r="515" spans="1:19">
      <c r="A515" t="s">
        <v>551</v>
      </c>
      <c r="B515" t="s">
        <v>1331</v>
      </c>
      <c r="C515" t="s">
        <v>39</v>
      </c>
      <c r="D515" t="s">
        <v>313</v>
      </c>
      <c r="E515" t="s">
        <v>501</v>
      </c>
      <c r="F515">
        <v>63</v>
      </c>
      <c r="G515" t="s">
        <v>24</v>
      </c>
      <c r="H515" t="s">
        <v>1332</v>
      </c>
      <c r="I515">
        <f>92-310-9876543</f>
        <v>-9876761</v>
      </c>
      <c r="J515" s="1">
        <v>43303</v>
      </c>
      <c r="K515" s="1">
        <v>45299</v>
      </c>
      <c r="L515">
        <v>199700.25</v>
      </c>
      <c r="M515">
        <v>99000.8</v>
      </c>
      <c r="N515">
        <v>645</v>
      </c>
      <c r="O515">
        <v>215000</v>
      </c>
      <c r="P515" t="s">
        <v>76</v>
      </c>
      <c r="Q515" t="s">
        <v>27</v>
      </c>
      <c r="R515">
        <v>0</v>
      </c>
      <c r="S515" t="s">
        <v>28</v>
      </c>
    </row>
    <row r="516" spans="1:19">
      <c r="A516" t="s">
        <v>554</v>
      </c>
      <c r="B516" t="s">
        <v>1333</v>
      </c>
      <c r="C516" t="s">
        <v>31</v>
      </c>
      <c r="D516" t="s">
        <v>214</v>
      </c>
      <c r="E516" t="s">
        <v>483</v>
      </c>
      <c r="F516">
        <v>36</v>
      </c>
      <c r="G516" t="s">
        <v>34</v>
      </c>
      <c r="H516" t="s">
        <v>1334</v>
      </c>
      <c r="I516">
        <f>34-633-456-789</f>
        <v>-1844</v>
      </c>
      <c r="J516" s="1">
        <v>45313</v>
      </c>
      <c r="K516" s="1">
        <v>45306</v>
      </c>
      <c r="L516">
        <v>20200.5</v>
      </c>
      <c r="M516">
        <v>10000.4</v>
      </c>
      <c r="N516">
        <v>720</v>
      </c>
      <c r="O516">
        <v>52000</v>
      </c>
      <c r="P516" t="s">
        <v>36</v>
      </c>
      <c r="Q516" t="s">
        <v>27</v>
      </c>
      <c r="R516">
        <v>0</v>
      </c>
      <c r="S516" t="s">
        <v>28</v>
      </c>
    </row>
    <row r="517" spans="1:19">
      <c r="A517" t="s">
        <v>108</v>
      </c>
      <c r="B517" t="s">
        <v>1335</v>
      </c>
      <c r="C517" t="s">
        <v>84</v>
      </c>
      <c r="D517" t="s">
        <v>32</v>
      </c>
      <c r="E517" t="s">
        <v>33</v>
      </c>
      <c r="F517">
        <v>32</v>
      </c>
      <c r="G517" t="s">
        <v>24</v>
      </c>
      <c r="H517" t="s">
        <v>1336</v>
      </c>
      <c r="I517">
        <f>81-90-5678-9012</f>
        <v>-14699</v>
      </c>
      <c r="J517" s="1">
        <v>45330</v>
      </c>
      <c r="K517" s="1">
        <v>45304</v>
      </c>
      <c r="L517">
        <v>2850.8</v>
      </c>
      <c r="M517">
        <v>10600.25</v>
      </c>
      <c r="N517">
        <v>605</v>
      </c>
      <c r="O517">
        <v>28000</v>
      </c>
      <c r="P517" t="s">
        <v>76</v>
      </c>
      <c r="Q517" t="s">
        <v>43</v>
      </c>
      <c r="R517">
        <v>0</v>
      </c>
      <c r="S517" t="s">
        <v>28</v>
      </c>
    </row>
    <row r="518" spans="1:19">
      <c r="A518" t="s">
        <v>559</v>
      </c>
      <c r="B518" t="s">
        <v>1337</v>
      </c>
      <c r="C518" t="s">
        <v>46</v>
      </c>
      <c r="D518" t="s">
        <v>254</v>
      </c>
      <c r="E518" t="s">
        <v>255</v>
      </c>
      <c r="F518">
        <v>46</v>
      </c>
      <c r="G518" t="s">
        <v>34</v>
      </c>
      <c r="H518" t="s">
        <v>1338</v>
      </c>
      <c r="I518">
        <f>221-88-234-5678</f>
        <v>-5779</v>
      </c>
      <c r="J518" s="1">
        <v>44583</v>
      </c>
      <c r="K518" s="1">
        <v>45302</v>
      </c>
      <c r="L518">
        <v>73300.399999999994</v>
      </c>
      <c r="M518">
        <v>35500.75</v>
      </c>
      <c r="N518">
        <v>710</v>
      </c>
      <c r="O518">
        <v>126000</v>
      </c>
      <c r="P518" t="s">
        <v>26</v>
      </c>
      <c r="Q518" t="s">
        <v>27</v>
      </c>
      <c r="R518">
        <v>0</v>
      </c>
      <c r="S518" t="s">
        <v>28</v>
      </c>
    </row>
    <row r="519" spans="1:19">
      <c r="A519" t="s">
        <v>562</v>
      </c>
      <c r="B519" t="s">
        <v>1339</v>
      </c>
      <c r="C519" t="s">
        <v>39</v>
      </c>
      <c r="D519" t="s">
        <v>47</v>
      </c>
      <c r="E519" t="s">
        <v>98</v>
      </c>
      <c r="F519">
        <v>60</v>
      </c>
      <c r="G519" t="s">
        <v>24</v>
      </c>
      <c r="H519" t="s">
        <v>1340</v>
      </c>
      <c r="I519">
        <f>44-79-5678-9012</f>
        <v>-14725</v>
      </c>
      <c r="J519" s="1">
        <v>43456</v>
      </c>
      <c r="K519" s="1">
        <v>45300</v>
      </c>
      <c r="L519">
        <v>179900.6</v>
      </c>
      <c r="M519">
        <v>92000.25</v>
      </c>
      <c r="N519">
        <v>675</v>
      </c>
      <c r="O519">
        <v>195000</v>
      </c>
      <c r="P519" t="s">
        <v>76</v>
      </c>
      <c r="Q519" t="s">
        <v>27</v>
      </c>
      <c r="R519">
        <v>0</v>
      </c>
      <c r="S519" t="s">
        <v>28</v>
      </c>
    </row>
    <row r="520" spans="1:19">
      <c r="A520" t="s">
        <v>565</v>
      </c>
      <c r="B520" t="s">
        <v>1341</v>
      </c>
      <c r="C520" t="s">
        <v>52</v>
      </c>
      <c r="D520" t="s">
        <v>233</v>
      </c>
      <c r="E520" t="s">
        <v>296</v>
      </c>
      <c r="F520">
        <v>45</v>
      </c>
      <c r="G520" t="s">
        <v>34</v>
      </c>
      <c r="H520" t="s">
        <v>1342</v>
      </c>
      <c r="I520">
        <f>82-10-4567-8901</f>
        <v>-13396</v>
      </c>
      <c r="J520" s="1">
        <v>44375</v>
      </c>
      <c r="K520" s="1">
        <v>45301</v>
      </c>
      <c r="L520">
        <v>49700.75</v>
      </c>
      <c r="M520">
        <v>26600.799999999999</v>
      </c>
      <c r="N520">
        <v>725</v>
      </c>
      <c r="O520">
        <v>92000</v>
      </c>
      <c r="P520" t="s">
        <v>26</v>
      </c>
      <c r="Q520" t="s">
        <v>27</v>
      </c>
      <c r="R520">
        <v>0</v>
      </c>
      <c r="S520" t="s">
        <v>28</v>
      </c>
    </row>
    <row r="521" spans="1:19">
      <c r="A521" t="s">
        <v>568</v>
      </c>
      <c r="B521" t="s">
        <v>1343</v>
      </c>
      <c r="C521" t="s">
        <v>57</v>
      </c>
      <c r="D521" t="s">
        <v>79</v>
      </c>
      <c r="E521" t="s">
        <v>80</v>
      </c>
      <c r="F521">
        <v>43</v>
      </c>
      <c r="G521" t="s">
        <v>24</v>
      </c>
      <c r="H521" t="s">
        <v>1344</v>
      </c>
      <c r="I521">
        <f>971-50-678-9012</f>
        <v>-8769</v>
      </c>
      <c r="J521" s="1">
        <v>44826</v>
      </c>
      <c r="K521" s="1">
        <v>45303</v>
      </c>
      <c r="L521">
        <v>27700.400000000001</v>
      </c>
      <c r="M521">
        <v>11200.9</v>
      </c>
      <c r="N521">
        <v>740</v>
      </c>
      <c r="O521">
        <v>78000</v>
      </c>
      <c r="P521" t="s">
        <v>36</v>
      </c>
      <c r="Q521" t="s">
        <v>27</v>
      </c>
      <c r="R521">
        <v>0</v>
      </c>
      <c r="S521" t="s">
        <v>28</v>
      </c>
    </row>
    <row r="522" spans="1:19">
      <c r="A522" t="s">
        <v>571</v>
      </c>
      <c r="B522" t="s">
        <v>1345</v>
      </c>
      <c r="C522" t="s">
        <v>21</v>
      </c>
      <c r="D522" t="s">
        <v>63</v>
      </c>
      <c r="E522" t="s">
        <v>106</v>
      </c>
      <c r="F522">
        <v>66</v>
      </c>
      <c r="G522" t="s">
        <v>34</v>
      </c>
      <c r="H522" t="s">
        <v>1346</v>
      </c>
      <c r="I522">
        <f>55-21-99678-9012</f>
        <v>-108656</v>
      </c>
      <c r="J522" s="1">
        <v>43000</v>
      </c>
      <c r="K522" s="1">
        <v>45299</v>
      </c>
      <c r="L522">
        <v>268800.90000000002</v>
      </c>
      <c r="M522">
        <v>82000.600000000006</v>
      </c>
      <c r="N522">
        <v>830</v>
      </c>
      <c r="O522">
        <v>290000</v>
      </c>
      <c r="P522" t="s">
        <v>36</v>
      </c>
      <c r="Q522" t="s">
        <v>27</v>
      </c>
      <c r="R522">
        <v>0</v>
      </c>
      <c r="S522" t="s">
        <v>28</v>
      </c>
    </row>
    <row r="523" spans="1:19">
      <c r="A523" t="s">
        <v>574</v>
      </c>
      <c r="B523" t="s">
        <v>1347</v>
      </c>
      <c r="C523" t="s">
        <v>39</v>
      </c>
      <c r="D523" t="s">
        <v>68</v>
      </c>
      <c r="E523" t="s">
        <v>114</v>
      </c>
      <c r="F523">
        <v>58</v>
      </c>
      <c r="G523" t="s">
        <v>24</v>
      </c>
      <c r="H523" t="s">
        <v>1348</v>
      </c>
      <c r="I523">
        <f>234-825-678-9012</f>
        <v>-10281</v>
      </c>
      <c r="J523" s="1">
        <v>43593</v>
      </c>
      <c r="K523" s="1">
        <v>45300</v>
      </c>
      <c r="L523">
        <v>157700.25</v>
      </c>
      <c r="M523">
        <v>84000.4</v>
      </c>
      <c r="N523">
        <v>655</v>
      </c>
      <c r="O523">
        <v>180000</v>
      </c>
      <c r="P523" t="s">
        <v>76</v>
      </c>
      <c r="Q523" t="s">
        <v>27</v>
      </c>
      <c r="R523">
        <v>0</v>
      </c>
      <c r="S523" t="s">
        <v>28</v>
      </c>
    </row>
    <row r="524" spans="1:19">
      <c r="A524" t="s">
        <v>577</v>
      </c>
      <c r="B524" t="s">
        <v>1349</v>
      </c>
      <c r="C524" t="s">
        <v>46</v>
      </c>
      <c r="D524" t="s">
        <v>85</v>
      </c>
      <c r="E524" t="s">
        <v>130</v>
      </c>
      <c r="F524">
        <v>47</v>
      </c>
      <c r="G524" t="s">
        <v>34</v>
      </c>
      <c r="H524" t="s">
        <v>1350</v>
      </c>
      <c r="I524">
        <f>1-604-555-196</f>
        <v>-1354</v>
      </c>
      <c r="J524" s="1">
        <v>44491</v>
      </c>
      <c r="K524" s="1">
        <v>45302</v>
      </c>
      <c r="L524">
        <v>92200.6</v>
      </c>
      <c r="M524">
        <v>43500.75</v>
      </c>
      <c r="N524">
        <v>760</v>
      </c>
      <c r="O524">
        <v>149000</v>
      </c>
      <c r="P524" t="s">
        <v>26</v>
      </c>
      <c r="Q524" t="s">
        <v>27</v>
      </c>
      <c r="R524">
        <v>0</v>
      </c>
      <c r="S524" t="s">
        <v>28</v>
      </c>
    </row>
    <row r="525" spans="1:19">
      <c r="A525" t="s">
        <v>458</v>
      </c>
      <c r="B525" t="s">
        <v>1351</v>
      </c>
      <c r="C525" t="s">
        <v>31</v>
      </c>
      <c r="D525" t="s">
        <v>460</v>
      </c>
      <c r="E525" t="s">
        <v>663</v>
      </c>
      <c r="F525">
        <v>38</v>
      </c>
      <c r="G525" t="s">
        <v>24</v>
      </c>
      <c r="H525" t="s">
        <v>1352</v>
      </c>
      <c r="I525">
        <f>62-822-3456-7890</f>
        <v>-12106</v>
      </c>
      <c r="J525" s="1">
        <v>45288</v>
      </c>
      <c r="K525" s="1">
        <v>45306</v>
      </c>
      <c r="L525">
        <v>13400.25</v>
      </c>
      <c r="M525">
        <v>7900.8</v>
      </c>
      <c r="N525">
        <v>695</v>
      </c>
      <c r="O525">
        <v>49000</v>
      </c>
      <c r="P525" t="s">
        <v>26</v>
      </c>
      <c r="Q525" t="s">
        <v>43</v>
      </c>
      <c r="R525">
        <v>0</v>
      </c>
      <c r="S525" t="s">
        <v>28</v>
      </c>
    </row>
    <row r="526" spans="1:19">
      <c r="A526" t="s">
        <v>582</v>
      </c>
      <c r="B526" t="s">
        <v>1353</v>
      </c>
      <c r="C526" t="s">
        <v>57</v>
      </c>
      <c r="D526" t="s">
        <v>22</v>
      </c>
      <c r="E526" t="s">
        <v>23</v>
      </c>
      <c r="F526">
        <v>41</v>
      </c>
      <c r="G526" t="s">
        <v>34</v>
      </c>
      <c r="H526" t="s">
        <v>1354</v>
      </c>
      <c r="I526">
        <f>1-646-555-198</f>
        <v>-1398</v>
      </c>
      <c r="J526" s="1">
        <v>44764</v>
      </c>
      <c r="K526" s="1">
        <v>45303</v>
      </c>
      <c r="L526">
        <v>26600.9</v>
      </c>
      <c r="M526">
        <v>10800.25</v>
      </c>
      <c r="N526">
        <v>755</v>
      </c>
      <c r="O526">
        <v>71000</v>
      </c>
      <c r="P526" t="s">
        <v>36</v>
      </c>
      <c r="Q526" t="s">
        <v>27</v>
      </c>
      <c r="R526">
        <v>0</v>
      </c>
      <c r="S526" t="s">
        <v>28</v>
      </c>
    </row>
    <row r="527" spans="1:19">
      <c r="A527" t="s">
        <v>55</v>
      </c>
      <c r="B527" t="s">
        <v>1355</v>
      </c>
      <c r="C527" t="s">
        <v>39</v>
      </c>
      <c r="D527" t="s">
        <v>58</v>
      </c>
      <c r="E527" t="s">
        <v>122</v>
      </c>
      <c r="F527">
        <v>59</v>
      </c>
      <c r="G527" t="s">
        <v>24</v>
      </c>
      <c r="H527" t="s">
        <v>1356</v>
      </c>
      <c r="I527">
        <f>86-138-7890-1234</f>
        <v>-9176</v>
      </c>
      <c r="J527" s="1">
        <v>43508</v>
      </c>
      <c r="K527" s="1">
        <v>45300</v>
      </c>
      <c r="L527">
        <v>190600.4</v>
      </c>
      <c r="M527">
        <v>97000.75</v>
      </c>
      <c r="N527">
        <v>685</v>
      </c>
      <c r="O527">
        <v>205000</v>
      </c>
      <c r="P527" t="s">
        <v>76</v>
      </c>
      <c r="Q527" t="s">
        <v>27</v>
      </c>
      <c r="R527">
        <v>0</v>
      </c>
      <c r="S527" t="s">
        <v>28</v>
      </c>
    </row>
    <row r="528" spans="1:19">
      <c r="A528" t="s">
        <v>469</v>
      </c>
      <c r="B528" t="s">
        <v>1357</v>
      </c>
      <c r="C528" t="s">
        <v>52</v>
      </c>
      <c r="D528" t="s">
        <v>471</v>
      </c>
      <c r="E528" t="s">
        <v>472</v>
      </c>
      <c r="F528">
        <v>50</v>
      </c>
      <c r="G528" t="s">
        <v>34</v>
      </c>
      <c r="H528" t="s">
        <v>1358</v>
      </c>
      <c r="I528">
        <f>48-710-234-567</f>
        <v>-1463</v>
      </c>
      <c r="J528" s="1">
        <v>44163</v>
      </c>
      <c r="K528" s="1">
        <v>45301</v>
      </c>
      <c r="L528">
        <v>56600.800000000003</v>
      </c>
      <c r="M528">
        <v>29700.6</v>
      </c>
      <c r="N528">
        <v>715</v>
      </c>
      <c r="O528">
        <v>104000</v>
      </c>
      <c r="P528" t="s">
        <v>26</v>
      </c>
      <c r="Q528" t="s">
        <v>27</v>
      </c>
      <c r="R528">
        <v>0</v>
      </c>
      <c r="S528" t="s">
        <v>28</v>
      </c>
    </row>
    <row r="529" spans="1:19">
      <c r="A529" t="s">
        <v>474</v>
      </c>
      <c r="B529" t="s">
        <v>1359</v>
      </c>
      <c r="C529" t="s">
        <v>46</v>
      </c>
      <c r="D529" t="s">
        <v>345</v>
      </c>
      <c r="E529" t="s">
        <v>346</v>
      </c>
      <c r="F529">
        <v>53</v>
      </c>
      <c r="G529" t="s">
        <v>24</v>
      </c>
      <c r="H529" t="s">
        <v>1360</v>
      </c>
      <c r="I529">
        <f>880-1812-456789</f>
        <v>-457721</v>
      </c>
      <c r="J529" s="1">
        <v>44065</v>
      </c>
      <c r="K529" s="1">
        <v>45302</v>
      </c>
      <c r="L529">
        <v>84400.25</v>
      </c>
      <c r="M529">
        <v>39700.400000000001</v>
      </c>
      <c r="N529">
        <v>680</v>
      </c>
      <c r="O529">
        <v>133000</v>
      </c>
      <c r="P529" t="s">
        <v>26</v>
      </c>
      <c r="Q529" t="s">
        <v>27</v>
      </c>
      <c r="R529">
        <v>0</v>
      </c>
      <c r="S529" t="s">
        <v>28</v>
      </c>
    </row>
    <row r="530" spans="1:19">
      <c r="A530" t="s">
        <v>592</v>
      </c>
      <c r="B530" t="s">
        <v>1361</v>
      </c>
      <c r="C530" t="s">
        <v>84</v>
      </c>
      <c r="D530" t="s">
        <v>32</v>
      </c>
      <c r="E530" t="s">
        <v>90</v>
      </c>
      <c r="F530">
        <v>33</v>
      </c>
      <c r="G530" t="s">
        <v>34</v>
      </c>
      <c r="H530" t="s">
        <v>1362</v>
      </c>
      <c r="I530">
        <f>81-90-6789-123</f>
        <v>-6921</v>
      </c>
      <c r="J530" s="1">
        <v>45337</v>
      </c>
      <c r="K530" s="1">
        <v>45304</v>
      </c>
      <c r="L530">
        <v>2950.4</v>
      </c>
      <c r="M530">
        <v>11200.75</v>
      </c>
      <c r="N530">
        <v>610</v>
      </c>
      <c r="O530">
        <v>29000</v>
      </c>
      <c r="P530" t="s">
        <v>76</v>
      </c>
      <c r="Q530" t="s">
        <v>43</v>
      </c>
      <c r="R530">
        <v>0</v>
      </c>
      <c r="S530" t="s">
        <v>28</v>
      </c>
    </row>
    <row r="531" spans="1:19">
      <c r="A531" t="s">
        <v>595</v>
      </c>
      <c r="B531" t="s">
        <v>1363</v>
      </c>
      <c r="C531" t="s">
        <v>21</v>
      </c>
      <c r="D531" t="s">
        <v>209</v>
      </c>
      <c r="E531" t="s">
        <v>210</v>
      </c>
      <c r="F531">
        <v>65</v>
      </c>
      <c r="G531" t="s">
        <v>24</v>
      </c>
      <c r="H531" t="s">
        <v>1364</v>
      </c>
      <c r="I531">
        <f>52-55-4567-8901</f>
        <v>-13471</v>
      </c>
      <c r="J531" s="1">
        <v>43218</v>
      </c>
      <c r="K531" s="1">
        <v>45299</v>
      </c>
      <c r="L531">
        <v>288600.8</v>
      </c>
      <c r="M531">
        <v>88000.25</v>
      </c>
      <c r="N531">
        <v>825</v>
      </c>
      <c r="O531">
        <v>285000</v>
      </c>
      <c r="P531" t="s">
        <v>36</v>
      </c>
      <c r="Q531" t="s">
        <v>27</v>
      </c>
      <c r="R531">
        <v>0</v>
      </c>
      <c r="S531" t="s">
        <v>28</v>
      </c>
    </row>
    <row r="532" spans="1:19">
      <c r="A532" t="s">
        <v>226</v>
      </c>
      <c r="B532" t="s">
        <v>1365</v>
      </c>
      <c r="C532" t="s">
        <v>57</v>
      </c>
      <c r="D532" t="s">
        <v>228</v>
      </c>
      <c r="E532" t="s">
        <v>678</v>
      </c>
      <c r="F532">
        <v>40</v>
      </c>
      <c r="G532" t="s">
        <v>34</v>
      </c>
      <c r="H532" t="s">
        <v>1366</v>
      </c>
      <c r="I532">
        <f>254-734-567-890</f>
        <v>-1937</v>
      </c>
      <c r="J532" s="1">
        <v>44948</v>
      </c>
      <c r="K532" s="1">
        <v>45305</v>
      </c>
      <c r="L532">
        <v>23300.75</v>
      </c>
      <c r="M532">
        <v>9200.4</v>
      </c>
      <c r="N532">
        <v>725</v>
      </c>
      <c r="O532">
        <v>61000</v>
      </c>
      <c r="P532" t="s">
        <v>36</v>
      </c>
      <c r="Q532" t="s">
        <v>27</v>
      </c>
      <c r="R532">
        <v>0</v>
      </c>
      <c r="S532" t="s">
        <v>28</v>
      </c>
    </row>
    <row r="533" spans="1:19">
      <c r="A533" t="s">
        <v>488</v>
      </c>
      <c r="B533" t="s">
        <v>1367</v>
      </c>
      <c r="C533" t="s">
        <v>39</v>
      </c>
      <c r="D533" t="s">
        <v>304</v>
      </c>
      <c r="E533" t="s">
        <v>304</v>
      </c>
      <c r="F533">
        <v>57</v>
      </c>
      <c r="G533" t="s">
        <v>24</v>
      </c>
      <c r="H533" t="s">
        <v>1368</v>
      </c>
      <c r="I533">
        <f>65-9390-1234</f>
        <v>-10559</v>
      </c>
      <c r="J533" s="1">
        <v>43689</v>
      </c>
      <c r="K533" s="1">
        <v>45300</v>
      </c>
      <c r="L533">
        <v>168800.6</v>
      </c>
      <c r="M533">
        <v>88000.9</v>
      </c>
      <c r="N533">
        <v>675</v>
      </c>
      <c r="O533">
        <v>185000</v>
      </c>
      <c r="P533" t="s">
        <v>76</v>
      </c>
      <c r="Q533" t="s">
        <v>27</v>
      </c>
      <c r="R533">
        <v>0</v>
      </c>
      <c r="S533" t="s">
        <v>28</v>
      </c>
    </row>
    <row r="534" spans="1:19">
      <c r="A534" t="s">
        <v>491</v>
      </c>
      <c r="B534" t="s">
        <v>1369</v>
      </c>
      <c r="C534" t="s">
        <v>52</v>
      </c>
      <c r="D534" t="s">
        <v>493</v>
      </c>
      <c r="E534" t="s">
        <v>494</v>
      </c>
      <c r="F534">
        <v>48</v>
      </c>
      <c r="G534" t="s">
        <v>34</v>
      </c>
      <c r="H534" t="s">
        <v>1370</v>
      </c>
      <c r="I534">
        <f>30-702-345-6789</f>
        <v>-7806</v>
      </c>
      <c r="J534" s="1">
        <v>44461</v>
      </c>
      <c r="K534" s="1">
        <v>45302</v>
      </c>
      <c r="L534">
        <v>50800.4</v>
      </c>
      <c r="M534">
        <v>25500.25</v>
      </c>
      <c r="N534">
        <v>705</v>
      </c>
      <c r="O534">
        <v>93000</v>
      </c>
      <c r="P534" t="s">
        <v>26</v>
      </c>
      <c r="Q534" t="s">
        <v>27</v>
      </c>
      <c r="R534">
        <v>0</v>
      </c>
      <c r="S534" t="s">
        <v>28</v>
      </c>
    </row>
    <row r="535" spans="1:19">
      <c r="A535" t="s">
        <v>496</v>
      </c>
      <c r="B535" t="s">
        <v>1371</v>
      </c>
      <c r="C535" t="s">
        <v>46</v>
      </c>
      <c r="D535" t="s">
        <v>321</v>
      </c>
      <c r="E535" t="s">
        <v>498</v>
      </c>
      <c r="F535">
        <v>51</v>
      </c>
      <c r="G535" t="s">
        <v>24</v>
      </c>
      <c r="H535" t="s">
        <v>1372</v>
      </c>
      <c r="I535">
        <f>61-434-567-890</f>
        <v>-1830</v>
      </c>
      <c r="J535" s="1">
        <v>43949</v>
      </c>
      <c r="K535" s="1">
        <v>45301</v>
      </c>
      <c r="L535">
        <v>97700.75</v>
      </c>
      <c r="M535">
        <v>46600.800000000003</v>
      </c>
      <c r="N535">
        <v>730</v>
      </c>
      <c r="O535">
        <v>159000</v>
      </c>
      <c r="P535" t="s">
        <v>26</v>
      </c>
      <c r="Q535" t="s">
        <v>27</v>
      </c>
      <c r="R535">
        <v>0</v>
      </c>
      <c r="S535" t="s">
        <v>28</v>
      </c>
    </row>
    <row r="536" spans="1:19">
      <c r="A536" t="s">
        <v>324</v>
      </c>
      <c r="B536" t="s">
        <v>1373</v>
      </c>
      <c r="C536" t="s">
        <v>31</v>
      </c>
      <c r="D536" t="s">
        <v>313</v>
      </c>
      <c r="E536" t="s">
        <v>314</v>
      </c>
      <c r="F536">
        <v>36</v>
      </c>
      <c r="G536" t="s">
        <v>34</v>
      </c>
      <c r="H536" t="s">
        <v>1374</v>
      </c>
      <c r="I536">
        <f>92-332-8765432</f>
        <v>-8765672</v>
      </c>
      <c r="J536" s="1">
        <v>45319</v>
      </c>
      <c r="K536" s="1">
        <v>45306</v>
      </c>
      <c r="L536">
        <v>11800.9</v>
      </c>
      <c r="M536">
        <v>7300.75</v>
      </c>
      <c r="N536">
        <v>685</v>
      </c>
      <c r="O536">
        <v>46000</v>
      </c>
      <c r="P536" t="s">
        <v>26</v>
      </c>
      <c r="Q536" t="s">
        <v>43</v>
      </c>
      <c r="R536">
        <v>0</v>
      </c>
      <c r="S536" t="s">
        <v>28</v>
      </c>
    </row>
    <row r="537" spans="1:19">
      <c r="A537" t="s">
        <v>503</v>
      </c>
      <c r="B537" t="s">
        <v>1375</v>
      </c>
      <c r="C537" t="s">
        <v>21</v>
      </c>
      <c r="D537" t="s">
        <v>32</v>
      </c>
      <c r="E537" t="s">
        <v>33</v>
      </c>
      <c r="F537">
        <v>68</v>
      </c>
      <c r="G537" t="s">
        <v>24</v>
      </c>
      <c r="H537" t="s">
        <v>1376</v>
      </c>
      <c r="I537">
        <f>81-80-2345-6789</f>
        <v>-9133</v>
      </c>
      <c r="J537" s="1">
        <v>42944</v>
      </c>
      <c r="K537" s="1">
        <v>45299</v>
      </c>
      <c r="L537">
        <v>299500.25</v>
      </c>
      <c r="M537">
        <v>92000.4</v>
      </c>
      <c r="N537">
        <v>840</v>
      </c>
      <c r="O537">
        <v>300000</v>
      </c>
      <c r="P537" t="s">
        <v>36</v>
      </c>
      <c r="Q537" t="s">
        <v>27</v>
      </c>
      <c r="R537">
        <v>0</v>
      </c>
      <c r="S537" t="s">
        <v>28</v>
      </c>
    </row>
    <row r="538" spans="1:19">
      <c r="A538" t="s">
        <v>506</v>
      </c>
      <c r="B538" t="s">
        <v>1377</v>
      </c>
      <c r="C538" t="s">
        <v>39</v>
      </c>
      <c r="D538" t="s">
        <v>68</v>
      </c>
      <c r="E538" t="s">
        <v>69</v>
      </c>
      <c r="F538">
        <v>60</v>
      </c>
      <c r="G538" t="s">
        <v>34</v>
      </c>
      <c r="H538" t="s">
        <v>1378</v>
      </c>
      <c r="I538">
        <f>234-824-567-8901</f>
        <v>-10058</v>
      </c>
      <c r="J538" s="1">
        <v>43456</v>
      </c>
      <c r="K538" s="1">
        <v>45300</v>
      </c>
      <c r="L538">
        <v>179900.4</v>
      </c>
      <c r="M538">
        <v>92000.75</v>
      </c>
      <c r="N538">
        <v>650</v>
      </c>
      <c r="O538">
        <v>195000</v>
      </c>
      <c r="P538" t="s">
        <v>76</v>
      </c>
      <c r="Q538" t="s">
        <v>27</v>
      </c>
      <c r="R538">
        <v>0</v>
      </c>
      <c r="S538" t="s">
        <v>28</v>
      </c>
    </row>
    <row r="539" spans="1:19">
      <c r="A539" t="s">
        <v>509</v>
      </c>
      <c r="B539" t="s">
        <v>1379</v>
      </c>
      <c r="C539" t="s">
        <v>46</v>
      </c>
      <c r="D539" t="s">
        <v>73</v>
      </c>
      <c r="E539" t="s">
        <v>126</v>
      </c>
      <c r="F539">
        <v>47</v>
      </c>
      <c r="G539" t="s">
        <v>24</v>
      </c>
      <c r="H539" t="s">
        <v>1380</v>
      </c>
      <c r="I539">
        <f>49-186-7890123</f>
        <v>-7890260</v>
      </c>
      <c r="J539" s="1">
        <v>44679</v>
      </c>
      <c r="K539" s="1">
        <v>45303</v>
      </c>
      <c r="L539">
        <v>85500.4</v>
      </c>
      <c r="M539">
        <v>40800.25</v>
      </c>
      <c r="N539">
        <v>745</v>
      </c>
      <c r="O539">
        <v>139000</v>
      </c>
      <c r="P539" t="s">
        <v>26</v>
      </c>
      <c r="Q539" t="s">
        <v>27</v>
      </c>
      <c r="R539">
        <v>0</v>
      </c>
      <c r="S539" t="s">
        <v>28</v>
      </c>
    </row>
    <row r="540" spans="1:19">
      <c r="A540" t="s">
        <v>513</v>
      </c>
      <c r="B540" t="s">
        <v>1381</v>
      </c>
      <c r="C540" t="s">
        <v>57</v>
      </c>
      <c r="D540" t="s">
        <v>58</v>
      </c>
      <c r="E540" t="s">
        <v>59</v>
      </c>
      <c r="F540">
        <v>42</v>
      </c>
      <c r="G540" t="s">
        <v>34</v>
      </c>
      <c r="H540" t="s">
        <v>1382</v>
      </c>
      <c r="I540">
        <f>86-137-7890-1234</f>
        <v>-9175</v>
      </c>
      <c r="J540" s="1">
        <v>44856</v>
      </c>
      <c r="K540" s="1">
        <v>45302</v>
      </c>
      <c r="L540">
        <v>25500.799999999999</v>
      </c>
      <c r="M540">
        <v>10400.9</v>
      </c>
      <c r="N540">
        <v>765</v>
      </c>
      <c r="O540">
        <v>71000</v>
      </c>
      <c r="P540" t="s">
        <v>36</v>
      </c>
      <c r="Q540" t="s">
        <v>27</v>
      </c>
      <c r="R540">
        <v>0</v>
      </c>
      <c r="S540" t="s">
        <v>28</v>
      </c>
    </row>
    <row r="541" spans="1:19">
      <c r="A541" t="s">
        <v>516</v>
      </c>
      <c r="B541" t="s">
        <v>1383</v>
      </c>
      <c r="C541" t="s">
        <v>52</v>
      </c>
      <c r="D541" t="s">
        <v>277</v>
      </c>
      <c r="E541" t="s">
        <v>278</v>
      </c>
      <c r="F541">
        <v>55</v>
      </c>
      <c r="G541" t="s">
        <v>24</v>
      </c>
      <c r="H541" t="s">
        <v>1384</v>
      </c>
      <c r="I541">
        <f>20-122-98-7654</f>
        <v>-7854</v>
      </c>
      <c r="J541" s="1">
        <v>44126</v>
      </c>
      <c r="K541" s="1">
        <v>45301</v>
      </c>
      <c r="L541">
        <v>58800.75</v>
      </c>
      <c r="M541">
        <v>31900.400000000001</v>
      </c>
      <c r="N541">
        <v>675</v>
      </c>
      <c r="O541">
        <v>111000</v>
      </c>
      <c r="P541" t="s">
        <v>26</v>
      </c>
      <c r="Q541" t="s">
        <v>27</v>
      </c>
      <c r="R541">
        <v>0</v>
      </c>
      <c r="S541" t="s">
        <v>28</v>
      </c>
    </row>
    <row r="542" spans="1:19">
      <c r="A542" t="s">
        <v>519</v>
      </c>
      <c r="B542" t="s">
        <v>1385</v>
      </c>
      <c r="C542" t="s">
        <v>84</v>
      </c>
      <c r="D542" t="s">
        <v>183</v>
      </c>
      <c r="E542" t="s">
        <v>273</v>
      </c>
      <c r="F542">
        <v>34</v>
      </c>
      <c r="G542" t="s">
        <v>34</v>
      </c>
      <c r="H542" t="s">
        <v>1386</v>
      </c>
      <c r="I542">
        <f>33-6-4567-8901</f>
        <v>-13441</v>
      </c>
      <c r="J542" s="1">
        <v>45344</v>
      </c>
      <c r="K542" s="1">
        <v>45304</v>
      </c>
      <c r="L542">
        <v>3200.25</v>
      </c>
      <c r="M542">
        <v>12400.6</v>
      </c>
      <c r="N542">
        <v>615</v>
      </c>
      <c r="O542">
        <v>31000</v>
      </c>
      <c r="P542" t="s">
        <v>76</v>
      </c>
      <c r="Q542" t="s">
        <v>43</v>
      </c>
      <c r="R542">
        <v>0</v>
      </c>
      <c r="S542" t="s">
        <v>28</v>
      </c>
    </row>
    <row r="543" spans="1:19">
      <c r="A543" t="s">
        <v>522</v>
      </c>
      <c r="B543" t="s">
        <v>1387</v>
      </c>
      <c r="C543" t="s">
        <v>39</v>
      </c>
      <c r="D543" t="s">
        <v>40</v>
      </c>
      <c r="E543" t="s">
        <v>94</v>
      </c>
      <c r="F543">
        <v>62</v>
      </c>
      <c r="G543" t="s">
        <v>24</v>
      </c>
      <c r="H543" t="s">
        <v>1388</v>
      </c>
      <c r="I543">
        <f>91-987-654-3210</f>
        <v>-4760</v>
      </c>
      <c r="J543" s="1">
        <v>43426</v>
      </c>
      <c r="K543" s="1">
        <v>45299</v>
      </c>
      <c r="L543">
        <v>214500.8</v>
      </c>
      <c r="M543">
        <v>105000.25</v>
      </c>
      <c r="N543">
        <v>660</v>
      </c>
      <c r="O543">
        <v>230000</v>
      </c>
      <c r="P543" t="s">
        <v>76</v>
      </c>
      <c r="Q543" t="s">
        <v>27</v>
      </c>
      <c r="R543">
        <v>0</v>
      </c>
      <c r="S543" t="s">
        <v>28</v>
      </c>
    </row>
    <row r="544" spans="1:19">
      <c r="A544" t="s">
        <v>306</v>
      </c>
      <c r="B544" t="s">
        <v>1389</v>
      </c>
      <c r="C544" t="s">
        <v>46</v>
      </c>
      <c r="D544" t="s">
        <v>209</v>
      </c>
      <c r="E544" t="s">
        <v>210</v>
      </c>
      <c r="F544">
        <v>49</v>
      </c>
      <c r="G544" t="s">
        <v>34</v>
      </c>
      <c r="H544" t="s">
        <v>1390</v>
      </c>
      <c r="I544">
        <f>52-55-5678-9012</f>
        <v>-14693</v>
      </c>
      <c r="J544" s="1">
        <v>44277</v>
      </c>
      <c r="K544" s="1">
        <v>45302</v>
      </c>
      <c r="L544">
        <v>79900.899999999994</v>
      </c>
      <c r="M544">
        <v>37700.75</v>
      </c>
      <c r="N544">
        <v>730</v>
      </c>
      <c r="O544">
        <v>134000</v>
      </c>
      <c r="P544" t="s">
        <v>26</v>
      </c>
      <c r="Q544" t="s">
        <v>27</v>
      </c>
      <c r="R544">
        <v>0</v>
      </c>
      <c r="S544" t="s">
        <v>28</v>
      </c>
    </row>
    <row r="545" spans="1:19">
      <c r="A545" t="s">
        <v>527</v>
      </c>
      <c r="B545" t="s">
        <v>1391</v>
      </c>
      <c r="C545" t="s">
        <v>31</v>
      </c>
      <c r="D545" t="s">
        <v>32</v>
      </c>
      <c r="E545" t="s">
        <v>90</v>
      </c>
      <c r="F545">
        <v>38</v>
      </c>
      <c r="G545" t="s">
        <v>34</v>
      </c>
      <c r="H545" t="s">
        <v>1392</v>
      </c>
      <c r="I545">
        <f>81-90-3456-7890</f>
        <v>-11355</v>
      </c>
      <c r="J545" s="1">
        <v>45319</v>
      </c>
      <c r="K545" s="1">
        <v>45305</v>
      </c>
      <c r="L545">
        <v>12900.4</v>
      </c>
      <c r="M545">
        <v>7400.25</v>
      </c>
      <c r="N545">
        <v>705</v>
      </c>
      <c r="O545">
        <v>48000</v>
      </c>
      <c r="P545" t="s">
        <v>26</v>
      </c>
      <c r="Q545" t="s">
        <v>43</v>
      </c>
      <c r="R545">
        <v>0</v>
      </c>
      <c r="S545" t="s">
        <v>28</v>
      </c>
    </row>
    <row r="546" spans="1:19">
      <c r="A546" t="s">
        <v>530</v>
      </c>
      <c r="B546" t="s">
        <v>1393</v>
      </c>
      <c r="C546" t="s">
        <v>57</v>
      </c>
      <c r="D546" t="s">
        <v>219</v>
      </c>
      <c r="E546" t="s">
        <v>220</v>
      </c>
      <c r="F546">
        <v>43</v>
      </c>
      <c r="G546" t="s">
        <v>24</v>
      </c>
      <c r="H546" t="s">
        <v>1394</v>
      </c>
      <c r="I546">
        <f>233-65-678-9012</f>
        <v>-9522</v>
      </c>
      <c r="J546" s="1">
        <v>44826</v>
      </c>
      <c r="K546" s="1">
        <v>45303</v>
      </c>
      <c r="L546">
        <v>24400.6</v>
      </c>
      <c r="M546">
        <v>9800.7999999999993</v>
      </c>
      <c r="N546">
        <v>710</v>
      </c>
      <c r="O546">
        <v>64000</v>
      </c>
      <c r="P546" t="s">
        <v>36</v>
      </c>
      <c r="Q546" t="s">
        <v>27</v>
      </c>
      <c r="R546">
        <v>0</v>
      </c>
      <c r="S546" t="s">
        <v>28</v>
      </c>
    </row>
    <row r="547" spans="1:19">
      <c r="A547" t="s">
        <v>533</v>
      </c>
      <c r="B547" t="s">
        <v>1395</v>
      </c>
      <c r="C547" t="s">
        <v>52</v>
      </c>
      <c r="D547" t="s">
        <v>204</v>
      </c>
      <c r="E547" t="s">
        <v>259</v>
      </c>
      <c r="F547">
        <v>50</v>
      </c>
      <c r="G547" t="s">
        <v>34</v>
      </c>
      <c r="H547" t="s">
        <v>1396</v>
      </c>
      <c r="I547">
        <f>7-921-876-54-32</f>
        <v>-1876</v>
      </c>
      <c r="J547" s="1">
        <v>44132</v>
      </c>
      <c r="K547" s="1">
        <v>45301</v>
      </c>
      <c r="L547">
        <v>55700.25</v>
      </c>
      <c r="M547">
        <v>28800.9</v>
      </c>
      <c r="N547">
        <v>695</v>
      </c>
      <c r="O547">
        <v>99000</v>
      </c>
      <c r="P547" t="s">
        <v>26</v>
      </c>
      <c r="Q547" t="s">
        <v>27</v>
      </c>
      <c r="R547">
        <v>0</v>
      </c>
      <c r="S547" t="s">
        <v>28</v>
      </c>
    </row>
    <row r="548" spans="1:19">
      <c r="A548" t="s">
        <v>536</v>
      </c>
      <c r="B548" t="s">
        <v>1397</v>
      </c>
      <c r="C548" t="s">
        <v>39</v>
      </c>
      <c r="D548" t="s">
        <v>195</v>
      </c>
      <c r="E548" t="s">
        <v>196</v>
      </c>
      <c r="F548">
        <v>58</v>
      </c>
      <c r="G548" t="s">
        <v>24</v>
      </c>
      <c r="H548" t="s">
        <v>1398</v>
      </c>
      <c r="I548">
        <f>353-97-567-8901</f>
        <v>-9212</v>
      </c>
      <c r="J548" s="1">
        <v>43577</v>
      </c>
      <c r="K548" s="1">
        <v>45300</v>
      </c>
      <c r="L548">
        <v>146700.4</v>
      </c>
      <c r="M548">
        <v>79000.600000000006</v>
      </c>
      <c r="N548">
        <v>670</v>
      </c>
      <c r="O548">
        <v>166000</v>
      </c>
      <c r="P548" t="s">
        <v>76</v>
      </c>
      <c r="Q548" t="s">
        <v>27</v>
      </c>
      <c r="R548">
        <v>0</v>
      </c>
      <c r="S548" t="s">
        <v>28</v>
      </c>
    </row>
    <row r="549" spans="1:19">
      <c r="A549" t="s">
        <v>539</v>
      </c>
      <c r="B549" t="s">
        <v>1399</v>
      </c>
      <c r="C549" t="s">
        <v>21</v>
      </c>
      <c r="D549" t="s">
        <v>58</v>
      </c>
      <c r="E549" t="s">
        <v>122</v>
      </c>
      <c r="F549">
        <v>66</v>
      </c>
      <c r="G549" t="s">
        <v>34</v>
      </c>
      <c r="H549" t="s">
        <v>1400</v>
      </c>
      <c r="I549">
        <f>86-139-4567-8901</f>
        <v>-13521</v>
      </c>
      <c r="J549" s="1">
        <v>43143</v>
      </c>
      <c r="K549" s="1">
        <v>45299</v>
      </c>
      <c r="L549">
        <v>313600.75</v>
      </c>
      <c r="M549">
        <v>96000.8</v>
      </c>
      <c r="N549">
        <v>835</v>
      </c>
      <c r="O549">
        <v>311000</v>
      </c>
      <c r="P549" t="s">
        <v>36</v>
      </c>
      <c r="Q549" t="s">
        <v>27</v>
      </c>
      <c r="R549">
        <v>0</v>
      </c>
      <c r="S549" t="s">
        <v>28</v>
      </c>
    </row>
    <row r="550" spans="1:19">
      <c r="A550" t="s">
        <v>542</v>
      </c>
      <c r="B550" t="s">
        <v>1401</v>
      </c>
      <c r="C550" t="s">
        <v>52</v>
      </c>
      <c r="D550" t="s">
        <v>68</v>
      </c>
      <c r="E550" t="s">
        <v>114</v>
      </c>
      <c r="F550">
        <v>53</v>
      </c>
      <c r="G550" t="s">
        <v>34</v>
      </c>
      <c r="H550" t="s">
        <v>1402</v>
      </c>
      <c r="I550">
        <f>234-825-678-9012</f>
        <v>-10281</v>
      </c>
      <c r="J550" s="1">
        <v>44096</v>
      </c>
      <c r="K550" s="1">
        <v>45302</v>
      </c>
      <c r="L550">
        <v>64400.6</v>
      </c>
      <c r="M550">
        <v>34400.25</v>
      </c>
      <c r="N550">
        <v>665</v>
      </c>
      <c r="O550">
        <v>119000</v>
      </c>
      <c r="P550" t="s">
        <v>26</v>
      </c>
      <c r="Q550" t="s">
        <v>27</v>
      </c>
      <c r="R550">
        <v>0</v>
      </c>
      <c r="S550" t="s">
        <v>28</v>
      </c>
    </row>
    <row r="551" spans="1:19">
      <c r="A551" t="s">
        <v>545</v>
      </c>
      <c r="B551" t="s">
        <v>1403</v>
      </c>
      <c r="C551" t="s">
        <v>46</v>
      </c>
      <c r="D551" t="s">
        <v>241</v>
      </c>
      <c r="E551" t="s">
        <v>389</v>
      </c>
      <c r="F551">
        <v>45</v>
      </c>
      <c r="G551" t="s">
        <v>24</v>
      </c>
      <c r="H551" t="s">
        <v>1404</v>
      </c>
      <c r="I551">
        <f>39-359-345-6789</f>
        <v>-7454</v>
      </c>
      <c r="J551" s="1">
        <v>44740</v>
      </c>
      <c r="K551" s="1">
        <v>45303</v>
      </c>
      <c r="L551">
        <v>87700.800000000003</v>
      </c>
      <c r="M551">
        <v>41900.400000000001</v>
      </c>
      <c r="N551">
        <v>750</v>
      </c>
      <c r="O551">
        <v>145000</v>
      </c>
      <c r="P551" t="s">
        <v>26</v>
      </c>
      <c r="Q551" t="s">
        <v>27</v>
      </c>
      <c r="R551">
        <v>0</v>
      </c>
      <c r="S551" t="s">
        <v>28</v>
      </c>
    </row>
    <row r="552" spans="1:19">
      <c r="A552" t="s">
        <v>548</v>
      </c>
      <c r="B552" t="s">
        <v>1405</v>
      </c>
      <c r="C552" t="s">
        <v>57</v>
      </c>
      <c r="D552" t="s">
        <v>22</v>
      </c>
      <c r="E552" t="s">
        <v>282</v>
      </c>
      <c r="F552">
        <v>41</v>
      </c>
      <c r="G552" t="s">
        <v>34</v>
      </c>
      <c r="H552" t="s">
        <v>1406</v>
      </c>
      <c r="I552">
        <f>1-206-555-198</f>
        <v>-958</v>
      </c>
      <c r="J552" s="1">
        <v>44917</v>
      </c>
      <c r="K552" s="1">
        <v>45305</v>
      </c>
      <c r="L552">
        <v>26600.9</v>
      </c>
      <c r="M552">
        <v>10800.75</v>
      </c>
      <c r="N552">
        <v>770</v>
      </c>
      <c r="O552">
        <v>76000</v>
      </c>
      <c r="P552" t="s">
        <v>36</v>
      </c>
      <c r="Q552" t="s">
        <v>27</v>
      </c>
      <c r="R552">
        <v>0</v>
      </c>
      <c r="S552" t="s">
        <v>28</v>
      </c>
    </row>
    <row r="553" spans="1:19">
      <c r="A553" t="s">
        <v>551</v>
      </c>
      <c r="B553" t="s">
        <v>1407</v>
      </c>
      <c r="C553" t="s">
        <v>39</v>
      </c>
      <c r="D553" t="s">
        <v>313</v>
      </c>
      <c r="E553" t="s">
        <v>385</v>
      </c>
      <c r="F553">
        <v>64</v>
      </c>
      <c r="G553" t="s">
        <v>24</v>
      </c>
      <c r="H553" t="s">
        <v>1408</v>
      </c>
      <c r="I553">
        <f>92-311-8765432</f>
        <v>-8765651</v>
      </c>
      <c r="J553" s="1">
        <v>43334</v>
      </c>
      <c r="K553" s="1">
        <v>45299</v>
      </c>
      <c r="L553">
        <v>199800.25</v>
      </c>
      <c r="M553">
        <v>100000.8</v>
      </c>
      <c r="N553">
        <v>645</v>
      </c>
      <c r="O553">
        <v>216000</v>
      </c>
      <c r="P553" t="s">
        <v>76</v>
      </c>
      <c r="Q553" t="s">
        <v>27</v>
      </c>
      <c r="R553">
        <v>0</v>
      </c>
      <c r="S553" t="s">
        <v>28</v>
      </c>
    </row>
    <row r="554" spans="1:19">
      <c r="A554" t="s">
        <v>554</v>
      </c>
      <c r="B554" t="s">
        <v>1409</v>
      </c>
      <c r="C554" t="s">
        <v>31</v>
      </c>
      <c r="D554" t="s">
        <v>214</v>
      </c>
      <c r="E554" t="s">
        <v>215</v>
      </c>
      <c r="F554">
        <v>37</v>
      </c>
      <c r="G554" t="s">
        <v>34</v>
      </c>
      <c r="H554" t="s">
        <v>1410</v>
      </c>
      <c r="I554">
        <f>34-634-567-890</f>
        <v>-2057</v>
      </c>
      <c r="J554" s="1">
        <v>45327</v>
      </c>
      <c r="K554" s="1">
        <v>45306</v>
      </c>
      <c r="L554">
        <v>21200.5</v>
      </c>
      <c r="M554">
        <v>10400.4</v>
      </c>
      <c r="N554">
        <v>720</v>
      </c>
      <c r="O554">
        <v>53000</v>
      </c>
      <c r="P554" t="s">
        <v>36</v>
      </c>
      <c r="Q554" t="s">
        <v>27</v>
      </c>
      <c r="R554">
        <v>0</v>
      </c>
      <c r="S554" t="s">
        <v>28</v>
      </c>
    </row>
    <row r="555" spans="1:19">
      <c r="A555" t="s">
        <v>108</v>
      </c>
      <c r="B555" t="s">
        <v>1411</v>
      </c>
      <c r="C555" t="s">
        <v>84</v>
      </c>
      <c r="D555" t="s">
        <v>32</v>
      </c>
      <c r="E555" t="s">
        <v>33</v>
      </c>
      <c r="F555">
        <v>33</v>
      </c>
      <c r="G555" t="s">
        <v>24</v>
      </c>
      <c r="H555" t="s">
        <v>1412</v>
      </c>
      <c r="I555">
        <f>81-90-6789-123</f>
        <v>-6921</v>
      </c>
      <c r="J555" s="1">
        <v>45334</v>
      </c>
      <c r="K555" s="1">
        <v>45304</v>
      </c>
      <c r="L555">
        <v>2950.8</v>
      </c>
      <c r="M555">
        <v>10800.25</v>
      </c>
      <c r="N555">
        <v>605</v>
      </c>
      <c r="O555">
        <v>29000</v>
      </c>
      <c r="P555" t="s">
        <v>76</v>
      </c>
      <c r="Q555" t="s">
        <v>43</v>
      </c>
      <c r="R555">
        <v>0</v>
      </c>
      <c r="S555" t="s">
        <v>28</v>
      </c>
    </row>
    <row r="556" spans="1:19">
      <c r="A556" t="s">
        <v>559</v>
      </c>
      <c r="B556" t="s">
        <v>1413</v>
      </c>
      <c r="C556" t="s">
        <v>46</v>
      </c>
      <c r="D556" t="s">
        <v>254</v>
      </c>
      <c r="E556" t="s">
        <v>255</v>
      </c>
      <c r="F556">
        <v>47</v>
      </c>
      <c r="G556" t="s">
        <v>34</v>
      </c>
      <c r="H556" t="s">
        <v>1414</v>
      </c>
      <c r="I556">
        <f>221-89-345-6789</f>
        <v>-7002</v>
      </c>
      <c r="J556" s="1">
        <v>44614</v>
      </c>
      <c r="K556" s="1">
        <v>45302</v>
      </c>
      <c r="L556">
        <v>74400.399999999994</v>
      </c>
      <c r="M556">
        <v>36600.75</v>
      </c>
      <c r="N556">
        <v>710</v>
      </c>
      <c r="O556">
        <v>127000</v>
      </c>
      <c r="P556" t="s">
        <v>26</v>
      </c>
      <c r="Q556" t="s">
        <v>27</v>
      </c>
      <c r="R556">
        <v>0</v>
      </c>
      <c r="S556" t="s">
        <v>28</v>
      </c>
    </row>
    <row r="557" spans="1:19">
      <c r="A557" t="s">
        <v>562</v>
      </c>
      <c r="B557" t="s">
        <v>1415</v>
      </c>
      <c r="C557" t="s">
        <v>39</v>
      </c>
      <c r="D557" t="s">
        <v>47</v>
      </c>
      <c r="E557" t="s">
        <v>48</v>
      </c>
      <c r="F557">
        <v>61</v>
      </c>
      <c r="G557" t="s">
        <v>24</v>
      </c>
      <c r="H557" t="s">
        <v>1416</v>
      </c>
      <c r="I557">
        <f>44-79-6789-123</f>
        <v>-6947</v>
      </c>
      <c r="J557" s="1">
        <v>43487</v>
      </c>
      <c r="K557" s="1">
        <v>45300</v>
      </c>
      <c r="L557">
        <v>180000.6</v>
      </c>
      <c r="M557">
        <v>93000.25</v>
      </c>
      <c r="N557">
        <v>675</v>
      </c>
      <c r="O557">
        <v>196000</v>
      </c>
      <c r="P557" t="s">
        <v>76</v>
      </c>
      <c r="Q557" t="s">
        <v>27</v>
      </c>
      <c r="R557">
        <v>0</v>
      </c>
      <c r="S557" t="s">
        <v>28</v>
      </c>
    </row>
    <row r="558" spans="1:19">
      <c r="A558" t="s">
        <v>565</v>
      </c>
      <c r="B558" t="s">
        <v>1417</v>
      </c>
      <c r="C558" t="s">
        <v>52</v>
      </c>
      <c r="D558" t="s">
        <v>233</v>
      </c>
      <c r="E558" t="s">
        <v>234</v>
      </c>
      <c r="F558">
        <v>46</v>
      </c>
      <c r="G558" t="s">
        <v>34</v>
      </c>
      <c r="H558" t="s">
        <v>1418</v>
      </c>
      <c r="I558">
        <f>82-10-5678-9012</f>
        <v>-14618</v>
      </c>
      <c r="J558" s="1">
        <v>44399</v>
      </c>
      <c r="K558" s="1">
        <v>45301</v>
      </c>
      <c r="L558">
        <v>50800.75</v>
      </c>
      <c r="M558">
        <v>27700.799999999999</v>
      </c>
      <c r="N558">
        <v>725</v>
      </c>
      <c r="O558">
        <v>93000</v>
      </c>
      <c r="P558" t="s">
        <v>26</v>
      </c>
      <c r="Q558" t="s">
        <v>27</v>
      </c>
      <c r="R558">
        <v>0</v>
      </c>
      <c r="S558" t="s">
        <v>28</v>
      </c>
    </row>
    <row r="559" spans="1:19">
      <c r="A559" t="s">
        <v>568</v>
      </c>
      <c r="B559" t="s">
        <v>1419</v>
      </c>
      <c r="C559" t="s">
        <v>57</v>
      </c>
      <c r="D559" t="s">
        <v>79</v>
      </c>
      <c r="E559" t="s">
        <v>102</v>
      </c>
      <c r="F559">
        <v>44</v>
      </c>
      <c r="G559" t="s">
        <v>24</v>
      </c>
      <c r="H559" t="s">
        <v>1420</v>
      </c>
      <c r="I559">
        <f>971-50-789-123</f>
        <v>9</v>
      </c>
      <c r="J559" s="1">
        <v>44856</v>
      </c>
      <c r="K559" s="1">
        <v>45303</v>
      </c>
      <c r="L559">
        <v>28800.400000000001</v>
      </c>
      <c r="M559">
        <v>11600.9</v>
      </c>
      <c r="N559">
        <v>740</v>
      </c>
      <c r="O559">
        <v>79000</v>
      </c>
      <c r="P559" t="s">
        <v>36</v>
      </c>
      <c r="Q559" t="s">
        <v>27</v>
      </c>
      <c r="R559">
        <v>0</v>
      </c>
      <c r="S559" t="s">
        <v>28</v>
      </c>
    </row>
    <row r="560" spans="1:19">
      <c r="A560" t="s">
        <v>571</v>
      </c>
      <c r="B560" t="s">
        <v>1421</v>
      </c>
      <c r="C560" t="s">
        <v>21</v>
      </c>
      <c r="D560" t="s">
        <v>63</v>
      </c>
      <c r="E560" t="s">
        <v>64</v>
      </c>
      <c r="F560">
        <v>67</v>
      </c>
      <c r="G560" t="s">
        <v>34</v>
      </c>
      <c r="H560" t="s">
        <v>1422</v>
      </c>
      <c r="I560">
        <f>55-11-99789-123</f>
        <v>-99868</v>
      </c>
      <c r="J560" s="1">
        <v>43030</v>
      </c>
      <c r="K560" s="1">
        <v>45299</v>
      </c>
      <c r="L560">
        <v>268900.90000000002</v>
      </c>
      <c r="M560">
        <v>83000.600000000006</v>
      </c>
      <c r="N560">
        <v>830</v>
      </c>
      <c r="O560">
        <v>291000</v>
      </c>
      <c r="P560" t="s">
        <v>36</v>
      </c>
      <c r="Q560" t="s">
        <v>27</v>
      </c>
      <c r="R560">
        <v>0</v>
      </c>
      <c r="S560" t="s">
        <v>28</v>
      </c>
    </row>
    <row r="561" spans="1:19">
      <c r="A561" t="s">
        <v>574</v>
      </c>
      <c r="B561" t="s">
        <v>1423</v>
      </c>
      <c r="C561" t="s">
        <v>39</v>
      </c>
      <c r="D561" t="s">
        <v>68</v>
      </c>
      <c r="E561" t="s">
        <v>179</v>
      </c>
      <c r="F561">
        <v>59</v>
      </c>
      <c r="G561" t="s">
        <v>24</v>
      </c>
      <c r="H561" t="s">
        <v>1424</v>
      </c>
      <c r="I561">
        <f>234-826-789-123</f>
        <v>-1504</v>
      </c>
      <c r="J561" s="1">
        <v>43621</v>
      </c>
      <c r="K561" s="1">
        <v>45300</v>
      </c>
      <c r="L561">
        <v>157800.25</v>
      </c>
      <c r="M561">
        <v>85000.4</v>
      </c>
      <c r="N561">
        <v>655</v>
      </c>
      <c r="O561">
        <v>181000</v>
      </c>
      <c r="P561" t="s">
        <v>76</v>
      </c>
      <c r="Q561" t="s">
        <v>27</v>
      </c>
      <c r="R561">
        <v>0</v>
      </c>
      <c r="S561" t="s">
        <v>28</v>
      </c>
    </row>
    <row r="562" spans="1:19">
      <c r="A562" t="s">
        <v>577</v>
      </c>
      <c r="B562" t="s">
        <v>1425</v>
      </c>
      <c r="C562" t="s">
        <v>46</v>
      </c>
      <c r="D562" t="s">
        <v>85</v>
      </c>
      <c r="E562" t="s">
        <v>86</v>
      </c>
      <c r="F562">
        <v>48</v>
      </c>
      <c r="G562" t="s">
        <v>34</v>
      </c>
      <c r="H562" t="s">
        <v>1426</v>
      </c>
      <c r="I562">
        <f>1-647-555-198</f>
        <v>-1399</v>
      </c>
      <c r="J562" s="1">
        <v>44522</v>
      </c>
      <c r="K562" s="1">
        <v>45302</v>
      </c>
      <c r="L562">
        <v>93300.6</v>
      </c>
      <c r="M562">
        <v>44600.75</v>
      </c>
      <c r="N562">
        <v>760</v>
      </c>
      <c r="O562">
        <v>150000</v>
      </c>
      <c r="P562" t="s">
        <v>26</v>
      </c>
      <c r="Q562" t="s">
        <v>27</v>
      </c>
      <c r="R562">
        <v>0</v>
      </c>
      <c r="S562" t="s">
        <v>28</v>
      </c>
    </row>
    <row r="563" spans="1:19">
      <c r="A563" t="s">
        <v>458</v>
      </c>
      <c r="B563" t="s">
        <v>1427</v>
      </c>
      <c r="C563" t="s">
        <v>31</v>
      </c>
      <c r="D563" t="s">
        <v>460</v>
      </c>
      <c r="E563" t="s">
        <v>461</v>
      </c>
      <c r="F563">
        <v>39</v>
      </c>
      <c r="G563" t="s">
        <v>24</v>
      </c>
      <c r="H563" t="s">
        <v>1428</v>
      </c>
      <c r="I563">
        <f>62-823-4567-8901</f>
        <v>-14229</v>
      </c>
      <c r="J563" s="1">
        <v>45313</v>
      </c>
      <c r="K563" s="1">
        <v>45306</v>
      </c>
      <c r="L563">
        <v>13900.25</v>
      </c>
      <c r="M563">
        <v>8200.7999999999993</v>
      </c>
      <c r="N563">
        <v>695</v>
      </c>
      <c r="O563">
        <v>50000</v>
      </c>
      <c r="P563" t="s">
        <v>26</v>
      </c>
      <c r="Q563" t="s">
        <v>43</v>
      </c>
      <c r="R563">
        <v>0</v>
      </c>
      <c r="S563" t="s">
        <v>28</v>
      </c>
    </row>
    <row r="564" spans="1:19">
      <c r="A564" t="s">
        <v>582</v>
      </c>
      <c r="B564" t="s">
        <v>1429</v>
      </c>
      <c r="C564" t="s">
        <v>57</v>
      </c>
      <c r="D564" t="s">
        <v>22</v>
      </c>
      <c r="E564" t="s">
        <v>53</v>
      </c>
      <c r="F564">
        <v>42</v>
      </c>
      <c r="G564" t="s">
        <v>34</v>
      </c>
      <c r="H564" t="s">
        <v>1430</v>
      </c>
      <c r="I564">
        <f>1-773-555-198</f>
        <v>-1525</v>
      </c>
      <c r="J564" s="1">
        <v>44801</v>
      </c>
      <c r="K564" s="1">
        <v>45303</v>
      </c>
      <c r="L564">
        <v>27700.9</v>
      </c>
      <c r="M564">
        <v>11200.25</v>
      </c>
      <c r="N564">
        <v>755</v>
      </c>
      <c r="O564">
        <v>72000</v>
      </c>
      <c r="P564" t="s">
        <v>36</v>
      </c>
      <c r="Q564" t="s">
        <v>27</v>
      </c>
      <c r="R564">
        <v>0</v>
      </c>
      <c r="S564" t="s">
        <v>28</v>
      </c>
    </row>
    <row r="565" spans="1:19">
      <c r="A565" t="s">
        <v>55</v>
      </c>
      <c r="B565" t="s">
        <v>1431</v>
      </c>
      <c r="C565" t="s">
        <v>39</v>
      </c>
      <c r="D565" t="s">
        <v>58</v>
      </c>
      <c r="E565" t="s">
        <v>122</v>
      </c>
      <c r="F565">
        <v>60</v>
      </c>
      <c r="G565" t="s">
        <v>24</v>
      </c>
      <c r="H565" t="s">
        <v>1432</v>
      </c>
      <c r="I565">
        <f>86-138-8901-2345</f>
        <v>-11298</v>
      </c>
      <c r="J565" s="1">
        <v>43546</v>
      </c>
      <c r="K565" s="1">
        <v>45300</v>
      </c>
      <c r="L565">
        <v>190700.4</v>
      </c>
      <c r="M565">
        <v>98000.75</v>
      </c>
      <c r="N565">
        <v>685</v>
      </c>
      <c r="O565">
        <v>206000</v>
      </c>
      <c r="P565" t="s">
        <v>76</v>
      </c>
      <c r="Q565" t="s">
        <v>27</v>
      </c>
      <c r="R565">
        <v>0</v>
      </c>
      <c r="S565" t="s">
        <v>28</v>
      </c>
    </row>
    <row r="566" spans="1:19">
      <c r="A566" t="s">
        <v>469</v>
      </c>
      <c r="B566" t="s">
        <v>1433</v>
      </c>
      <c r="C566" t="s">
        <v>52</v>
      </c>
      <c r="D566" t="s">
        <v>471</v>
      </c>
      <c r="E566" t="s">
        <v>472</v>
      </c>
      <c r="F566">
        <v>51</v>
      </c>
      <c r="G566" t="s">
        <v>34</v>
      </c>
      <c r="H566" t="s">
        <v>1434</v>
      </c>
      <c r="I566">
        <f>48-711-345-678</f>
        <v>-1686</v>
      </c>
      <c r="J566" s="1">
        <v>44187</v>
      </c>
      <c r="K566" s="1">
        <v>45301</v>
      </c>
      <c r="L566">
        <v>57700.800000000003</v>
      </c>
      <c r="M566">
        <v>30800.6</v>
      </c>
      <c r="N566">
        <v>715</v>
      </c>
      <c r="O566">
        <v>105000</v>
      </c>
      <c r="P566" t="s">
        <v>26</v>
      </c>
      <c r="Q566" t="s">
        <v>27</v>
      </c>
      <c r="R566">
        <v>0</v>
      </c>
      <c r="S566" t="s">
        <v>28</v>
      </c>
    </row>
    <row r="567" spans="1:19">
      <c r="A567" t="s">
        <v>474</v>
      </c>
      <c r="B567" t="s">
        <v>1435</v>
      </c>
      <c r="C567" t="s">
        <v>46</v>
      </c>
      <c r="D567" t="s">
        <v>345</v>
      </c>
      <c r="E567" t="s">
        <v>476</v>
      </c>
      <c r="F567">
        <v>54</v>
      </c>
      <c r="G567" t="s">
        <v>24</v>
      </c>
      <c r="H567" t="s">
        <v>1436</v>
      </c>
      <c r="I567">
        <f>880-1812-567890</f>
        <v>-568822</v>
      </c>
      <c r="J567" s="1">
        <v>44102</v>
      </c>
      <c r="K567" s="1">
        <v>45302</v>
      </c>
      <c r="L567">
        <v>85500.25</v>
      </c>
      <c r="M567">
        <v>40800.400000000001</v>
      </c>
      <c r="N567">
        <v>680</v>
      </c>
      <c r="O567">
        <v>134000</v>
      </c>
      <c r="P567" t="s">
        <v>26</v>
      </c>
      <c r="Q567" t="s">
        <v>27</v>
      </c>
      <c r="R567">
        <v>0</v>
      </c>
      <c r="S567" t="s">
        <v>28</v>
      </c>
    </row>
    <row r="568" spans="1:19">
      <c r="A568" t="s">
        <v>592</v>
      </c>
      <c r="B568" t="s">
        <v>1437</v>
      </c>
      <c r="C568" t="s">
        <v>84</v>
      </c>
      <c r="D568" t="s">
        <v>32</v>
      </c>
      <c r="E568" t="s">
        <v>90</v>
      </c>
      <c r="F568">
        <v>34</v>
      </c>
      <c r="G568" t="s">
        <v>34</v>
      </c>
      <c r="H568" t="s">
        <v>1438</v>
      </c>
      <c r="I568">
        <f>81-90-7890-1234</f>
        <v>-9133</v>
      </c>
      <c r="J568" s="1">
        <v>45344</v>
      </c>
      <c r="K568" s="1">
        <v>45304</v>
      </c>
      <c r="L568">
        <v>3050.4</v>
      </c>
      <c r="M568">
        <v>11400.75</v>
      </c>
      <c r="N568">
        <v>610</v>
      </c>
      <c r="O568">
        <v>30000</v>
      </c>
      <c r="P568" t="s">
        <v>76</v>
      </c>
      <c r="Q568" t="s">
        <v>43</v>
      </c>
      <c r="R568">
        <v>0</v>
      </c>
      <c r="S568" t="s">
        <v>28</v>
      </c>
    </row>
    <row r="569" spans="1:19">
      <c r="A569" t="s">
        <v>595</v>
      </c>
      <c r="B569" t="s">
        <v>1439</v>
      </c>
      <c r="C569" t="s">
        <v>21</v>
      </c>
      <c r="D569" t="s">
        <v>209</v>
      </c>
      <c r="E569" t="s">
        <v>210</v>
      </c>
      <c r="F569">
        <v>66</v>
      </c>
      <c r="G569" t="s">
        <v>24</v>
      </c>
      <c r="H569" t="s">
        <v>1440</v>
      </c>
      <c r="I569">
        <f>52-55-5678-9012</f>
        <v>-14693</v>
      </c>
      <c r="J569" s="1">
        <v>43242</v>
      </c>
      <c r="K569" s="1">
        <v>45299</v>
      </c>
      <c r="L569">
        <v>288700.79999999999</v>
      </c>
      <c r="M569">
        <v>89000.25</v>
      </c>
      <c r="N569">
        <v>825</v>
      </c>
      <c r="O569">
        <v>286000</v>
      </c>
      <c r="P569" t="s">
        <v>36</v>
      </c>
      <c r="Q569" t="s">
        <v>27</v>
      </c>
      <c r="R569">
        <v>0</v>
      </c>
      <c r="S569" t="s">
        <v>28</v>
      </c>
    </row>
    <row r="570" spans="1:19">
      <c r="A570" t="s">
        <v>226</v>
      </c>
      <c r="B570" t="s">
        <v>1441</v>
      </c>
      <c r="C570" t="s">
        <v>57</v>
      </c>
      <c r="D570" t="s">
        <v>228</v>
      </c>
      <c r="E570" t="s">
        <v>229</v>
      </c>
      <c r="F570">
        <v>41</v>
      </c>
      <c r="G570" t="s">
        <v>34</v>
      </c>
      <c r="H570" t="s">
        <v>1442</v>
      </c>
      <c r="I570">
        <f>254-735-678-901</f>
        <v>-2060</v>
      </c>
      <c r="J570" s="1">
        <v>44979</v>
      </c>
      <c r="K570" s="1">
        <v>45305</v>
      </c>
      <c r="L570">
        <v>24400.75</v>
      </c>
      <c r="M570">
        <v>9600.4</v>
      </c>
      <c r="N570">
        <v>725</v>
      </c>
      <c r="O570">
        <v>62000</v>
      </c>
      <c r="P570" t="s">
        <v>36</v>
      </c>
      <c r="Q570" t="s">
        <v>27</v>
      </c>
      <c r="R570">
        <v>0</v>
      </c>
      <c r="S570" t="s">
        <v>28</v>
      </c>
    </row>
    <row r="571" spans="1:19">
      <c r="A571" t="s">
        <v>488</v>
      </c>
      <c r="B571" t="s">
        <v>1443</v>
      </c>
      <c r="C571" t="s">
        <v>39</v>
      </c>
      <c r="D571" t="s">
        <v>304</v>
      </c>
      <c r="E571" t="s">
        <v>304</v>
      </c>
      <c r="F571">
        <v>58</v>
      </c>
      <c r="G571" t="s">
        <v>24</v>
      </c>
      <c r="H571" t="s">
        <v>1444</v>
      </c>
      <c r="I571">
        <f>65-9490-1234</f>
        <v>-10659</v>
      </c>
      <c r="J571" s="1">
        <v>43716</v>
      </c>
      <c r="K571" s="1">
        <v>45300</v>
      </c>
      <c r="L571">
        <v>168900.6</v>
      </c>
      <c r="M571">
        <v>89000.9</v>
      </c>
      <c r="N571">
        <v>675</v>
      </c>
      <c r="O571">
        <v>186000</v>
      </c>
      <c r="P571" t="s">
        <v>76</v>
      </c>
      <c r="Q571" t="s">
        <v>27</v>
      </c>
      <c r="R571">
        <v>0</v>
      </c>
      <c r="S571" t="s">
        <v>28</v>
      </c>
    </row>
    <row r="572" spans="1:19">
      <c r="A572" t="s">
        <v>491</v>
      </c>
      <c r="B572" t="s">
        <v>1445</v>
      </c>
      <c r="C572" t="s">
        <v>52</v>
      </c>
      <c r="D572" t="s">
        <v>493</v>
      </c>
      <c r="E572" t="s">
        <v>494</v>
      </c>
      <c r="F572">
        <v>49</v>
      </c>
      <c r="G572" t="s">
        <v>34</v>
      </c>
      <c r="H572" t="s">
        <v>1446</v>
      </c>
      <c r="I572">
        <f>30-703-456-7890</f>
        <v>-9019</v>
      </c>
      <c r="J572" s="1">
        <v>44491</v>
      </c>
      <c r="K572" s="1">
        <v>45302</v>
      </c>
      <c r="L572">
        <v>51900.4</v>
      </c>
      <c r="M572">
        <v>26600.25</v>
      </c>
      <c r="N572">
        <v>705</v>
      </c>
      <c r="O572">
        <v>94000</v>
      </c>
      <c r="P572" t="s">
        <v>26</v>
      </c>
      <c r="Q572" t="s">
        <v>27</v>
      </c>
      <c r="R572">
        <v>0</v>
      </c>
      <c r="S572" t="s">
        <v>28</v>
      </c>
    </row>
    <row r="573" spans="1:19">
      <c r="A573" t="s">
        <v>496</v>
      </c>
      <c r="B573" t="s">
        <v>1447</v>
      </c>
      <c r="C573" t="s">
        <v>46</v>
      </c>
      <c r="D573" t="s">
        <v>321</v>
      </c>
      <c r="E573" t="s">
        <v>322</v>
      </c>
      <c r="F573">
        <v>52</v>
      </c>
      <c r="G573" t="s">
        <v>24</v>
      </c>
      <c r="H573" t="s">
        <v>1448</v>
      </c>
      <c r="I573">
        <f>61-435-678-901</f>
        <v>-1953</v>
      </c>
      <c r="J573" s="1">
        <v>43973</v>
      </c>
      <c r="K573" s="1">
        <v>45301</v>
      </c>
      <c r="L573">
        <v>98800.75</v>
      </c>
      <c r="M573">
        <v>47700.800000000003</v>
      </c>
      <c r="N573">
        <v>730</v>
      </c>
      <c r="O573">
        <v>160000</v>
      </c>
      <c r="P573" t="s">
        <v>26</v>
      </c>
      <c r="Q573" t="s">
        <v>27</v>
      </c>
      <c r="R573">
        <v>0</v>
      </c>
      <c r="S573" t="s">
        <v>28</v>
      </c>
    </row>
    <row r="574" spans="1:19">
      <c r="A574" t="s">
        <v>324</v>
      </c>
      <c r="B574" t="s">
        <v>1449</v>
      </c>
      <c r="C574" t="s">
        <v>31</v>
      </c>
      <c r="D574" t="s">
        <v>313</v>
      </c>
      <c r="E574" t="s">
        <v>501</v>
      </c>
      <c r="F574">
        <v>37</v>
      </c>
      <c r="G574" t="s">
        <v>34</v>
      </c>
      <c r="H574" t="s">
        <v>1450</v>
      </c>
      <c r="I574">
        <f>92-333-7654321</f>
        <v>-7654562</v>
      </c>
      <c r="J574" s="1">
        <v>45334</v>
      </c>
      <c r="K574" s="1">
        <v>45306</v>
      </c>
      <c r="L574">
        <v>12200.9</v>
      </c>
      <c r="M574">
        <v>7500.75</v>
      </c>
      <c r="N574">
        <v>685</v>
      </c>
      <c r="O574">
        <v>47000</v>
      </c>
      <c r="P574" t="s">
        <v>26</v>
      </c>
      <c r="Q574" t="s">
        <v>43</v>
      </c>
      <c r="R574">
        <v>0</v>
      </c>
      <c r="S574" t="s">
        <v>28</v>
      </c>
    </row>
    <row r="575" spans="1:19">
      <c r="A575" t="s">
        <v>503</v>
      </c>
      <c r="B575" t="s">
        <v>1451</v>
      </c>
      <c r="C575" t="s">
        <v>21</v>
      </c>
      <c r="D575" t="s">
        <v>32</v>
      </c>
      <c r="E575" t="s">
        <v>33</v>
      </c>
      <c r="F575">
        <v>69</v>
      </c>
      <c r="G575" t="s">
        <v>24</v>
      </c>
      <c r="H575" t="s">
        <v>1452</v>
      </c>
      <c r="I575">
        <f>81-80-3456-7890</f>
        <v>-11345</v>
      </c>
      <c r="J575" s="1">
        <v>42975</v>
      </c>
      <c r="K575" s="1">
        <v>45299</v>
      </c>
      <c r="L575">
        <v>299600.25</v>
      </c>
      <c r="M575">
        <v>93000.4</v>
      </c>
      <c r="N575">
        <v>840</v>
      </c>
      <c r="O575">
        <v>301000</v>
      </c>
      <c r="P575" t="s">
        <v>36</v>
      </c>
      <c r="Q575" t="s">
        <v>27</v>
      </c>
      <c r="R575">
        <v>0</v>
      </c>
      <c r="S575" t="s">
        <v>28</v>
      </c>
    </row>
    <row r="576" spans="1:19">
      <c r="A576" t="s">
        <v>506</v>
      </c>
      <c r="B576" t="s">
        <v>1453</v>
      </c>
      <c r="C576" t="s">
        <v>39</v>
      </c>
      <c r="D576" t="s">
        <v>68</v>
      </c>
      <c r="E576" t="s">
        <v>69</v>
      </c>
      <c r="F576">
        <v>61</v>
      </c>
      <c r="G576" t="s">
        <v>34</v>
      </c>
      <c r="H576" t="s">
        <v>1454</v>
      </c>
      <c r="I576">
        <f>234-825-678-9012</f>
        <v>-10281</v>
      </c>
      <c r="J576" s="1">
        <v>43487</v>
      </c>
      <c r="K576" s="1">
        <v>45300</v>
      </c>
      <c r="L576">
        <v>180000.4</v>
      </c>
      <c r="M576">
        <v>93000.75</v>
      </c>
      <c r="N576">
        <v>650</v>
      </c>
      <c r="O576">
        <v>196000</v>
      </c>
      <c r="P576" t="s">
        <v>76</v>
      </c>
      <c r="Q576" t="s">
        <v>27</v>
      </c>
      <c r="R576">
        <v>0</v>
      </c>
      <c r="S576" t="s">
        <v>28</v>
      </c>
    </row>
    <row r="577" spans="1:19">
      <c r="A577" t="s">
        <v>509</v>
      </c>
      <c r="B577" t="s">
        <v>1455</v>
      </c>
      <c r="C577" t="s">
        <v>46</v>
      </c>
      <c r="D577" t="s">
        <v>73</v>
      </c>
      <c r="E577" t="s">
        <v>158</v>
      </c>
      <c r="F577">
        <v>48</v>
      </c>
      <c r="G577" t="s">
        <v>24</v>
      </c>
      <c r="H577" t="s">
        <v>1456</v>
      </c>
      <c r="I577">
        <f>49-187-8901234</f>
        <v>-8901372</v>
      </c>
      <c r="J577" s="1">
        <v>44703</v>
      </c>
      <c r="K577" s="1">
        <v>45303</v>
      </c>
      <c r="L577">
        <v>86600.4</v>
      </c>
      <c r="M577">
        <v>41900.25</v>
      </c>
      <c r="N577">
        <v>745</v>
      </c>
      <c r="O577">
        <v>140000</v>
      </c>
      <c r="P577" t="s">
        <v>26</v>
      </c>
      <c r="Q577" t="s">
        <v>27</v>
      </c>
      <c r="R577">
        <v>0</v>
      </c>
      <c r="S577" t="s">
        <v>28</v>
      </c>
    </row>
    <row r="578" spans="1:19">
      <c r="A578" t="s">
        <v>513</v>
      </c>
      <c r="B578" t="s">
        <v>1457</v>
      </c>
      <c r="C578" t="s">
        <v>57</v>
      </c>
      <c r="D578" t="s">
        <v>58</v>
      </c>
      <c r="E578" t="s">
        <v>122</v>
      </c>
      <c r="F578">
        <v>43</v>
      </c>
      <c r="G578" t="s">
        <v>34</v>
      </c>
      <c r="H578" t="s">
        <v>1458</v>
      </c>
      <c r="I578">
        <f>86-137-8901-2345</f>
        <v>-11297</v>
      </c>
      <c r="J578" s="1">
        <v>44887</v>
      </c>
      <c r="K578" s="1">
        <v>45302</v>
      </c>
      <c r="L578">
        <v>26600.799999999999</v>
      </c>
      <c r="M578">
        <v>10800.9</v>
      </c>
      <c r="N578">
        <v>765</v>
      </c>
      <c r="O578">
        <v>72000</v>
      </c>
      <c r="P578" t="s">
        <v>36</v>
      </c>
      <c r="Q578" t="s">
        <v>27</v>
      </c>
      <c r="R578">
        <v>0</v>
      </c>
      <c r="S578" t="s">
        <v>28</v>
      </c>
    </row>
    <row r="579" spans="1:19">
      <c r="A579" t="s">
        <v>516</v>
      </c>
      <c r="B579" t="s">
        <v>1459</v>
      </c>
      <c r="C579" t="s">
        <v>52</v>
      </c>
      <c r="D579" t="s">
        <v>277</v>
      </c>
      <c r="E579" t="s">
        <v>404</v>
      </c>
      <c r="F579">
        <v>56</v>
      </c>
      <c r="G579" t="s">
        <v>24</v>
      </c>
      <c r="H579" t="s">
        <v>1460</v>
      </c>
      <c r="I579">
        <f>20-122-987-6543</f>
        <v>-7632</v>
      </c>
      <c r="J579" s="1">
        <v>44157</v>
      </c>
      <c r="K579" s="1">
        <v>45301</v>
      </c>
      <c r="L579">
        <v>59900.75</v>
      </c>
      <c r="M579">
        <v>33000.400000000001</v>
      </c>
      <c r="N579">
        <v>675</v>
      </c>
      <c r="O579">
        <v>112000</v>
      </c>
      <c r="P579" t="s">
        <v>26</v>
      </c>
      <c r="Q579" t="s">
        <v>27</v>
      </c>
      <c r="R579">
        <v>0</v>
      </c>
      <c r="S579" t="s">
        <v>28</v>
      </c>
    </row>
    <row r="580" spans="1:19">
      <c r="A580" t="s">
        <v>519</v>
      </c>
      <c r="B580" t="s">
        <v>1461</v>
      </c>
      <c r="C580" t="s">
        <v>84</v>
      </c>
      <c r="D580" t="s">
        <v>183</v>
      </c>
      <c r="E580" t="s">
        <v>184</v>
      </c>
      <c r="F580">
        <v>35</v>
      </c>
      <c r="G580" t="s">
        <v>34</v>
      </c>
      <c r="H580" t="s">
        <v>1462</v>
      </c>
      <c r="I580">
        <f>33-6-5678-9012</f>
        <v>-14663</v>
      </c>
      <c r="J580" s="1">
        <v>45350</v>
      </c>
      <c r="K580" s="1">
        <v>45304</v>
      </c>
      <c r="L580">
        <v>3300.25</v>
      </c>
      <c r="M580">
        <v>12600.6</v>
      </c>
      <c r="N580">
        <v>615</v>
      </c>
      <c r="O580">
        <v>32000</v>
      </c>
      <c r="P580" t="s">
        <v>76</v>
      </c>
      <c r="Q580" t="s">
        <v>43</v>
      </c>
      <c r="R580">
        <v>0</v>
      </c>
      <c r="S580" t="s">
        <v>28</v>
      </c>
    </row>
    <row r="581" spans="1:19">
      <c r="A581" t="s">
        <v>522</v>
      </c>
      <c r="B581" t="s">
        <v>1463</v>
      </c>
      <c r="C581" t="s">
        <v>39</v>
      </c>
      <c r="D581" t="s">
        <v>40</v>
      </c>
      <c r="E581" t="s">
        <v>41</v>
      </c>
      <c r="F581">
        <v>63</v>
      </c>
      <c r="G581" t="s">
        <v>24</v>
      </c>
      <c r="H581" t="s">
        <v>1464</v>
      </c>
      <c r="I581">
        <f>91-987-654-3210</f>
        <v>-4760</v>
      </c>
      <c r="J581" s="1">
        <v>43456</v>
      </c>
      <c r="K581" s="1">
        <v>45299</v>
      </c>
      <c r="L581">
        <v>214600.8</v>
      </c>
      <c r="M581">
        <v>106000.25</v>
      </c>
      <c r="N581">
        <v>660</v>
      </c>
      <c r="O581">
        <v>231000</v>
      </c>
      <c r="P581" t="s">
        <v>76</v>
      </c>
      <c r="Q581" t="s">
        <v>27</v>
      </c>
      <c r="R581">
        <v>0</v>
      </c>
      <c r="S581" t="s">
        <v>28</v>
      </c>
    </row>
    <row r="582" spans="1:19">
      <c r="A582" t="s">
        <v>306</v>
      </c>
      <c r="B582" t="s">
        <v>1465</v>
      </c>
      <c r="C582" t="s">
        <v>46</v>
      </c>
      <c r="D582" t="s">
        <v>209</v>
      </c>
      <c r="E582" t="s">
        <v>703</v>
      </c>
      <c r="F582">
        <v>50</v>
      </c>
      <c r="G582" t="s">
        <v>34</v>
      </c>
      <c r="H582" t="s">
        <v>1466</v>
      </c>
      <c r="I582">
        <f>52-81-7890-123</f>
        <v>-8042</v>
      </c>
      <c r="J582" s="1">
        <v>44314</v>
      </c>
      <c r="K582" s="1">
        <v>45302</v>
      </c>
      <c r="L582">
        <v>81000.899999999994</v>
      </c>
      <c r="M582">
        <v>38800.75</v>
      </c>
      <c r="N582">
        <v>730</v>
      </c>
      <c r="O582">
        <v>135000</v>
      </c>
      <c r="P582" t="s">
        <v>26</v>
      </c>
      <c r="Q582" t="s">
        <v>27</v>
      </c>
      <c r="R582">
        <v>0</v>
      </c>
      <c r="S582" t="s">
        <v>28</v>
      </c>
    </row>
    <row r="583" spans="1:19">
      <c r="A583" t="s">
        <v>527</v>
      </c>
      <c r="B583" t="s">
        <v>1467</v>
      </c>
      <c r="C583" t="s">
        <v>31</v>
      </c>
      <c r="D583" t="s">
        <v>32</v>
      </c>
      <c r="E583" t="s">
        <v>90</v>
      </c>
      <c r="F583">
        <v>39</v>
      </c>
      <c r="G583" t="s">
        <v>34</v>
      </c>
      <c r="H583" t="s">
        <v>1468</v>
      </c>
      <c r="I583">
        <f>81-90-4567-8901</f>
        <v>-13477</v>
      </c>
      <c r="J583" s="1">
        <v>45330</v>
      </c>
      <c r="K583" s="1">
        <v>45305</v>
      </c>
      <c r="L583">
        <v>13300.4</v>
      </c>
      <c r="M583">
        <v>7600.25</v>
      </c>
      <c r="N583">
        <v>705</v>
      </c>
      <c r="O583">
        <v>49000</v>
      </c>
      <c r="P583" t="s">
        <v>26</v>
      </c>
      <c r="Q583" t="s">
        <v>43</v>
      </c>
      <c r="R583">
        <v>0</v>
      </c>
      <c r="S583" t="s">
        <v>28</v>
      </c>
    </row>
    <row r="584" spans="1:19">
      <c r="A584" t="s">
        <v>530</v>
      </c>
      <c r="B584" t="s">
        <v>1469</v>
      </c>
      <c r="C584" t="s">
        <v>57</v>
      </c>
      <c r="D584" t="s">
        <v>219</v>
      </c>
      <c r="E584" t="s">
        <v>220</v>
      </c>
      <c r="F584">
        <v>44</v>
      </c>
      <c r="G584" t="s">
        <v>24</v>
      </c>
      <c r="H584" t="s">
        <v>1470</v>
      </c>
      <c r="I584">
        <f>233-66-789-123</f>
        <v>-745</v>
      </c>
      <c r="J584" s="1">
        <v>44856</v>
      </c>
      <c r="K584" s="1">
        <v>45303</v>
      </c>
      <c r="L584">
        <v>25500.6</v>
      </c>
      <c r="M584">
        <v>10200.799999999999</v>
      </c>
      <c r="N584">
        <v>710</v>
      </c>
      <c r="O584">
        <v>65000</v>
      </c>
      <c r="P584" t="s">
        <v>36</v>
      </c>
      <c r="Q584" t="s">
        <v>27</v>
      </c>
      <c r="R584">
        <v>0</v>
      </c>
      <c r="S584" t="s">
        <v>28</v>
      </c>
    </row>
    <row r="585" spans="1:19">
      <c r="A585" t="s">
        <v>533</v>
      </c>
      <c r="B585" t="s">
        <v>1471</v>
      </c>
      <c r="C585" t="s">
        <v>52</v>
      </c>
      <c r="D585" t="s">
        <v>204</v>
      </c>
      <c r="E585" t="s">
        <v>205</v>
      </c>
      <c r="F585">
        <v>51</v>
      </c>
      <c r="G585" t="s">
        <v>34</v>
      </c>
      <c r="H585" t="s">
        <v>1472</v>
      </c>
      <c r="I585">
        <f>7-921-765-43-21</f>
        <v>-1743</v>
      </c>
      <c r="J585" s="1">
        <v>44163</v>
      </c>
      <c r="K585" s="1">
        <v>45301</v>
      </c>
      <c r="L585">
        <v>56800.25</v>
      </c>
      <c r="M585">
        <v>29900.9</v>
      </c>
      <c r="N585">
        <v>695</v>
      </c>
      <c r="O585">
        <v>100000</v>
      </c>
      <c r="P585" t="s">
        <v>26</v>
      </c>
      <c r="Q585" t="s">
        <v>27</v>
      </c>
      <c r="R585">
        <v>0</v>
      </c>
      <c r="S585" t="s">
        <v>28</v>
      </c>
    </row>
    <row r="586" spans="1:19">
      <c r="A586" t="s">
        <v>536</v>
      </c>
      <c r="B586" t="s">
        <v>1473</v>
      </c>
      <c r="C586" t="s">
        <v>39</v>
      </c>
      <c r="D586" t="s">
        <v>195</v>
      </c>
      <c r="E586" t="s">
        <v>196</v>
      </c>
      <c r="F586">
        <v>59</v>
      </c>
      <c r="G586" t="s">
        <v>24</v>
      </c>
      <c r="H586" t="s">
        <v>1474</v>
      </c>
      <c r="I586">
        <f>353-98-678-9012</f>
        <v>-9435</v>
      </c>
      <c r="J586" s="1">
        <v>43607</v>
      </c>
      <c r="K586" s="1">
        <v>45300</v>
      </c>
      <c r="L586">
        <v>146800.4</v>
      </c>
      <c r="M586">
        <v>80000.600000000006</v>
      </c>
      <c r="N586">
        <v>670</v>
      </c>
      <c r="O586">
        <v>167000</v>
      </c>
      <c r="P586" t="s">
        <v>76</v>
      </c>
      <c r="Q586" t="s">
        <v>27</v>
      </c>
      <c r="R586">
        <v>0</v>
      </c>
      <c r="S586" t="s">
        <v>28</v>
      </c>
    </row>
    <row r="587" spans="1:19">
      <c r="A587" t="s">
        <v>539</v>
      </c>
      <c r="B587" t="s">
        <v>1475</v>
      </c>
      <c r="C587" t="s">
        <v>21</v>
      </c>
      <c r="D587" t="s">
        <v>58</v>
      </c>
      <c r="E587" t="s">
        <v>59</v>
      </c>
      <c r="F587">
        <v>67</v>
      </c>
      <c r="G587" t="s">
        <v>34</v>
      </c>
      <c r="H587" t="s">
        <v>1476</v>
      </c>
      <c r="I587">
        <f>86-139-5678-9012</f>
        <v>-14743</v>
      </c>
      <c r="J587" s="1">
        <v>43181</v>
      </c>
      <c r="K587" s="1">
        <v>45299</v>
      </c>
      <c r="L587">
        <v>313700.75</v>
      </c>
      <c r="M587">
        <v>97000.8</v>
      </c>
      <c r="N587">
        <v>835</v>
      </c>
      <c r="O587">
        <v>312000</v>
      </c>
      <c r="P587" t="s">
        <v>36</v>
      </c>
      <c r="Q587" t="s">
        <v>27</v>
      </c>
      <c r="R587">
        <v>0</v>
      </c>
      <c r="S587" t="s">
        <v>28</v>
      </c>
    </row>
    <row r="588" spans="1:19">
      <c r="A588" t="s">
        <v>542</v>
      </c>
      <c r="B588" t="s">
        <v>1477</v>
      </c>
      <c r="C588" t="s">
        <v>52</v>
      </c>
      <c r="D588" t="s">
        <v>68</v>
      </c>
      <c r="E588" t="s">
        <v>69</v>
      </c>
      <c r="F588">
        <v>54</v>
      </c>
      <c r="G588" t="s">
        <v>34</v>
      </c>
      <c r="H588" t="s">
        <v>1478</v>
      </c>
      <c r="I588">
        <f>234-826-789-123</f>
        <v>-1504</v>
      </c>
      <c r="J588" s="1">
        <v>44126</v>
      </c>
      <c r="K588" s="1">
        <v>45302</v>
      </c>
      <c r="L588">
        <v>65500.6</v>
      </c>
      <c r="M588">
        <v>35500.25</v>
      </c>
      <c r="N588">
        <v>665</v>
      </c>
      <c r="O588">
        <v>120000</v>
      </c>
      <c r="P588" t="s">
        <v>26</v>
      </c>
      <c r="Q588" t="s">
        <v>27</v>
      </c>
      <c r="R588">
        <v>0</v>
      </c>
      <c r="S588" t="s">
        <v>28</v>
      </c>
    </row>
    <row r="589" spans="1:19">
      <c r="A589" t="s">
        <v>545</v>
      </c>
      <c r="B589" t="s">
        <v>1479</v>
      </c>
      <c r="C589" t="s">
        <v>46</v>
      </c>
      <c r="D589" t="s">
        <v>241</v>
      </c>
      <c r="E589" t="s">
        <v>242</v>
      </c>
      <c r="F589">
        <v>46</v>
      </c>
      <c r="G589" t="s">
        <v>24</v>
      </c>
      <c r="H589" t="s">
        <v>1480</v>
      </c>
      <c r="I589">
        <f>39-360-456-7890</f>
        <v>-8667</v>
      </c>
      <c r="J589" s="1">
        <v>44764</v>
      </c>
      <c r="K589" s="1">
        <v>45303</v>
      </c>
      <c r="L589">
        <v>88800.8</v>
      </c>
      <c r="M589">
        <v>43000.4</v>
      </c>
      <c r="N589">
        <v>750</v>
      </c>
      <c r="O589">
        <v>146000</v>
      </c>
      <c r="P589" t="s">
        <v>26</v>
      </c>
      <c r="Q589" t="s">
        <v>27</v>
      </c>
      <c r="R589">
        <v>0</v>
      </c>
      <c r="S589" t="s">
        <v>28</v>
      </c>
    </row>
    <row r="590" spans="1:19">
      <c r="A590" t="s">
        <v>548</v>
      </c>
      <c r="B590" t="s">
        <v>1481</v>
      </c>
      <c r="C590" t="s">
        <v>57</v>
      </c>
      <c r="D590" t="s">
        <v>22</v>
      </c>
      <c r="E590" t="s">
        <v>118</v>
      </c>
      <c r="F590">
        <v>42</v>
      </c>
      <c r="G590" t="s">
        <v>34</v>
      </c>
      <c r="H590" t="s">
        <v>1482</v>
      </c>
      <c r="I590">
        <f>1-310-555-196</f>
        <v>-1060</v>
      </c>
      <c r="J590" s="1">
        <v>44948</v>
      </c>
      <c r="K590" s="1">
        <v>45305</v>
      </c>
      <c r="L590">
        <v>27700.9</v>
      </c>
      <c r="M590">
        <v>11200.75</v>
      </c>
      <c r="N590">
        <v>770</v>
      </c>
      <c r="O590">
        <v>77000</v>
      </c>
      <c r="P590" t="s">
        <v>36</v>
      </c>
      <c r="Q590" t="s">
        <v>27</v>
      </c>
      <c r="R590">
        <v>0</v>
      </c>
      <c r="S590" t="s">
        <v>28</v>
      </c>
    </row>
    <row r="591" spans="1:19">
      <c r="A591" t="s">
        <v>551</v>
      </c>
      <c r="B591" t="s">
        <v>1483</v>
      </c>
      <c r="C591" t="s">
        <v>39</v>
      </c>
      <c r="D591" t="s">
        <v>313</v>
      </c>
      <c r="E591" t="s">
        <v>314</v>
      </c>
      <c r="F591">
        <v>65</v>
      </c>
      <c r="G591" t="s">
        <v>24</v>
      </c>
      <c r="H591" t="s">
        <v>1484</v>
      </c>
      <c r="I591">
        <f>92-312-7654321</f>
        <v>-7654541</v>
      </c>
      <c r="J591" s="1">
        <v>43365</v>
      </c>
      <c r="K591" s="1">
        <v>45299</v>
      </c>
      <c r="L591">
        <v>199900.25</v>
      </c>
      <c r="M591">
        <v>101000.8</v>
      </c>
      <c r="N591">
        <v>645</v>
      </c>
      <c r="O591">
        <v>217000</v>
      </c>
      <c r="P591" t="s">
        <v>76</v>
      </c>
      <c r="Q591" t="s">
        <v>27</v>
      </c>
      <c r="R591">
        <v>0</v>
      </c>
      <c r="S591" t="s">
        <v>28</v>
      </c>
    </row>
    <row r="592" spans="1:19">
      <c r="A592" t="s">
        <v>554</v>
      </c>
      <c r="B592" t="s">
        <v>1485</v>
      </c>
      <c r="C592" t="s">
        <v>31</v>
      </c>
      <c r="D592" t="s">
        <v>214</v>
      </c>
      <c r="E592" t="s">
        <v>724</v>
      </c>
      <c r="F592">
        <v>38</v>
      </c>
      <c r="G592" t="s">
        <v>34</v>
      </c>
      <c r="H592" t="s">
        <v>1486</v>
      </c>
      <c r="I592">
        <f>34-635-678-901</f>
        <v>-2180</v>
      </c>
      <c r="J592" s="1">
        <v>45337</v>
      </c>
      <c r="K592" s="1">
        <v>45306</v>
      </c>
      <c r="L592">
        <v>22200.5</v>
      </c>
      <c r="M592">
        <v>10800.4</v>
      </c>
      <c r="N592">
        <v>720</v>
      </c>
      <c r="O592">
        <v>54000</v>
      </c>
      <c r="P592" t="s">
        <v>36</v>
      </c>
      <c r="Q592" t="s">
        <v>27</v>
      </c>
      <c r="R592">
        <v>0</v>
      </c>
      <c r="S592" t="s">
        <v>28</v>
      </c>
    </row>
    <row r="593" spans="1:19">
      <c r="A593" t="s">
        <v>108</v>
      </c>
      <c r="B593" t="s">
        <v>1487</v>
      </c>
      <c r="C593" t="s">
        <v>84</v>
      </c>
      <c r="D593" t="s">
        <v>32</v>
      </c>
      <c r="E593" t="s">
        <v>33</v>
      </c>
      <c r="F593">
        <v>34</v>
      </c>
      <c r="G593" t="s">
        <v>24</v>
      </c>
      <c r="H593" t="s">
        <v>1488</v>
      </c>
      <c r="I593">
        <f>81-90-7890-1234</f>
        <v>-9133</v>
      </c>
      <c r="J593" s="1">
        <v>45340</v>
      </c>
      <c r="K593" s="1">
        <v>45304</v>
      </c>
      <c r="L593">
        <v>3050.8</v>
      </c>
      <c r="M593">
        <v>11000.25</v>
      </c>
      <c r="N593">
        <v>605</v>
      </c>
      <c r="O593">
        <v>30000</v>
      </c>
      <c r="P593" t="s">
        <v>76</v>
      </c>
      <c r="Q593" t="s">
        <v>43</v>
      </c>
      <c r="R593">
        <v>0</v>
      </c>
      <c r="S593" t="s">
        <v>28</v>
      </c>
    </row>
    <row r="594" spans="1:19">
      <c r="A594" t="s">
        <v>559</v>
      </c>
      <c r="B594" t="s">
        <v>1489</v>
      </c>
      <c r="C594" t="s">
        <v>46</v>
      </c>
      <c r="D594" t="s">
        <v>254</v>
      </c>
      <c r="E594" t="s">
        <v>255</v>
      </c>
      <c r="F594">
        <v>48</v>
      </c>
      <c r="G594" t="s">
        <v>34</v>
      </c>
      <c r="H594" t="s">
        <v>1490</v>
      </c>
      <c r="I594">
        <f>221-90-456-7890</f>
        <v>-8215</v>
      </c>
      <c r="J594" s="1">
        <v>44642</v>
      </c>
      <c r="K594" s="1">
        <v>45302</v>
      </c>
      <c r="L594">
        <v>75500.399999999994</v>
      </c>
      <c r="M594">
        <v>37700.75</v>
      </c>
      <c r="N594">
        <v>710</v>
      </c>
      <c r="O594">
        <v>128000</v>
      </c>
      <c r="P594" t="s">
        <v>26</v>
      </c>
      <c r="Q594" t="s">
        <v>27</v>
      </c>
      <c r="R594">
        <v>0</v>
      </c>
      <c r="S594" t="s">
        <v>28</v>
      </c>
    </row>
    <row r="595" spans="1:19">
      <c r="A595" t="s">
        <v>562</v>
      </c>
      <c r="B595" t="s">
        <v>1491</v>
      </c>
      <c r="C595" t="s">
        <v>39</v>
      </c>
      <c r="D595" t="s">
        <v>47</v>
      </c>
      <c r="E595" t="s">
        <v>98</v>
      </c>
      <c r="F595">
        <v>62</v>
      </c>
      <c r="G595" t="s">
        <v>24</v>
      </c>
      <c r="H595" t="s">
        <v>1492</v>
      </c>
      <c r="I595">
        <f>44-79-7890-1234</f>
        <v>-9159</v>
      </c>
      <c r="J595" s="1">
        <v>43518</v>
      </c>
      <c r="K595" s="1">
        <v>45300</v>
      </c>
      <c r="L595">
        <v>180100.6</v>
      </c>
      <c r="M595">
        <v>94000.25</v>
      </c>
      <c r="N595">
        <v>675</v>
      </c>
      <c r="O595">
        <v>197000</v>
      </c>
      <c r="P595" t="s">
        <v>76</v>
      </c>
      <c r="Q595" t="s">
        <v>27</v>
      </c>
      <c r="R595">
        <v>0</v>
      </c>
      <c r="S595" t="s">
        <v>28</v>
      </c>
    </row>
    <row r="596" spans="1:19">
      <c r="A596" t="s">
        <v>565</v>
      </c>
      <c r="B596" t="s">
        <v>1493</v>
      </c>
      <c r="C596" t="s">
        <v>52</v>
      </c>
      <c r="D596" t="s">
        <v>233</v>
      </c>
      <c r="E596" t="s">
        <v>234</v>
      </c>
      <c r="F596">
        <v>47</v>
      </c>
      <c r="G596" t="s">
        <v>34</v>
      </c>
      <c r="H596" t="s">
        <v>1494</v>
      </c>
      <c r="I596">
        <f>82-10-6789-123</f>
        <v>-6840</v>
      </c>
      <c r="J596" s="1">
        <v>44436</v>
      </c>
      <c r="K596" s="1">
        <v>45301</v>
      </c>
      <c r="L596">
        <v>51900.75</v>
      </c>
      <c r="M596">
        <v>28800.799999999999</v>
      </c>
      <c r="N596">
        <v>725</v>
      </c>
      <c r="O596">
        <v>94000</v>
      </c>
      <c r="P596" t="s">
        <v>26</v>
      </c>
      <c r="Q596" t="s">
        <v>27</v>
      </c>
      <c r="R596">
        <v>0</v>
      </c>
      <c r="S596" t="s">
        <v>28</v>
      </c>
    </row>
    <row r="597" spans="1:19">
      <c r="A597" t="s">
        <v>568</v>
      </c>
      <c r="B597" t="s">
        <v>1495</v>
      </c>
      <c r="C597" t="s">
        <v>57</v>
      </c>
      <c r="D597" t="s">
        <v>79</v>
      </c>
      <c r="E597" t="s">
        <v>80</v>
      </c>
      <c r="F597">
        <v>45</v>
      </c>
      <c r="G597" t="s">
        <v>24</v>
      </c>
      <c r="H597" t="s">
        <v>1496</v>
      </c>
      <c r="I597">
        <f>971-50-890-1234</f>
        <v>-1203</v>
      </c>
      <c r="J597" s="1">
        <v>44887</v>
      </c>
      <c r="K597" s="1">
        <v>45303</v>
      </c>
      <c r="L597">
        <v>29900.400000000001</v>
      </c>
      <c r="M597">
        <v>12000.9</v>
      </c>
      <c r="N597">
        <v>740</v>
      </c>
      <c r="O597">
        <v>80000</v>
      </c>
      <c r="P597" t="s">
        <v>36</v>
      </c>
      <c r="Q597" t="s">
        <v>27</v>
      </c>
      <c r="R597">
        <v>0</v>
      </c>
      <c r="S597" t="s">
        <v>28</v>
      </c>
    </row>
    <row r="598" spans="1:19">
      <c r="A598" t="s">
        <v>571</v>
      </c>
      <c r="B598" t="s">
        <v>1497</v>
      </c>
      <c r="C598" t="s">
        <v>21</v>
      </c>
      <c r="D598" t="s">
        <v>63</v>
      </c>
      <c r="E598" t="s">
        <v>64</v>
      </c>
      <c r="F598">
        <v>68</v>
      </c>
      <c r="G598" t="s">
        <v>34</v>
      </c>
      <c r="H598" t="s">
        <v>1498</v>
      </c>
      <c r="I598">
        <f>55-11-99890-1234</f>
        <v>-101080</v>
      </c>
      <c r="J598" s="1">
        <v>43061</v>
      </c>
      <c r="K598" s="1">
        <v>45299</v>
      </c>
      <c r="L598">
        <v>269000.90000000002</v>
      </c>
      <c r="M598">
        <v>84000.6</v>
      </c>
      <c r="N598">
        <v>830</v>
      </c>
      <c r="O598">
        <v>292000</v>
      </c>
      <c r="P598" t="s">
        <v>36</v>
      </c>
      <c r="Q598" t="s">
        <v>27</v>
      </c>
      <c r="R598">
        <v>0</v>
      </c>
      <c r="S598" t="s">
        <v>28</v>
      </c>
    </row>
    <row r="599" spans="1:19">
      <c r="A599" t="s">
        <v>574</v>
      </c>
      <c r="B599" t="s">
        <v>1499</v>
      </c>
      <c r="C599" t="s">
        <v>39</v>
      </c>
      <c r="D599" t="s">
        <v>68</v>
      </c>
      <c r="E599" t="s">
        <v>114</v>
      </c>
      <c r="F599">
        <v>60</v>
      </c>
      <c r="G599" t="s">
        <v>24</v>
      </c>
      <c r="H599" t="s">
        <v>1500</v>
      </c>
      <c r="I599">
        <f>234-827-890-1234</f>
        <v>-2717</v>
      </c>
      <c r="J599" s="1">
        <v>43658</v>
      </c>
      <c r="K599" s="1">
        <v>45300</v>
      </c>
      <c r="L599">
        <v>157900.25</v>
      </c>
      <c r="M599">
        <v>86000.4</v>
      </c>
      <c r="N599">
        <v>655</v>
      </c>
      <c r="O599">
        <v>182000</v>
      </c>
      <c r="P599" t="s">
        <v>76</v>
      </c>
      <c r="Q599" t="s">
        <v>27</v>
      </c>
      <c r="R599">
        <v>0</v>
      </c>
      <c r="S599" t="s">
        <v>28</v>
      </c>
    </row>
    <row r="600" spans="1:19">
      <c r="A600" t="s">
        <v>577</v>
      </c>
      <c r="B600" t="s">
        <v>1501</v>
      </c>
      <c r="C600" t="s">
        <v>46</v>
      </c>
      <c r="D600" t="s">
        <v>85</v>
      </c>
      <c r="E600" t="s">
        <v>162</v>
      </c>
      <c r="F600">
        <v>49</v>
      </c>
      <c r="G600" t="s">
        <v>34</v>
      </c>
      <c r="H600" t="s">
        <v>1502</v>
      </c>
      <c r="I600">
        <f>1-514-555-198</f>
        <v>-1266</v>
      </c>
      <c r="J600" s="1">
        <v>44552</v>
      </c>
      <c r="K600" s="1">
        <v>45302</v>
      </c>
      <c r="L600">
        <v>94400.6</v>
      </c>
      <c r="M600">
        <v>45700.75</v>
      </c>
      <c r="N600">
        <v>760</v>
      </c>
      <c r="O600">
        <v>151000</v>
      </c>
      <c r="P600" t="s">
        <v>26</v>
      </c>
      <c r="Q600" t="s">
        <v>27</v>
      </c>
      <c r="R600">
        <v>0</v>
      </c>
      <c r="S600" t="s">
        <v>28</v>
      </c>
    </row>
    <row r="601" spans="1:19">
      <c r="A601" t="s">
        <v>458</v>
      </c>
      <c r="B601" t="s">
        <v>1503</v>
      </c>
      <c r="C601" t="s">
        <v>31</v>
      </c>
      <c r="D601" t="s">
        <v>460</v>
      </c>
      <c r="E601" t="s">
        <v>663</v>
      </c>
      <c r="F601">
        <v>40</v>
      </c>
      <c r="G601" t="s">
        <v>24</v>
      </c>
      <c r="H601" t="s">
        <v>1504</v>
      </c>
      <c r="I601">
        <f>62-824-5678-9012</f>
        <v>-15452</v>
      </c>
      <c r="J601" s="1">
        <v>45334</v>
      </c>
      <c r="K601" s="1">
        <v>45306</v>
      </c>
      <c r="L601">
        <v>14400.25</v>
      </c>
      <c r="M601">
        <v>8500.7999999999993</v>
      </c>
      <c r="N601">
        <v>695</v>
      </c>
      <c r="O601">
        <v>51000</v>
      </c>
      <c r="P601" t="s">
        <v>26</v>
      </c>
      <c r="Q601" t="s">
        <v>43</v>
      </c>
      <c r="R601">
        <v>0</v>
      </c>
      <c r="S601" t="s">
        <v>28</v>
      </c>
    </row>
    <row r="602" spans="1:19">
      <c r="A602" t="s">
        <v>582</v>
      </c>
      <c r="B602" t="s">
        <v>1505</v>
      </c>
      <c r="C602" t="s">
        <v>57</v>
      </c>
      <c r="D602" t="s">
        <v>22</v>
      </c>
      <c r="E602" t="s">
        <v>23</v>
      </c>
      <c r="F602">
        <v>43</v>
      </c>
      <c r="G602" t="s">
        <v>34</v>
      </c>
      <c r="H602" t="s">
        <v>1506</v>
      </c>
      <c r="I602">
        <f>1-646-555-194</f>
        <v>-1394</v>
      </c>
      <c r="J602" s="1">
        <v>44826</v>
      </c>
      <c r="K602" s="1">
        <v>45303</v>
      </c>
      <c r="L602">
        <v>28800.9</v>
      </c>
      <c r="M602">
        <v>11600.25</v>
      </c>
      <c r="N602">
        <v>755</v>
      </c>
      <c r="O602">
        <v>73000</v>
      </c>
      <c r="P602" t="s">
        <v>36</v>
      </c>
      <c r="Q602" t="s">
        <v>27</v>
      </c>
      <c r="R602">
        <v>0</v>
      </c>
      <c r="S602" t="s">
        <v>28</v>
      </c>
    </row>
    <row r="603" spans="1:19">
      <c r="A603" t="s">
        <v>55</v>
      </c>
      <c r="B603" t="s">
        <v>1507</v>
      </c>
      <c r="C603" t="s">
        <v>39</v>
      </c>
      <c r="D603" t="s">
        <v>58</v>
      </c>
      <c r="E603" t="s">
        <v>122</v>
      </c>
      <c r="F603">
        <v>61</v>
      </c>
      <c r="G603" t="s">
        <v>24</v>
      </c>
      <c r="H603" t="s">
        <v>1508</v>
      </c>
      <c r="I603">
        <f>86-138-9012-3456</f>
        <v>-12520</v>
      </c>
      <c r="J603" s="1">
        <v>43583</v>
      </c>
      <c r="K603" s="1">
        <v>45300</v>
      </c>
      <c r="L603">
        <v>190800.4</v>
      </c>
      <c r="M603">
        <v>99000.75</v>
      </c>
      <c r="N603">
        <v>685</v>
      </c>
      <c r="O603">
        <v>207000</v>
      </c>
      <c r="P603" t="s">
        <v>76</v>
      </c>
      <c r="Q603" t="s">
        <v>27</v>
      </c>
      <c r="R603">
        <v>0</v>
      </c>
      <c r="S603" t="s">
        <v>28</v>
      </c>
    </row>
    <row r="604" spans="1:19">
      <c r="A604" t="s">
        <v>469</v>
      </c>
      <c r="B604" t="s">
        <v>1509</v>
      </c>
      <c r="C604" t="s">
        <v>52</v>
      </c>
      <c r="D604" t="s">
        <v>471</v>
      </c>
      <c r="E604" t="s">
        <v>472</v>
      </c>
      <c r="F604">
        <v>52</v>
      </c>
      <c r="G604" t="s">
        <v>34</v>
      </c>
      <c r="H604" t="s">
        <v>1510</v>
      </c>
      <c r="I604">
        <f>48-712-456-789</f>
        <v>-1909</v>
      </c>
      <c r="J604" s="1">
        <v>44211</v>
      </c>
      <c r="K604" s="1">
        <v>45301</v>
      </c>
      <c r="L604">
        <v>58800.800000000003</v>
      </c>
      <c r="M604">
        <v>31900.6</v>
      </c>
      <c r="N604">
        <v>715</v>
      </c>
      <c r="O604">
        <v>106000</v>
      </c>
      <c r="P604" t="s">
        <v>26</v>
      </c>
      <c r="Q604" t="s">
        <v>27</v>
      </c>
      <c r="R604">
        <v>0</v>
      </c>
      <c r="S604" t="s">
        <v>28</v>
      </c>
    </row>
    <row r="605" spans="1:19">
      <c r="A605" t="s">
        <v>474</v>
      </c>
      <c r="B605" t="s">
        <v>1511</v>
      </c>
      <c r="C605" t="s">
        <v>46</v>
      </c>
      <c r="D605" t="s">
        <v>345</v>
      </c>
      <c r="E605" t="s">
        <v>346</v>
      </c>
      <c r="F605">
        <v>55</v>
      </c>
      <c r="G605" t="s">
        <v>24</v>
      </c>
      <c r="H605" t="s">
        <v>1512</v>
      </c>
      <c r="I605">
        <f>880-1812-678901</f>
        <v>-679833</v>
      </c>
      <c r="J605" s="1">
        <v>44126</v>
      </c>
      <c r="K605" s="1">
        <v>45302</v>
      </c>
      <c r="L605">
        <v>86600.25</v>
      </c>
      <c r="M605">
        <v>41900.400000000001</v>
      </c>
      <c r="N605">
        <v>680</v>
      </c>
      <c r="O605">
        <v>135000</v>
      </c>
      <c r="P605" t="s">
        <v>26</v>
      </c>
      <c r="Q605" t="s">
        <v>27</v>
      </c>
      <c r="R605">
        <v>0</v>
      </c>
      <c r="S605" t="s">
        <v>28</v>
      </c>
    </row>
    <row r="606" spans="1:19">
      <c r="A606" t="s">
        <v>592</v>
      </c>
      <c r="B606" t="s">
        <v>1513</v>
      </c>
      <c r="C606" t="s">
        <v>84</v>
      </c>
      <c r="D606" t="s">
        <v>32</v>
      </c>
      <c r="E606" t="s">
        <v>90</v>
      </c>
      <c r="F606">
        <v>35</v>
      </c>
      <c r="G606" t="s">
        <v>34</v>
      </c>
      <c r="H606" t="s">
        <v>1514</v>
      </c>
      <c r="I606">
        <f>81-90-8901-2345</f>
        <v>-11255</v>
      </c>
      <c r="J606" s="1">
        <v>45350</v>
      </c>
      <c r="K606" s="1">
        <v>45304</v>
      </c>
      <c r="L606">
        <v>3150.4</v>
      </c>
      <c r="M606">
        <v>11600.75</v>
      </c>
      <c r="N606">
        <v>610</v>
      </c>
      <c r="O606">
        <v>31000</v>
      </c>
      <c r="P606" t="s">
        <v>76</v>
      </c>
      <c r="Q606" t="s">
        <v>43</v>
      </c>
      <c r="R606">
        <v>0</v>
      </c>
      <c r="S606" t="s">
        <v>28</v>
      </c>
    </row>
    <row r="607" spans="1:19">
      <c r="A607" t="s">
        <v>595</v>
      </c>
      <c r="B607" t="s">
        <v>1515</v>
      </c>
      <c r="C607" t="s">
        <v>21</v>
      </c>
      <c r="D607" t="s">
        <v>209</v>
      </c>
      <c r="E607" t="s">
        <v>210</v>
      </c>
      <c r="F607">
        <v>67</v>
      </c>
      <c r="G607" t="s">
        <v>24</v>
      </c>
      <c r="H607" t="s">
        <v>1516</v>
      </c>
      <c r="I607">
        <f>52-55-6789-123</f>
        <v>-6915</v>
      </c>
      <c r="J607" s="1">
        <v>43273</v>
      </c>
      <c r="K607" s="1">
        <v>45299</v>
      </c>
      <c r="L607">
        <v>288800.8</v>
      </c>
      <c r="M607">
        <v>90000.25</v>
      </c>
      <c r="N607">
        <v>825</v>
      </c>
      <c r="O607">
        <v>287000</v>
      </c>
      <c r="P607" t="s">
        <v>36</v>
      </c>
      <c r="Q607" t="s">
        <v>27</v>
      </c>
      <c r="R607">
        <v>0</v>
      </c>
      <c r="S607" t="s">
        <v>28</v>
      </c>
    </row>
    <row r="608" spans="1:19">
      <c r="A608" t="s">
        <v>226</v>
      </c>
      <c r="B608" t="s">
        <v>1517</v>
      </c>
      <c r="C608" t="s">
        <v>57</v>
      </c>
      <c r="D608" t="s">
        <v>228</v>
      </c>
      <c r="E608" t="s">
        <v>229</v>
      </c>
      <c r="F608">
        <v>42</v>
      </c>
      <c r="G608" t="s">
        <v>34</v>
      </c>
      <c r="H608" t="s">
        <v>1518</v>
      </c>
      <c r="I608">
        <f>254-736-789-12</f>
        <v>-1283</v>
      </c>
      <c r="J608" s="1">
        <v>45007</v>
      </c>
      <c r="K608" s="1">
        <v>45305</v>
      </c>
      <c r="L608">
        <v>25500.75</v>
      </c>
      <c r="M608">
        <v>10000.4</v>
      </c>
      <c r="N608">
        <v>725</v>
      </c>
      <c r="O608">
        <v>63000</v>
      </c>
      <c r="P608" t="s">
        <v>36</v>
      </c>
      <c r="Q608" t="s">
        <v>27</v>
      </c>
      <c r="R608">
        <v>0</v>
      </c>
      <c r="S608" t="s">
        <v>28</v>
      </c>
    </row>
    <row r="609" spans="1:19">
      <c r="A609" t="s">
        <v>488</v>
      </c>
      <c r="B609" t="s">
        <v>1519</v>
      </c>
      <c r="C609" t="s">
        <v>39</v>
      </c>
      <c r="D609" t="s">
        <v>304</v>
      </c>
      <c r="E609" t="s">
        <v>304</v>
      </c>
      <c r="F609">
        <v>59</v>
      </c>
      <c r="G609" t="s">
        <v>24</v>
      </c>
      <c r="H609" t="s">
        <v>1520</v>
      </c>
      <c r="I609">
        <f>65-9590-1234</f>
        <v>-10759</v>
      </c>
      <c r="J609" s="1">
        <v>43746</v>
      </c>
      <c r="K609" s="1">
        <v>45300</v>
      </c>
      <c r="L609">
        <v>169000.6</v>
      </c>
      <c r="M609">
        <v>90000.9</v>
      </c>
      <c r="N609">
        <v>675</v>
      </c>
      <c r="O609">
        <v>187000</v>
      </c>
      <c r="P609" t="s">
        <v>76</v>
      </c>
      <c r="Q609" t="s">
        <v>27</v>
      </c>
      <c r="R609">
        <v>0</v>
      </c>
      <c r="S609" t="s">
        <v>28</v>
      </c>
    </row>
    <row r="610" spans="1:19">
      <c r="A610" t="s">
        <v>491</v>
      </c>
      <c r="B610" t="s">
        <v>1521</v>
      </c>
      <c r="C610" t="s">
        <v>52</v>
      </c>
      <c r="D610" t="s">
        <v>493</v>
      </c>
      <c r="E610" t="s">
        <v>494</v>
      </c>
      <c r="F610">
        <v>50</v>
      </c>
      <c r="G610" t="s">
        <v>34</v>
      </c>
      <c r="H610" t="s">
        <v>1522</v>
      </c>
      <c r="I610">
        <f>30-704-567-8901</f>
        <v>-10142</v>
      </c>
      <c r="J610" s="1">
        <v>44522</v>
      </c>
      <c r="K610" s="1">
        <v>45302</v>
      </c>
      <c r="L610">
        <v>53000.4</v>
      </c>
      <c r="M610">
        <v>27700.25</v>
      </c>
      <c r="N610">
        <v>705</v>
      </c>
      <c r="O610">
        <v>95000</v>
      </c>
      <c r="P610" t="s">
        <v>26</v>
      </c>
      <c r="Q610" t="s">
        <v>27</v>
      </c>
      <c r="R610">
        <v>0</v>
      </c>
      <c r="S610" t="s">
        <v>28</v>
      </c>
    </row>
    <row r="611" spans="1:19">
      <c r="A611" t="s">
        <v>496</v>
      </c>
      <c r="B611" t="s">
        <v>1523</v>
      </c>
      <c r="C611" t="s">
        <v>46</v>
      </c>
      <c r="D611" t="s">
        <v>321</v>
      </c>
      <c r="E611" t="s">
        <v>498</v>
      </c>
      <c r="F611">
        <v>53</v>
      </c>
      <c r="G611" t="s">
        <v>24</v>
      </c>
      <c r="H611" t="s">
        <v>1524</v>
      </c>
      <c r="I611">
        <f>61-436-789-12</f>
        <v>-1176</v>
      </c>
      <c r="J611" s="1">
        <v>44004</v>
      </c>
      <c r="K611" s="1">
        <v>45301</v>
      </c>
      <c r="L611">
        <v>99900.75</v>
      </c>
      <c r="M611">
        <v>48800.800000000003</v>
      </c>
      <c r="N611">
        <v>730</v>
      </c>
      <c r="O611">
        <v>161000</v>
      </c>
      <c r="P611" t="s">
        <v>26</v>
      </c>
      <c r="Q611" t="s">
        <v>27</v>
      </c>
      <c r="R611">
        <v>0</v>
      </c>
      <c r="S611" t="s">
        <v>28</v>
      </c>
    </row>
    <row r="612" spans="1:19">
      <c r="A612" t="s">
        <v>324</v>
      </c>
      <c r="B612" t="s">
        <v>1525</v>
      </c>
      <c r="C612" t="s">
        <v>31</v>
      </c>
      <c r="D612" t="s">
        <v>313</v>
      </c>
      <c r="E612" t="s">
        <v>385</v>
      </c>
      <c r="F612">
        <v>38</v>
      </c>
      <c r="G612" t="s">
        <v>34</v>
      </c>
      <c r="H612" t="s">
        <v>1526</v>
      </c>
      <c r="I612">
        <f>92-334-6543210</f>
        <v>-6543452</v>
      </c>
      <c r="J612" s="1">
        <v>45344</v>
      </c>
      <c r="K612" s="1">
        <v>45306</v>
      </c>
      <c r="L612">
        <v>12600.9</v>
      </c>
      <c r="M612">
        <v>7700.75</v>
      </c>
      <c r="N612">
        <v>685</v>
      </c>
      <c r="O612">
        <v>48000</v>
      </c>
      <c r="P612" t="s">
        <v>26</v>
      </c>
      <c r="Q612" t="s">
        <v>43</v>
      </c>
      <c r="R612">
        <v>0</v>
      </c>
      <c r="S612" t="s">
        <v>28</v>
      </c>
    </row>
    <row r="613" spans="1:19">
      <c r="A613" t="s">
        <v>503</v>
      </c>
      <c r="B613" t="s">
        <v>1527</v>
      </c>
      <c r="C613" t="s">
        <v>21</v>
      </c>
      <c r="D613" t="s">
        <v>32</v>
      </c>
      <c r="E613" t="s">
        <v>33</v>
      </c>
      <c r="F613">
        <v>70</v>
      </c>
      <c r="G613" t="s">
        <v>24</v>
      </c>
      <c r="H613" t="s">
        <v>1528</v>
      </c>
      <c r="I613">
        <f>81-80-4567-8901</f>
        <v>-13467</v>
      </c>
      <c r="J613" s="1">
        <v>43000</v>
      </c>
      <c r="K613" s="1">
        <v>45299</v>
      </c>
      <c r="L613">
        <v>299700.25</v>
      </c>
      <c r="M613">
        <v>94000.4</v>
      </c>
      <c r="N613">
        <v>840</v>
      </c>
      <c r="O613">
        <v>302000</v>
      </c>
      <c r="P613" t="s">
        <v>36</v>
      </c>
      <c r="Q613" t="s">
        <v>27</v>
      </c>
      <c r="R613">
        <v>0</v>
      </c>
      <c r="S613" t="s">
        <v>28</v>
      </c>
    </row>
    <row r="614" spans="1:19">
      <c r="A614" t="s">
        <v>506</v>
      </c>
      <c r="B614" t="s">
        <v>1529</v>
      </c>
      <c r="C614" t="s">
        <v>39</v>
      </c>
      <c r="D614" t="s">
        <v>68</v>
      </c>
      <c r="E614" t="s">
        <v>69</v>
      </c>
      <c r="F614">
        <v>62</v>
      </c>
      <c r="G614" t="s">
        <v>34</v>
      </c>
      <c r="H614" t="s">
        <v>1530</v>
      </c>
      <c r="I614">
        <f>234-826-789-123</f>
        <v>-1504</v>
      </c>
      <c r="J614" s="1">
        <v>43518</v>
      </c>
      <c r="K614" s="1">
        <v>45300</v>
      </c>
      <c r="L614">
        <v>180100.4</v>
      </c>
      <c r="M614">
        <v>94000.75</v>
      </c>
      <c r="N614">
        <v>650</v>
      </c>
      <c r="O614">
        <v>197000</v>
      </c>
      <c r="P614" t="s">
        <v>76</v>
      </c>
      <c r="Q614" t="s">
        <v>27</v>
      </c>
      <c r="R614">
        <v>0</v>
      </c>
      <c r="S614" t="s">
        <v>28</v>
      </c>
    </row>
    <row r="615" spans="1:19">
      <c r="A615" t="s">
        <v>509</v>
      </c>
      <c r="B615" t="s">
        <v>1531</v>
      </c>
      <c r="C615" t="s">
        <v>46</v>
      </c>
      <c r="D615" t="s">
        <v>73</v>
      </c>
      <c r="E615" t="s">
        <v>74</v>
      </c>
      <c r="F615">
        <v>49</v>
      </c>
      <c r="G615" t="s">
        <v>24</v>
      </c>
      <c r="H615" t="s">
        <v>1532</v>
      </c>
      <c r="I615">
        <f>49-188-9012345</f>
        <v>-9012484</v>
      </c>
      <c r="J615" s="1">
        <v>44740</v>
      </c>
      <c r="K615" s="1">
        <v>45303</v>
      </c>
      <c r="L615">
        <v>87700.4</v>
      </c>
      <c r="M615">
        <v>43000.25</v>
      </c>
      <c r="N615">
        <v>745</v>
      </c>
      <c r="O615">
        <v>141000</v>
      </c>
      <c r="P615" t="s">
        <v>26</v>
      </c>
      <c r="Q615" t="s">
        <v>27</v>
      </c>
      <c r="R615">
        <v>0</v>
      </c>
      <c r="S615" t="s">
        <v>28</v>
      </c>
    </row>
    <row r="616" spans="1:19">
      <c r="A616" t="s">
        <v>513</v>
      </c>
      <c r="B616" t="s">
        <v>1533</v>
      </c>
      <c r="C616" t="s">
        <v>57</v>
      </c>
      <c r="D616" t="s">
        <v>58</v>
      </c>
      <c r="E616" t="s">
        <v>59</v>
      </c>
      <c r="F616">
        <v>44</v>
      </c>
      <c r="G616" t="s">
        <v>34</v>
      </c>
      <c r="H616" t="s">
        <v>1534</v>
      </c>
      <c r="I616">
        <f>86-137-9012-3456</f>
        <v>-12519</v>
      </c>
      <c r="J616" s="1">
        <v>44917</v>
      </c>
      <c r="K616" s="1">
        <v>45302</v>
      </c>
      <c r="L616">
        <v>27700.799999999999</v>
      </c>
      <c r="M616">
        <v>11200.9</v>
      </c>
      <c r="N616">
        <v>765</v>
      </c>
      <c r="O616">
        <v>73000</v>
      </c>
      <c r="P616" t="s">
        <v>36</v>
      </c>
      <c r="Q616" t="s">
        <v>27</v>
      </c>
      <c r="R616">
        <v>0</v>
      </c>
      <c r="S616" t="s">
        <v>28</v>
      </c>
    </row>
    <row r="617" spans="1:19">
      <c r="A617" t="s">
        <v>516</v>
      </c>
      <c r="B617" t="s">
        <v>1535</v>
      </c>
      <c r="C617" t="s">
        <v>52</v>
      </c>
      <c r="D617" t="s">
        <v>277</v>
      </c>
      <c r="E617" t="s">
        <v>404</v>
      </c>
      <c r="F617">
        <v>57</v>
      </c>
      <c r="G617" t="s">
        <v>24</v>
      </c>
      <c r="H617" t="s">
        <v>1536</v>
      </c>
      <c r="I617">
        <f>20-122-876-5432</f>
        <v>-6410</v>
      </c>
      <c r="J617" s="1">
        <v>44187</v>
      </c>
      <c r="K617" s="1">
        <v>45301</v>
      </c>
      <c r="L617">
        <v>61000.75</v>
      </c>
      <c r="M617">
        <v>34100.400000000001</v>
      </c>
      <c r="N617">
        <v>675</v>
      </c>
      <c r="O617">
        <v>113000</v>
      </c>
      <c r="P617" t="s">
        <v>26</v>
      </c>
      <c r="Q617" t="s">
        <v>27</v>
      </c>
      <c r="R617">
        <v>0</v>
      </c>
      <c r="S617" t="s">
        <v>28</v>
      </c>
    </row>
    <row r="618" spans="1:19">
      <c r="A618" t="s">
        <v>519</v>
      </c>
      <c r="B618" t="s">
        <v>1537</v>
      </c>
      <c r="C618" t="s">
        <v>84</v>
      </c>
      <c r="D618" t="s">
        <v>183</v>
      </c>
      <c r="E618" t="s">
        <v>184</v>
      </c>
      <c r="F618">
        <v>36</v>
      </c>
      <c r="G618" t="s">
        <v>34</v>
      </c>
      <c r="H618" t="s">
        <v>1538</v>
      </c>
      <c r="I618">
        <f>33-6-6789-123</f>
        <v>-6885</v>
      </c>
      <c r="J618" s="1">
        <v>45356</v>
      </c>
      <c r="K618" s="1">
        <v>45304</v>
      </c>
      <c r="L618">
        <v>3400.25</v>
      </c>
      <c r="M618">
        <v>12800.6</v>
      </c>
      <c r="N618">
        <v>615</v>
      </c>
      <c r="O618">
        <v>33000</v>
      </c>
      <c r="P618" t="s">
        <v>76</v>
      </c>
      <c r="Q618" t="s">
        <v>43</v>
      </c>
      <c r="R618">
        <v>0</v>
      </c>
      <c r="S618" t="s">
        <v>28</v>
      </c>
    </row>
    <row r="619" spans="1:19">
      <c r="A619" t="s">
        <v>522</v>
      </c>
      <c r="B619" t="s">
        <v>1539</v>
      </c>
      <c r="C619" t="s">
        <v>39</v>
      </c>
      <c r="D619" t="s">
        <v>40</v>
      </c>
      <c r="E619" t="s">
        <v>41</v>
      </c>
      <c r="F619">
        <v>64</v>
      </c>
      <c r="G619" t="s">
        <v>24</v>
      </c>
      <c r="H619" t="s">
        <v>1540</v>
      </c>
      <c r="I619">
        <f>91-987-654-3210</f>
        <v>-4760</v>
      </c>
      <c r="J619" s="1">
        <v>43487</v>
      </c>
      <c r="K619" s="1">
        <v>45299</v>
      </c>
      <c r="L619">
        <v>214700.79999999999</v>
      </c>
      <c r="M619">
        <v>107000.25</v>
      </c>
      <c r="N619">
        <v>660</v>
      </c>
      <c r="O619">
        <v>232000</v>
      </c>
      <c r="P619" t="s">
        <v>76</v>
      </c>
      <c r="Q619" t="s">
        <v>27</v>
      </c>
      <c r="R619">
        <v>0</v>
      </c>
      <c r="S619" t="s">
        <v>28</v>
      </c>
    </row>
    <row r="620" spans="1:19">
      <c r="A620" t="s">
        <v>306</v>
      </c>
      <c r="B620" t="s">
        <v>1541</v>
      </c>
      <c r="C620" t="s">
        <v>46</v>
      </c>
      <c r="D620" t="s">
        <v>209</v>
      </c>
      <c r="E620" t="s">
        <v>447</v>
      </c>
      <c r="F620">
        <v>51</v>
      </c>
      <c r="G620" t="s">
        <v>34</v>
      </c>
      <c r="H620" t="s">
        <v>1542</v>
      </c>
      <c r="I620">
        <f>52-33-8901-123</f>
        <v>-9005</v>
      </c>
      <c r="J620" s="1">
        <v>44338</v>
      </c>
      <c r="K620" s="1">
        <v>45302</v>
      </c>
      <c r="L620">
        <v>82100.899999999994</v>
      </c>
      <c r="M620">
        <v>39900.75</v>
      </c>
      <c r="N620">
        <v>730</v>
      </c>
      <c r="O620">
        <v>136000</v>
      </c>
      <c r="P620" t="s">
        <v>26</v>
      </c>
      <c r="Q620" t="s">
        <v>27</v>
      </c>
      <c r="R620">
        <v>0</v>
      </c>
      <c r="S620" t="s">
        <v>28</v>
      </c>
    </row>
    <row r="621" spans="1:19">
      <c r="A621" t="s">
        <v>527</v>
      </c>
      <c r="B621" t="s">
        <v>1543</v>
      </c>
      <c r="C621" t="s">
        <v>31</v>
      </c>
      <c r="D621" t="s">
        <v>32</v>
      </c>
      <c r="E621" t="s">
        <v>90</v>
      </c>
      <c r="F621">
        <v>40</v>
      </c>
      <c r="G621" t="s">
        <v>34</v>
      </c>
      <c r="H621" t="s">
        <v>1544</v>
      </c>
      <c r="I621">
        <f>81-90-5678-9012</f>
        <v>-14699</v>
      </c>
      <c r="J621" s="1">
        <v>45344</v>
      </c>
      <c r="K621" s="1">
        <v>45305</v>
      </c>
      <c r="L621">
        <v>13700.4</v>
      </c>
      <c r="M621">
        <v>7800.25</v>
      </c>
      <c r="N621">
        <v>705</v>
      </c>
      <c r="O621">
        <v>50000</v>
      </c>
      <c r="P621" t="s">
        <v>26</v>
      </c>
      <c r="Q621" t="s">
        <v>43</v>
      </c>
      <c r="R621">
        <v>0</v>
      </c>
      <c r="S621" t="s">
        <v>28</v>
      </c>
    </row>
    <row r="622" spans="1:19">
      <c r="A622" t="s">
        <v>530</v>
      </c>
      <c r="B622" t="s">
        <v>1545</v>
      </c>
      <c r="C622" t="s">
        <v>57</v>
      </c>
      <c r="D622" t="s">
        <v>219</v>
      </c>
      <c r="E622" t="s">
        <v>220</v>
      </c>
      <c r="F622">
        <v>45</v>
      </c>
      <c r="G622" t="s">
        <v>24</v>
      </c>
      <c r="H622" t="s">
        <v>1546</v>
      </c>
      <c r="I622">
        <f>233-67-890-1234</f>
        <v>-1958</v>
      </c>
      <c r="J622" s="1">
        <v>44887</v>
      </c>
      <c r="K622" s="1">
        <v>45303</v>
      </c>
      <c r="L622">
        <v>26600.6</v>
      </c>
      <c r="M622">
        <v>10600.8</v>
      </c>
      <c r="N622">
        <v>710</v>
      </c>
      <c r="O622">
        <v>66000</v>
      </c>
      <c r="P622" t="s">
        <v>36</v>
      </c>
      <c r="Q622" t="s">
        <v>27</v>
      </c>
      <c r="R622">
        <v>0</v>
      </c>
      <c r="S622" t="s">
        <v>28</v>
      </c>
    </row>
    <row r="623" spans="1:19">
      <c r="A623" t="s">
        <v>533</v>
      </c>
      <c r="B623" t="s">
        <v>1547</v>
      </c>
      <c r="C623" t="s">
        <v>52</v>
      </c>
      <c r="D623" t="s">
        <v>204</v>
      </c>
      <c r="E623" t="s">
        <v>259</v>
      </c>
      <c r="F623">
        <v>52</v>
      </c>
      <c r="G623" t="s">
        <v>34</v>
      </c>
      <c r="H623" t="s">
        <v>1548</v>
      </c>
      <c r="I623">
        <f>7-921-654-32-10</f>
        <v>-1610</v>
      </c>
      <c r="J623" s="1">
        <v>44187</v>
      </c>
      <c r="K623" s="1">
        <v>45301</v>
      </c>
      <c r="L623">
        <v>57900.25</v>
      </c>
      <c r="M623">
        <v>31000.9</v>
      </c>
      <c r="N623">
        <v>695</v>
      </c>
      <c r="O623">
        <v>101000</v>
      </c>
      <c r="P623" t="s">
        <v>26</v>
      </c>
      <c r="Q623" t="s">
        <v>27</v>
      </c>
      <c r="R623">
        <v>0</v>
      </c>
      <c r="S623" t="s">
        <v>28</v>
      </c>
    </row>
    <row r="624" spans="1:19">
      <c r="A624" t="s">
        <v>536</v>
      </c>
      <c r="B624" t="s">
        <v>1549</v>
      </c>
      <c r="C624" t="s">
        <v>39</v>
      </c>
      <c r="D624" t="s">
        <v>195</v>
      </c>
      <c r="E624" t="s">
        <v>300</v>
      </c>
      <c r="F624">
        <v>60</v>
      </c>
      <c r="G624" t="s">
        <v>24</v>
      </c>
      <c r="H624" t="s">
        <v>1550</v>
      </c>
      <c r="I624">
        <f>353-99-789-123</f>
        <v>-658</v>
      </c>
      <c r="J624" s="1">
        <v>43638</v>
      </c>
      <c r="K624" s="1">
        <v>45300</v>
      </c>
      <c r="L624">
        <v>146900.4</v>
      </c>
      <c r="M624">
        <v>81000.600000000006</v>
      </c>
      <c r="N624">
        <v>670</v>
      </c>
      <c r="O624">
        <v>168000</v>
      </c>
      <c r="P624" t="s">
        <v>76</v>
      </c>
      <c r="Q624" t="s">
        <v>27</v>
      </c>
      <c r="R624">
        <v>0</v>
      </c>
      <c r="S624" t="s">
        <v>28</v>
      </c>
    </row>
    <row r="625" spans="1:19">
      <c r="A625" t="s">
        <v>539</v>
      </c>
      <c r="B625" t="s">
        <v>1551</v>
      </c>
      <c r="C625" t="s">
        <v>21</v>
      </c>
      <c r="D625" t="s">
        <v>58</v>
      </c>
      <c r="E625" t="s">
        <v>59</v>
      </c>
      <c r="F625">
        <v>68</v>
      </c>
      <c r="G625" t="s">
        <v>34</v>
      </c>
      <c r="H625" t="s">
        <v>1552</v>
      </c>
      <c r="I625">
        <f>86-139-6789-123</f>
        <v>-6965</v>
      </c>
      <c r="J625" s="1">
        <v>43218</v>
      </c>
      <c r="K625" s="1">
        <v>45299</v>
      </c>
      <c r="L625">
        <v>313800.75</v>
      </c>
      <c r="M625">
        <v>98000.8</v>
      </c>
      <c r="N625">
        <v>835</v>
      </c>
      <c r="O625">
        <v>313000</v>
      </c>
      <c r="P625" t="s">
        <v>36</v>
      </c>
      <c r="Q625" t="s">
        <v>27</v>
      </c>
      <c r="R625">
        <v>0</v>
      </c>
      <c r="S625" t="s">
        <v>28</v>
      </c>
    </row>
    <row r="626" spans="1:19">
      <c r="A626" t="s">
        <v>542</v>
      </c>
      <c r="B626" t="s">
        <v>1553</v>
      </c>
      <c r="C626" t="s">
        <v>52</v>
      </c>
      <c r="D626" t="s">
        <v>68</v>
      </c>
      <c r="E626" t="s">
        <v>179</v>
      </c>
      <c r="F626">
        <v>55</v>
      </c>
      <c r="G626" t="s">
        <v>34</v>
      </c>
      <c r="H626" t="s">
        <v>1554</v>
      </c>
      <c r="I626">
        <f>234-827-890-1234</f>
        <v>-2717</v>
      </c>
      <c r="J626" s="1">
        <v>44157</v>
      </c>
      <c r="K626" s="1">
        <v>45302</v>
      </c>
      <c r="L626">
        <v>66600.600000000006</v>
      </c>
      <c r="M626">
        <v>36600.25</v>
      </c>
      <c r="N626">
        <v>665</v>
      </c>
      <c r="O626">
        <v>121000</v>
      </c>
      <c r="P626" t="s">
        <v>26</v>
      </c>
      <c r="Q626" t="s">
        <v>27</v>
      </c>
      <c r="R626">
        <v>0</v>
      </c>
      <c r="S626" t="s">
        <v>28</v>
      </c>
    </row>
    <row r="627" spans="1:19">
      <c r="A627" t="s">
        <v>545</v>
      </c>
      <c r="B627" t="s">
        <v>1555</v>
      </c>
      <c r="C627" t="s">
        <v>46</v>
      </c>
      <c r="D627" t="s">
        <v>241</v>
      </c>
      <c r="E627" t="s">
        <v>389</v>
      </c>
      <c r="F627">
        <v>47</v>
      </c>
      <c r="G627" t="s">
        <v>24</v>
      </c>
      <c r="H627" t="s">
        <v>1556</v>
      </c>
      <c r="I627">
        <f>39-361-567-8901</f>
        <v>-9790</v>
      </c>
      <c r="J627" s="1">
        <v>44795</v>
      </c>
      <c r="K627" s="1">
        <v>45303</v>
      </c>
      <c r="L627">
        <v>89900.800000000003</v>
      </c>
      <c r="M627">
        <v>44100.4</v>
      </c>
      <c r="N627">
        <v>750</v>
      </c>
      <c r="O627">
        <v>147000</v>
      </c>
      <c r="P627" t="s">
        <v>26</v>
      </c>
      <c r="Q627" t="s">
        <v>27</v>
      </c>
      <c r="R627">
        <v>0</v>
      </c>
      <c r="S627" t="s">
        <v>28</v>
      </c>
    </row>
    <row r="628" spans="1:19">
      <c r="A628" t="s">
        <v>548</v>
      </c>
      <c r="B628" t="s">
        <v>1557</v>
      </c>
      <c r="C628" t="s">
        <v>57</v>
      </c>
      <c r="D628" t="s">
        <v>22</v>
      </c>
      <c r="E628" t="s">
        <v>381</v>
      </c>
      <c r="F628">
        <v>43</v>
      </c>
      <c r="G628" t="s">
        <v>34</v>
      </c>
      <c r="H628" t="s">
        <v>1558</v>
      </c>
      <c r="I628">
        <f>1-415-555-194</f>
        <v>-1163</v>
      </c>
      <c r="J628" s="1">
        <v>44979</v>
      </c>
      <c r="K628" s="1">
        <v>45305</v>
      </c>
      <c r="L628">
        <v>28800.9</v>
      </c>
      <c r="M628">
        <v>11600.75</v>
      </c>
      <c r="N628">
        <v>770</v>
      </c>
      <c r="O628">
        <v>78000</v>
      </c>
      <c r="P628" t="s">
        <v>36</v>
      </c>
      <c r="Q628" t="s">
        <v>27</v>
      </c>
      <c r="R628">
        <v>0</v>
      </c>
      <c r="S628" t="s">
        <v>28</v>
      </c>
    </row>
    <row r="629" spans="1:19">
      <c r="A629" t="s">
        <v>551</v>
      </c>
      <c r="B629" t="s">
        <v>1559</v>
      </c>
      <c r="C629" t="s">
        <v>39</v>
      </c>
      <c r="D629" t="s">
        <v>313</v>
      </c>
      <c r="E629" t="s">
        <v>501</v>
      </c>
      <c r="F629">
        <v>66</v>
      </c>
      <c r="G629" t="s">
        <v>24</v>
      </c>
      <c r="H629" t="s">
        <v>1560</v>
      </c>
      <c r="I629">
        <f>92-313-6543210</f>
        <v>-6543431</v>
      </c>
      <c r="J629" s="1">
        <v>43395</v>
      </c>
      <c r="K629" s="1">
        <v>45299</v>
      </c>
      <c r="L629">
        <v>200000.25</v>
      </c>
      <c r="M629">
        <v>102000.8</v>
      </c>
      <c r="N629">
        <v>645</v>
      </c>
      <c r="O629">
        <v>218000</v>
      </c>
      <c r="P629" t="s">
        <v>76</v>
      </c>
      <c r="Q629" t="s">
        <v>27</v>
      </c>
      <c r="R629">
        <v>0</v>
      </c>
      <c r="S629" t="s">
        <v>28</v>
      </c>
    </row>
    <row r="630" spans="1:19">
      <c r="A630" t="s">
        <v>554</v>
      </c>
      <c r="B630" t="s">
        <v>1561</v>
      </c>
      <c r="C630" t="s">
        <v>31</v>
      </c>
      <c r="D630" t="s">
        <v>214</v>
      </c>
      <c r="E630" t="s">
        <v>483</v>
      </c>
      <c r="F630">
        <v>39</v>
      </c>
      <c r="G630" t="s">
        <v>34</v>
      </c>
      <c r="H630" t="s">
        <v>1562</v>
      </c>
      <c r="I630">
        <f>34-636-789-12</f>
        <v>-1403</v>
      </c>
      <c r="J630" s="1">
        <v>45350</v>
      </c>
      <c r="K630" s="1">
        <v>45306</v>
      </c>
      <c r="L630">
        <v>23200.5</v>
      </c>
      <c r="M630">
        <v>11200.4</v>
      </c>
      <c r="N630">
        <v>720</v>
      </c>
      <c r="O630">
        <v>55000</v>
      </c>
      <c r="P630" t="s">
        <v>36</v>
      </c>
      <c r="Q630" t="s">
        <v>27</v>
      </c>
      <c r="R630">
        <v>0</v>
      </c>
      <c r="S630" t="s">
        <v>28</v>
      </c>
    </row>
    <row r="631" spans="1:19">
      <c r="A631" t="s">
        <v>108</v>
      </c>
      <c r="B631" t="s">
        <v>1563</v>
      </c>
      <c r="C631" t="s">
        <v>84</v>
      </c>
      <c r="D631" t="s">
        <v>32</v>
      </c>
      <c r="E631" t="s">
        <v>33</v>
      </c>
      <c r="F631">
        <v>35</v>
      </c>
      <c r="G631" t="s">
        <v>24</v>
      </c>
      <c r="H631" t="s">
        <v>1564</v>
      </c>
      <c r="I631">
        <f>81-90-8901-2345</f>
        <v>-11255</v>
      </c>
      <c r="J631" s="1">
        <v>45350</v>
      </c>
      <c r="K631" s="1">
        <v>45304</v>
      </c>
      <c r="L631">
        <v>3150.8</v>
      </c>
      <c r="M631">
        <v>11200.25</v>
      </c>
      <c r="N631">
        <v>605</v>
      </c>
      <c r="O631">
        <v>31000</v>
      </c>
      <c r="P631" t="s">
        <v>76</v>
      </c>
      <c r="Q631" t="s">
        <v>43</v>
      </c>
      <c r="R631">
        <v>0</v>
      </c>
      <c r="S631" t="s">
        <v>28</v>
      </c>
    </row>
    <row r="632" spans="1:19">
      <c r="A632" t="s">
        <v>559</v>
      </c>
      <c r="B632" t="s">
        <v>1565</v>
      </c>
      <c r="C632" t="s">
        <v>46</v>
      </c>
      <c r="D632" t="s">
        <v>254</v>
      </c>
      <c r="E632" t="s">
        <v>255</v>
      </c>
      <c r="F632">
        <v>49</v>
      </c>
      <c r="G632" t="s">
        <v>34</v>
      </c>
      <c r="H632" t="s">
        <v>1566</v>
      </c>
      <c r="I632">
        <f>221-91-567-8901</f>
        <v>-9338</v>
      </c>
      <c r="J632" s="1">
        <v>44673</v>
      </c>
      <c r="K632" s="1">
        <v>45302</v>
      </c>
      <c r="L632">
        <v>76600.399999999994</v>
      </c>
      <c r="M632">
        <v>38800.75</v>
      </c>
      <c r="N632">
        <v>710</v>
      </c>
      <c r="O632">
        <v>129000</v>
      </c>
      <c r="P632" t="s">
        <v>26</v>
      </c>
      <c r="Q632" t="s">
        <v>27</v>
      </c>
      <c r="R632">
        <v>0</v>
      </c>
      <c r="S632" t="s">
        <v>28</v>
      </c>
    </row>
    <row r="633" spans="1:19">
      <c r="A633" t="s">
        <v>562</v>
      </c>
      <c r="B633" t="s">
        <v>1567</v>
      </c>
      <c r="C633" t="s">
        <v>39</v>
      </c>
      <c r="D633" t="s">
        <v>47</v>
      </c>
      <c r="E633" t="s">
        <v>48</v>
      </c>
      <c r="F633">
        <v>63</v>
      </c>
      <c r="G633" t="s">
        <v>24</v>
      </c>
      <c r="H633" t="s">
        <v>1568</v>
      </c>
      <c r="I633">
        <f>44-79-8901-2345</f>
        <v>-11281</v>
      </c>
      <c r="J633" s="1">
        <v>43546</v>
      </c>
      <c r="K633" s="1">
        <v>45300</v>
      </c>
      <c r="L633">
        <v>180200.6</v>
      </c>
      <c r="M633">
        <v>95000.25</v>
      </c>
      <c r="N633">
        <v>675</v>
      </c>
      <c r="O633">
        <v>198000</v>
      </c>
      <c r="P633" t="s">
        <v>76</v>
      </c>
      <c r="Q633" t="s">
        <v>27</v>
      </c>
      <c r="R633">
        <v>0</v>
      </c>
      <c r="S633" t="s">
        <v>28</v>
      </c>
    </row>
    <row r="634" spans="1:19">
      <c r="A634" t="s">
        <v>565</v>
      </c>
      <c r="B634" t="s">
        <v>1569</v>
      </c>
      <c r="C634" t="s">
        <v>52</v>
      </c>
      <c r="D634" t="s">
        <v>233</v>
      </c>
      <c r="E634" t="s">
        <v>296</v>
      </c>
      <c r="F634">
        <v>48</v>
      </c>
      <c r="G634" t="s">
        <v>34</v>
      </c>
      <c r="H634" t="s">
        <v>1570</v>
      </c>
      <c r="I634">
        <f>82-10-7890-1234</f>
        <v>-9052</v>
      </c>
      <c r="J634" s="1">
        <v>44461</v>
      </c>
      <c r="K634" s="1">
        <v>45301</v>
      </c>
      <c r="L634">
        <v>53000.75</v>
      </c>
      <c r="M634">
        <v>29900.799999999999</v>
      </c>
      <c r="N634">
        <v>725</v>
      </c>
      <c r="O634">
        <v>95000</v>
      </c>
      <c r="P634" t="s">
        <v>26</v>
      </c>
      <c r="Q634" t="s">
        <v>27</v>
      </c>
      <c r="R634">
        <v>0</v>
      </c>
      <c r="S634" t="s">
        <v>28</v>
      </c>
    </row>
    <row r="635" spans="1:19">
      <c r="A635" t="s">
        <v>568</v>
      </c>
      <c r="B635" t="s">
        <v>1571</v>
      </c>
      <c r="C635" t="s">
        <v>57</v>
      </c>
      <c r="D635" t="s">
        <v>79</v>
      </c>
      <c r="E635" t="s">
        <v>102</v>
      </c>
      <c r="F635">
        <v>46</v>
      </c>
      <c r="G635" t="s">
        <v>24</v>
      </c>
      <c r="H635" t="s">
        <v>1572</v>
      </c>
      <c r="I635">
        <f>971-50-901-2345</f>
        <v>-2325</v>
      </c>
      <c r="J635" s="1">
        <v>44917</v>
      </c>
      <c r="K635" s="1">
        <v>45303</v>
      </c>
      <c r="L635">
        <v>31000.400000000001</v>
      </c>
      <c r="M635">
        <v>12400.9</v>
      </c>
      <c r="N635">
        <v>740</v>
      </c>
      <c r="O635">
        <v>81000</v>
      </c>
      <c r="P635" t="s">
        <v>36</v>
      </c>
      <c r="Q635" t="s">
        <v>27</v>
      </c>
      <c r="R635">
        <v>0</v>
      </c>
      <c r="S635" t="s">
        <v>28</v>
      </c>
    </row>
    <row r="636" spans="1:19">
      <c r="A636" t="s">
        <v>571</v>
      </c>
      <c r="B636" t="s">
        <v>1573</v>
      </c>
      <c r="C636" t="s">
        <v>21</v>
      </c>
      <c r="D636" t="s">
        <v>63</v>
      </c>
      <c r="E636" t="s">
        <v>106</v>
      </c>
      <c r="F636">
        <v>69</v>
      </c>
      <c r="G636" t="s">
        <v>34</v>
      </c>
      <c r="H636" t="s">
        <v>1574</v>
      </c>
      <c r="I636">
        <f>55-21-99901-2345</f>
        <v>-102212</v>
      </c>
      <c r="J636" s="1">
        <v>43091</v>
      </c>
      <c r="K636" s="1">
        <v>45299</v>
      </c>
      <c r="L636">
        <v>269100.90000000002</v>
      </c>
      <c r="M636">
        <v>85000.6</v>
      </c>
      <c r="N636">
        <v>830</v>
      </c>
      <c r="O636">
        <v>293000</v>
      </c>
      <c r="P636" t="s">
        <v>36</v>
      </c>
      <c r="Q636" t="s">
        <v>27</v>
      </c>
      <c r="R636">
        <v>0</v>
      </c>
      <c r="S636" t="s">
        <v>28</v>
      </c>
    </row>
    <row r="637" spans="1:19">
      <c r="A637" t="s">
        <v>574</v>
      </c>
      <c r="B637" t="s">
        <v>1575</v>
      </c>
      <c r="C637" t="s">
        <v>39</v>
      </c>
      <c r="D637" t="s">
        <v>68</v>
      </c>
      <c r="E637" t="s">
        <v>114</v>
      </c>
      <c r="F637">
        <v>61</v>
      </c>
      <c r="G637" t="s">
        <v>24</v>
      </c>
      <c r="H637" t="s">
        <v>1576</v>
      </c>
      <c r="I637">
        <f>234-828-901-2345</f>
        <v>-3840</v>
      </c>
      <c r="J637" s="1">
        <v>43689</v>
      </c>
      <c r="K637" s="1">
        <v>45300</v>
      </c>
      <c r="L637">
        <v>158000.25</v>
      </c>
      <c r="M637">
        <v>87000.4</v>
      </c>
      <c r="N637">
        <v>655</v>
      </c>
      <c r="O637">
        <v>183000</v>
      </c>
      <c r="P637" t="s">
        <v>76</v>
      </c>
      <c r="Q637" t="s">
        <v>27</v>
      </c>
      <c r="R637">
        <v>0</v>
      </c>
      <c r="S637" t="s">
        <v>28</v>
      </c>
    </row>
    <row r="638" spans="1:19">
      <c r="A638" t="s">
        <v>577</v>
      </c>
      <c r="B638" t="s">
        <v>1577</v>
      </c>
      <c r="C638" t="s">
        <v>46</v>
      </c>
      <c r="D638" t="s">
        <v>85</v>
      </c>
      <c r="E638" t="s">
        <v>130</v>
      </c>
      <c r="F638">
        <v>50</v>
      </c>
      <c r="G638" t="s">
        <v>34</v>
      </c>
      <c r="H638" t="s">
        <v>1578</v>
      </c>
      <c r="I638">
        <f>1-604-555-198</f>
        <v>-1356</v>
      </c>
      <c r="J638" s="1">
        <v>44583</v>
      </c>
      <c r="K638" s="1">
        <v>45302</v>
      </c>
      <c r="L638">
        <v>95500.6</v>
      </c>
      <c r="M638">
        <v>46800.75</v>
      </c>
      <c r="N638">
        <v>760</v>
      </c>
      <c r="O638">
        <v>152000</v>
      </c>
      <c r="P638" t="s">
        <v>26</v>
      </c>
      <c r="Q638" t="s">
        <v>27</v>
      </c>
      <c r="R638">
        <v>0</v>
      </c>
      <c r="S638" t="s">
        <v>28</v>
      </c>
    </row>
    <row r="639" spans="1:19">
      <c r="A639" t="s">
        <v>458</v>
      </c>
      <c r="B639" t="s">
        <v>1579</v>
      </c>
      <c r="C639" t="s">
        <v>31</v>
      </c>
      <c r="D639" t="s">
        <v>460</v>
      </c>
      <c r="E639" t="s">
        <v>461</v>
      </c>
      <c r="F639">
        <v>41</v>
      </c>
      <c r="G639" t="s">
        <v>24</v>
      </c>
      <c r="H639" t="s">
        <v>1580</v>
      </c>
      <c r="I639">
        <f>62-825-6789-123</f>
        <v>-7675</v>
      </c>
      <c r="J639" s="1">
        <v>45350</v>
      </c>
      <c r="K639" s="1">
        <v>45306</v>
      </c>
      <c r="L639">
        <v>14900.25</v>
      </c>
      <c r="M639">
        <v>8800.7999999999993</v>
      </c>
      <c r="N639">
        <v>695</v>
      </c>
      <c r="O639">
        <v>52000</v>
      </c>
      <c r="P639" t="s">
        <v>26</v>
      </c>
      <c r="Q639" t="s">
        <v>43</v>
      </c>
      <c r="R639">
        <v>0</v>
      </c>
      <c r="S639" t="s">
        <v>28</v>
      </c>
    </row>
    <row r="640" spans="1:19">
      <c r="A640" t="s">
        <v>582</v>
      </c>
      <c r="B640" t="s">
        <v>1581</v>
      </c>
      <c r="C640" t="s">
        <v>57</v>
      </c>
      <c r="D640" t="s">
        <v>22</v>
      </c>
      <c r="E640" t="s">
        <v>53</v>
      </c>
      <c r="F640">
        <v>44</v>
      </c>
      <c r="G640" t="s">
        <v>34</v>
      </c>
      <c r="H640" t="s">
        <v>1582</v>
      </c>
      <c r="I640">
        <f>1-773-555-194</f>
        <v>-1521</v>
      </c>
      <c r="J640" s="1">
        <v>44856</v>
      </c>
      <c r="K640" s="1">
        <v>45303</v>
      </c>
      <c r="L640">
        <v>29900.9</v>
      </c>
      <c r="M640">
        <v>12000.25</v>
      </c>
      <c r="N640">
        <v>755</v>
      </c>
      <c r="O640">
        <v>74000</v>
      </c>
      <c r="P640" t="s">
        <v>36</v>
      </c>
      <c r="Q640" t="s">
        <v>27</v>
      </c>
      <c r="R640">
        <v>0</v>
      </c>
      <c r="S640" t="s">
        <v>28</v>
      </c>
    </row>
    <row r="641" spans="1:19">
      <c r="A641" t="s">
        <v>55</v>
      </c>
      <c r="B641" t="s">
        <v>1583</v>
      </c>
      <c r="C641" t="s">
        <v>39</v>
      </c>
      <c r="D641" t="s">
        <v>58</v>
      </c>
      <c r="E641" t="s">
        <v>122</v>
      </c>
      <c r="F641">
        <v>62</v>
      </c>
      <c r="G641" t="s">
        <v>24</v>
      </c>
      <c r="H641" t="s">
        <v>1584</v>
      </c>
      <c r="I641">
        <f>86-138-123-4567</f>
        <v>-4742</v>
      </c>
      <c r="J641" s="1">
        <v>43607</v>
      </c>
      <c r="K641" s="1">
        <v>45300</v>
      </c>
      <c r="L641">
        <v>190900.4</v>
      </c>
      <c r="M641">
        <v>100000.75</v>
      </c>
      <c r="N641">
        <v>685</v>
      </c>
      <c r="O641">
        <v>208000</v>
      </c>
      <c r="P641" t="s">
        <v>76</v>
      </c>
      <c r="Q641" t="s">
        <v>27</v>
      </c>
      <c r="R641">
        <v>0</v>
      </c>
      <c r="S641" t="s">
        <v>28</v>
      </c>
    </row>
    <row r="642" spans="1:19">
      <c r="A642" t="s">
        <v>469</v>
      </c>
      <c r="B642" t="s">
        <v>1585</v>
      </c>
      <c r="C642" t="s">
        <v>52</v>
      </c>
      <c r="D642" t="s">
        <v>471</v>
      </c>
      <c r="E642" t="s">
        <v>472</v>
      </c>
      <c r="F642">
        <v>53</v>
      </c>
      <c r="G642" t="s">
        <v>34</v>
      </c>
      <c r="H642" t="s">
        <v>1586</v>
      </c>
      <c r="I642">
        <f>48-713-567-890</f>
        <v>-2122</v>
      </c>
      <c r="J642" s="1">
        <v>44239</v>
      </c>
      <c r="K642" s="1">
        <v>45301</v>
      </c>
      <c r="L642">
        <v>59900.800000000003</v>
      </c>
      <c r="M642">
        <v>33000.6</v>
      </c>
      <c r="N642">
        <v>715</v>
      </c>
      <c r="O642">
        <v>107000</v>
      </c>
      <c r="P642" t="s">
        <v>26</v>
      </c>
      <c r="Q642" t="s">
        <v>27</v>
      </c>
      <c r="R642">
        <v>0</v>
      </c>
      <c r="S642" t="s">
        <v>28</v>
      </c>
    </row>
    <row r="643" spans="1:19">
      <c r="A643" t="s">
        <v>474</v>
      </c>
      <c r="B643" t="s">
        <v>1587</v>
      </c>
      <c r="C643" t="s">
        <v>46</v>
      </c>
      <c r="D643" t="s">
        <v>345</v>
      </c>
      <c r="E643" t="s">
        <v>476</v>
      </c>
      <c r="F643">
        <v>56</v>
      </c>
      <c r="G643" t="s">
        <v>24</v>
      </c>
      <c r="H643" t="s">
        <v>1588</v>
      </c>
      <c r="I643">
        <f>880-1812-789012</f>
        <v>-789944</v>
      </c>
      <c r="J643" s="1">
        <v>44157</v>
      </c>
      <c r="K643" s="1">
        <v>45302</v>
      </c>
      <c r="L643">
        <v>87700.25</v>
      </c>
      <c r="M643">
        <v>43000.4</v>
      </c>
      <c r="N643">
        <v>680</v>
      </c>
      <c r="O643">
        <v>136000</v>
      </c>
      <c r="P643" t="s">
        <v>26</v>
      </c>
      <c r="Q643" t="s">
        <v>27</v>
      </c>
      <c r="R643">
        <v>0</v>
      </c>
      <c r="S643" t="s">
        <v>28</v>
      </c>
    </row>
    <row r="644" spans="1:19">
      <c r="A644" t="s">
        <v>592</v>
      </c>
      <c r="B644" t="s">
        <v>1589</v>
      </c>
      <c r="C644" t="s">
        <v>84</v>
      </c>
      <c r="D644" t="s">
        <v>32</v>
      </c>
      <c r="E644" t="s">
        <v>90</v>
      </c>
      <c r="F644">
        <v>36</v>
      </c>
      <c r="G644" t="s">
        <v>34</v>
      </c>
      <c r="H644" t="s">
        <v>1590</v>
      </c>
      <c r="I644">
        <f>81-90-9012-3456</f>
        <v>-12477</v>
      </c>
      <c r="J644" s="1">
        <v>45359</v>
      </c>
      <c r="K644" s="1">
        <v>45304</v>
      </c>
      <c r="L644">
        <v>3250.4</v>
      </c>
      <c r="M644">
        <v>11800.75</v>
      </c>
      <c r="N644">
        <v>610</v>
      </c>
      <c r="O644">
        <v>32000</v>
      </c>
      <c r="P644" t="s">
        <v>76</v>
      </c>
      <c r="Q644" t="s">
        <v>43</v>
      </c>
      <c r="R644">
        <v>0</v>
      </c>
      <c r="S644" t="s">
        <v>28</v>
      </c>
    </row>
    <row r="645" spans="1:19">
      <c r="A645" t="s">
        <v>595</v>
      </c>
      <c r="B645" t="s">
        <v>1591</v>
      </c>
      <c r="C645" t="s">
        <v>21</v>
      </c>
      <c r="D645" t="s">
        <v>209</v>
      </c>
      <c r="E645" t="s">
        <v>210</v>
      </c>
      <c r="F645">
        <v>68</v>
      </c>
      <c r="G645" t="s">
        <v>24</v>
      </c>
      <c r="H645" t="s">
        <v>1592</v>
      </c>
      <c r="I645">
        <f>52-55-7890-123</f>
        <v>-8016</v>
      </c>
      <c r="J645" s="1">
        <v>43303</v>
      </c>
      <c r="K645" s="1">
        <v>45299</v>
      </c>
      <c r="L645">
        <v>288900.8</v>
      </c>
      <c r="M645">
        <v>91000.25</v>
      </c>
      <c r="N645">
        <v>825</v>
      </c>
      <c r="O645">
        <v>288000</v>
      </c>
      <c r="P645" t="s">
        <v>36</v>
      </c>
      <c r="Q645" t="s">
        <v>27</v>
      </c>
      <c r="R645">
        <v>0</v>
      </c>
      <c r="S645" t="s">
        <v>28</v>
      </c>
    </row>
    <row r="646" spans="1:19">
      <c r="A646" t="s">
        <v>226</v>
      </c>
      <c r="B646" t="s">
        <v>1593</v>
      </c>
      <c r="C646" t="s">
        <v>57</v>
      </c>
      <c r="D646" t="s">
        <v>228</v>
      </c>
      <c r="E646" t="s">
        <v>678</v>
      </c>
      <c r="F646">
        <v>43</v>
      </c>
      <c r="G646" t="s">
        <v>34</v>
      </c>
      <c r="H646" t="s">
        <v>1594</v>
      </c>
      <c r="I646">
        <f>254-737-890-123</f>
        <v>-1496</v>
      </c>
      <c r="J646" s="1">
        <v>45038</v>
      </c>
      <c r="K646" s="1">
        <v>45305</v>
      </c>
      <c r="L646">
        <v>26600.75</v>
      </c>
      <c r="M646">
        <v>10400.4</v>
      </c>
      <c r="N646">
        <v>725</v>
      </c>
      <c r="O646">
        <v>64000</v>
      </c>
      <c r="P646" t="s">
        <v>36</v>
      </c>
      <c r="Q646" t="s">
        <v>27</v>
      </c>
      <c r="R646">
        <v>0</v>
      </c>
      <c r="S646" t="s">
        <v>28</v>
      </c>
    </row>
    <row r="647" spans="1:19">
      <c r="A647" t="s">
        <v>488</v>
      </c>
      <c r="B647" t="s">
        <v>1595</v>
      </c>
      <c r="C647" t="s">
        <v>39</v>
      </c>
      <c r="D647" t="s">
        <v>304</v>
      </c>
      <c r="E647" t="s">
        <v>304</v>
      </c>
      <c r="F647">
        <v>60</v>
      </c>
      <c r="G647" t="s">
        <v>24</v>
      </c>
      <c r="H647" t="s">
        <v>1596</v>
      </c>
      <c r="I647">
        <f>65-9690-1234</f>
        <v>-10859</v>
      </c>
      <c r="J647" s="1">
        <v>43781</v>
      </c>
      <c r="K647" s="1">
        <v>45300</v>
      </c>
      <c r="L647">
        <v>169100.6</v>
      </c>
      <c r="M647">
        <v>91000.9</v>
      </c>
      <c r="N647">
        <v>675</v>
      </c>
      <c r="O647">
        <v>188000</v>
      </c>
      <c r="P647" t="s">
        <v>76</v>
      </c>
      <c r="Q647" t="s">
        <v>27</v>
      </c>
      <c r="R647">
        <v>0</v>
      </c>
      <c r="S647" t="s">
        <v>28</v>
      </c>
    </row>
    <row r="648" spans="1:19">
      <c r="A648" t="s">
        <v>491</v>
      </c>
      <c r="B648" t="s">
        <v>1597</v>
      </c>
      <c r="C648" t="s">
        <v>52</v>
      </c>
      <c r="D648" t="s">
        <v>493</v>
      </c>
      <c r="E648" t="s">
        <v>494</v>
      </c>
      <c r="F648">
        <v>51</v>
      </c>
      <c r="G648" t="s">
        <v>34</v>
      </c>
      <c r="H648" t="s">
        <v>1598</v>
      </c>
      <c r="I648">
        <f>30-705-678-9012</f>
        <v>-10365</v>
      </c>
      <c r="J648" s="1">
        <v>44552</v>
      </c>
      <c r="K648" s="1">
        <v>45302</v>
      </c>
      <c r="L648">
        <v>54100.4</v>
      </c>
      <c r="M648">
        <v>28800.25</v>
      </c>
      <c r="N648">
        <v>705</v>
      </c>
      <c r="O648">
        <v>96000</v>
      </c>
      <c r="P648" t="s">
        <v>26</v>
      </c>
      <c r="Q648" t="s">
        <v>27</v>
      </c>
      <c r="R648">
        <v>0</v>
      </c>
      <c r="S648" t="s">
        <v>28</v>
      </c>
    </row>
    <row r="649" spans="1:19">
      <c r="A649" t="s">
        <v>496</v>
      </c>
      <c r="B649" t="s">
        <v>1599</v>
      </c>
      <c r="C649" t="s">
        <v>46</v>
      </c>
      <c r="D649" t="s">
        <v>321</v>
      </c>
      <c r="E649" t="s">
        <v>498</v>
      </c>
      <c r="F649">
        <v>54</v>
      </c>
      <c r="G649" t="s">
        <v>24</v>
      </c>
      <c r="H649" t="s">
        <v>1600</v>
      </c>
      <c r="I649">
        <f>61-437-890-123</f>
        <v>-1389</v>
      </c>
      <c r="J649" s="1">
        <v>44034</v>
      </c>
      <c r="K649" s="1">
        <v>45301</v>
      </c>
      <c r="L649">
        <v>101000.75</v>
      </c>
      <c r="M649">
        <v>49900.800000000003</v>
      </c>
      <c r="N649">
        <v>730</v>
      </c>
      <c r="O649">
        <v>162000</v>
      </c>
      <c r="P649" t="s">
        <v>26</v>
      </c>
      <c r="Q649" t="s">
        <v>27</v>
      </c>
      <c r="R649">
        <v>0</v>
      </c>
      <c r="S649" t="s">
        <v>28</v>
      </c>
    </row>
    <row r="650" spans="1:19">
      <c r="A650" t="s">
        <v>324</v>
      </c>
      <c r="B650" t="s">
        <v>1601</v>
      </c>
      <c r="C650" t="s">
        <v>31</v>
      </c>
      <c r="D650" t="s">
        <v>313</v>
      </c>
      <c r="E650" t="s">
        <v>314</v>
      </c>
      <c r="F650">
        <v>39</v>
      </c>
      <c r="G650" t="s">
        <v>34</v>
      </c>
      <c r="H650" t="s">
        <v>1602</v>
      </c>
      <c r="I650">
        <f>92-335-5432109</f>
        <v>-5432352</v>
      </c>
      <c r="J650" s="1">
        <v>45356</v>
      </c>
      <c r="K650" s="1">
        <v>45306</v>
      </c>
      <c r="L650">
        <v>13000.9</v>
      </c>
      <c r="M650">
        <v>7900.75</v>
      </c>
      <c r="N650">
        <v>685</v>
      </c>
      <c r="O650">
        <v>49000</v>
      </c>
      <c r="P650" t="s">
        <v>26</v>
      </c>
      <c r="Q650" t="s">
        <v>43</v>
      </c>
      <c r="R650">
        <v>0</v>
      </c>
      <c r="S650" t="s">
        <v>28</v>
      </c>
    </row>
    <row r="651" spans="1:19">
      <c r="A651" t="s">
        <v>503</v>
      </c>
      <c r="B651" t="s">
        <v>1603</v>
      </c>
      <c r="C651" t="s">
        <v>21</v>
      </c>
      <c r="D651" t="s">
        <v>32</v>
      </c>
      <c r="E651" t="s">
        <v>33</v>
      </c>
      <c r="F651">
        <v>71</v>
      </c>
      <c r="G651" t="s">
        <v>24</v>
      </c>
      <c r="H651" t="s">
        <v>1604</v>
      </c>
      <c r="I651">
        <f>81-80-5678-9012</f>
        <v>-14689</v>
      </c>
      <c r="J651" s="1">
        <v>43030</v>
      </c>
      <c r="K651" s="1">
        <v>45299</v>
      </c>
      <c r="L651">
        <v>299800.25</v>
      </c>
      <c r="M651">
        <v>95000.4</v>
      </c>
      <c r="N651">
        <v>840</v>
      </c>
      <c r="O651">
        <v>303000</v>
      </c>
      <c r="P651" t="s">
        <v>36</v>
      </c>
      <c r="Q651" t="s">
        <v>27</v>
      </c>
      <c r="R651">
        <v>0</v>
      </c>
      <c r="S651" t="s">
        <v>28</v>
      </c>
    </row>
    <row r="652" spans="1:19">
      <c r="A652" t="s">
        <v>506</v>
      </c>
      <c r="B652" t="s">
        <v>1605</v>
      </c>
      <c r="C652" t="s">
        <v>39</v>
      </c>
      <c r="D652" t="s">
        <v>68</v>
      </c>
      <c r="E652" t="s">
        <v>69</v>
      </c>
      <c r="F652">
        <v>63</v>
      </c>
      <c r="G652" t="s">
        <v>34</v>
      </c>
      <c r="H652" t="s">
        <v>1606</v>
      </c>
      <c r="I652">
        <f>234-827-890-1234</f>
        <v>-2717</v>
      </c>
      <c r="J652" s="1">
        <v>43546</v>
      </c>
      <c r="K652" s="1">
        <v>45300</v>
      </c>
      <c r="L652">
        <v>180200.4</v>
      </c>
      <c r="M652">
        <v>95000.75</v>
      </c>
      <c r="N652">
        <v>650</v>
      </c>
      <c r="O652">
        <v>198000</v>
      </c>
      <c r="P652" t="s">
        <v>76</v>
      </c>
      <c r="Q652" t="s">
        <v>27</v>
      </c>
      <c r="R652">
        <v>0</v>
      </c>
      <c r="S652" t="s">
        <v>28</v>
      </c>
    </row>
    <row r="653" spans="1:19">
      <c r="A653" t="s">
        <v>509</v>
      </c>
      <c r="B653" t="s">
        <v>1607</v>
      </c>
      <c r="C653" t="s">
        <v>46</v>
      </c>
      <c r="D653" t="s">
        <v>73</v>
      </c>
      <c r="E653" t="s">
        <v>126</v>
      </c>
      <c r="F653">
        <v>50</v>
      </c>
      <c r="G653" t="s">
        <v>24</v>
      </c>
      <c r="H653" t="s">
        <v>1608</v>
      </c>
      <c r="I653">
        <f>49-189-123456</f>
        <v>-123596</v>
      </c>
      <c r="J653" s="1">
        <v>44764</v>
      </c>
      <c r="K653" s="1">
        <v>45303</v>
      </c>
      <c r="L653">
        <v>88800.4</v>
      </c>
      <c r="M653">
        <v>44100.25</v>
      </c>
      <c r="N653">
        <v>745</v>
      </c>
      <c r="O653">
        <v>142000</v>
      </c>
      <c r="P653" t="s">
        <v>26</v>
      </c>
      <c r="Q653" t="s">
        <v>27</v>
      </c>
      <c r="R653">
        <v>0</v>
      </c>
      <c r="S653" t="s">
        <v>28</v>
      </c>
    </row>
    <row r="654" spans="1:19">
      <c r="A654" t="s">
        <v>513</v>
      </c>
      <c r="B654" t="s">
        <v>1609</v>
      </c>
      <c r="C654" t="s">
        <v>57</v>
      </c>
      <c r="D654" t="s">
        <v>58</v>
      </c>
      <c r="E654" t="s">
        <v>59</v>
      </c>
      <c r="F654">
        <v>45</v>
      </c>
      <c r="G654" t="s">
        <v>34</v>
      </c>
      <c r="H654" t="s">
        <v>1610</v>
      </c>
      <c r="I654">
        <f>86-137-123-4567</f>
        <v>-4741</v>
      </c>
      <c r="J654" s="1">
        <v>44948</v>
      </c>
      <c r="K654" s="1">
        <v>45302</v>
      </c>
      <c r="L654">
        <v>28800.799999999999</v>
      </c>
      <c r="M654">
        <v>11600.9</v>
      </c>
      <c r="N654">
        <v>765</v>
      </c>
      <c r="O654">
        <v>74000</v>
      </c>
      <c r="P654" t="s">
        <v>36</v>
      </c>
      <c r="Q654" t="s">
        <v>27</v>
      </c>
      <c r="R654">
        <v>0</v>
      </c>
      <c r="S654" t="s">
        <v>28</v>
      </c>
    </row>
    <row r="655" spans="1:19">
      <c r="A655" t="s">
        <v>516</v>
      </c>
      <c r="B655" t="s">
        <v>1611</v>
      </c>
      <c r="C655" t="s">
        <v>52</v>
      </c>
      <c r="D655" t="s">
        <v>277</v>
      </c>
      <c r="E655" t="s">
        <v>278</v>
      </c>
      <c r="F655">
        <v>58</v>
      </c>
      <c r="G655" t="s">
        <v>24</v>
      </c>
      <c r="H655" t="s">
        <v>1612</v>
      </c>
      <c r="I655">
        <f>20-122-765-4321</f>
        <v>-5188</v>
      </c>
      <c r="J655" s="1">
        <v>44218</v>
      </c>
      <c r="K655" s="1">
        <v>45301</v>
      </c>
      <c r="L655">
        <v>62100.75</v>
      </c>
      <c r="M655">
        <v>35200.400000000001</v>
      </c>
      <c r="N655">
        <v>675</v>
      </c>
      <c r="O655">
        <v>114000</v>
      </c>
      <c r="P655" t="s">
        <v>26</v>
      </c>
      <c r="Q655" t="s">
        <v>27</v>
      </c>
      <c r="R655">
        <v>0</v>
      </c>
      <c r="S655" t="s">
        <v>28</v>
      </c>
    </row>
    <row r="656" spans="1:19">
      <c r="A656" t="s">
        <v>519</v>
      </c>
      <c r="B656" t="s">
        <v>1613</v>
      </c>
      <c r="C656" t="s">
        <v>84</v>
      </c>
      <c r="D656" t="s">
        <v>183</v>
      </c>
      <c r="E656" t="s">
        <v>273</v>
      </c>
      <c r="F656">
        <v>37</v>
      </c>
      <c r="G656" t="s">
        <v>34</v>
      </c>
      <c r="H656" t="s">
        <v>1614</v>
      </c>
      <c r="I656">
        <f>33-6-7890-1234</f>
        <v>-9097</v>
      </c>
      <c r="J656" s="1">
        <v>45363</v>
      </c>
      <c r="K656" s="1">
        <v>45304</v>
      </c>
      <c r="L656">
        <v>3500.25</v>
      </c>
      <c r="M656">
        <v>13000.6</v>
      </c>
      <c r="N656">
        <v>615</v>
      </c>
      <c r="O656">
        <v>34000</v>
      </c>
      <c r="P656" t="s">
        <v>76</v>
      </c>
      <c r="Q656" t="s">
        <v>43</v>
      </c>
      <c r="R656">
        <v>0</v>
      </c>
      <c r="S656" t="s">
        <v>28</v>
      </c>
    </row>
    <row r="657" spans="1:19">
      <c r="A657" t="s">
        <v>522</v>
      </c>
      <c r="B657" t="s">
        <v>1615</v>
      </c>
      <c r="C657" t="s">
        <v>39</v>
      </c>
      <c r="D657" t="s">
        <v>40</v>
      </c>
      <c r="E657" t="s">
        <v>94</v>
      </c>
      <c r="F657">
        <v>65</v>
      </c>
      <c r="G657" t="s">
        <v>24</v>
      </c>
      <c r="H657" t="s">
        <v>1616</v>
      </c>
      <c r="I657">
        <f>91-987-654-3210</f>
        <v>-4760</v>
      </c>
      <c r="J657" s="1">
        <v>43518</v>
      </c>
      <c r="K657" s="1">
        <v>45299</v>
      </c>
      <c r="L657">
        <v>214800.8</v>
      </c>
      <c r="M657">
        <v>108000.25</v>
      </c>
      <c r="N657">
        <v>660</v>
      </c>
      <c r="O657">
        <v>233000</v>
      </c>
      <c r="P657" t="s">
        <v>76</v>
      </c>
      <c r="Q657" t="s">
        <v>27</v>
      </c>
      <c r="R657">
        <v>0</v>
      </c>
      <c r="S657" t="s">
        <v>28</v>
      </c>
    </row>
    <row r="658" spans="1:19">
      <c r="A658" t="s">
        <v>306</v>
      </c>
      <c r="B658" t="s">
        <v>1617</v>
      </c>
      <c r="C658" t="s">
        <v>46</v>
      </c>
      <c r="D658" t="s">
        <v>209</v>
      </c>
      <c r="E658" t="s">
        <v>210</v>
      </c>
      <c r="F658">
        <v>52</v>
      </c>
      <c r="G658" t="s">
        <v>34</v>
      </c>
      <c r="H658" t="s">
        <v>1618</v>
      </c>
      <c r="I658">
        <f>52-55-8901-123</f>
        <v>-9027</v>
      </c>
      <c r="J658" s="1">
        <v>44369</v>
      </c>
      <c r="K658" s="1">
        <v>45302</v>
      </c>
      <c r="L658">
        <v>83200.899999999994</v>
      </c>
      <c r="M658">
        <v>41000.75</v>
      </c>
      <c r="N658">
        <v>730</v>
      </c>
      <c r="O658">
        <v>137000</v>
      </c>
      <c r="P658" t="s">
        <v>26</v>
      </c>
      <c r="Q658" t="s">
        <v>27</v>
      </c>
      <c r="R658">
        <v>0</v>
      </c>
      <c r="S658" t="s">
        <v>28</v>
      </c>
    </row>
    <row r="659" spans="1:19">
      <c r="A659" t="s">
        <v>527</v>
      </c>
      <c r="B659" t="s">
        <v>1619</v>
      </c>
      <c r="C659" t="s">
        <v>31</v>
      </c>
      <c r="D659" t="s">
        <v>32</v>
      </c>
      <c r="E659" t="s">
        <v>90</v>
      </c>
      <c r="F659">
        <v>41</v>
      </c>
      <c r="G659" t="s">
        <v>34</v>
      </c>
      <c r="H659" t="s">
        <v>1620</v>
      </c>
      <c r="I659">
        <f>81-90-6789-123</f>
        <v>-6921</v>
      </c>
      <c r="J659" s="1">
        <v>45359</v>
      </c>
      <c r="K659" s="1">
        <v>45305</v>
      </c>
      <c r="L659">
        <v>14100.4</v>
      </c>
      <c r="M659">
        <v>8000.25</v>
      </c>
      <c r="N659">
        <v>705</v>
      </c>
      <c r="O659">
        <v>51000</v>
      </c>
      <c r="P659" t="s">
        <v>26</v>
      </c>
      <c r="Q659" t="s">
        <v>43</v>
      </c>
      <c r="R659">
        <v>0</v>
      </c>
      <c r="S659" t="s">
        <v>28</v>
      </c>
    </row>
    <row r="660" spans="1:19">
      <c r="A660" t="s">
        <v>530</v>
      </c>
      <c r="B660" t="s">
        <v>1621</v>
      </c>
      <c r="C660" t="s">
        <v>57</v>
      </c>
      <c r="D660" t="s">
        <v>219</v>
      </c>
      <c r="E660" t="s">
        <v>220</v>
      </c>
      <c r="F660">
        <v>46</v>
      </c>
      <c r="G660" t="s">
        <v>24</v>
      </c>
      <c r="H660" t="s">
        <v>1622</v>
      </c>
      <c r="I660">
        <f>233-68-901-2345</f>
        <v>-3081</v>
      </c>
      <c r="J660" s="1">
        <v>44917</v>
      </c>
      <c r="K660" s="1">
        <v>45303</v>
      </c>
      <c r="L660">
        <v>27700.6</v>
      </c>
      <c r="M660">
        <v>11000.8</v>
      </c>
      <c r="N660">
        <v>710</v>
      </c>
      <c r="O660">
        <v>67000</v>
      </c>
      <c r="P660" t="s">
        <v>36</v>
      </c>
      <c r="Q660" t="s">
        <v>27</v>
      </c>
      <c r="R660">
        <v>0</v>
      </c>
      <c r="S660" t="s">
        <v>28</v>
      </c>
    </row>
    <row r="661" spans="1:19">
      <c r="A661" t="s">
        <v>533</v>
      </c>
      <c r="B661" t="s">
        <v>1623</v>
      </c>
      <c r="C661" t="s">
        <v>52</v>
      </c>
      <c r="D661" t="s">
        <v>204</v>
      </c>
      <c r="E661" t="s">
        <v>205</v>
      </c>
      <c r="F661">
        <v>53</v>
      </c>
      <c r="G661" t="s">
        <v>34</v>
      </c>
      <c r="H661" t="s">
        <v>1624</v>
      </c>
      <c r="I661">
        <f>7-921-543-21-9</f>
        <v>-1487</v>
      </c>
      <c r="J661" s="1">
        <v>44218</v>
      </c>
      <c r="K661" s="1">
        <v>45301</v>
      </c>
      <c r="L661">
        <v>59000.25</v>
      </c>
      <c r="M661">
        <v>32100.9</v>
      </c>
      <c r="N661">
        <v>695</v>
      </c>
      <c r="O661">
        <v>102000</v>
      </c>
      <c r="P661" t="s">
        <v>26</v>
      </c>
      <c r="Q661" t="s">
        <v>27</v>
      </c>
      <c r="R661">
        <v>0</v>
      </c>
      <c r="S661" t="s">
        <v>28</v>
      </c>
    </row>
    <row r="662" spans="1:19">
      <c r="A662" t="s">
        <v>536</v>
      </c>
      <c r="B662" t="s">
        <v>1625</v>
      </c>
      <c r="C662" t="s">
        <v>39</v>
      </c>
      <c r="D662" t="s">
        <v>195</v>
      </c>
      <c r="E662" t="s">
        <v>196</v>
      </c>
      <c r="F662">
        <v>61</v>
      </c>
      <c r="G662" t="s">
        <v>24</v>
      </c>
      <c r="H662" t="s">
        <v>1626</v>
      </c>
      <c r="I662">
        <f>353-0-890-1234</f>
        <v>-1771</v>
      </c>
      <c r="J662" s="1">
        <v>43668</v>
      </c>
      <c r="K662" s="1">
        <v>45300</v>
      </c>
      <c r="L662">
        <v>147000.4</v>
      </c>
      <c r="M662">
        <v>82000.600000000006</v>
      </c>
      <c r="N662">
        <v>670</v>
      </c>
      <c r="O662">
        <v>169000</v>
      </c>
      <c r="P662" t="s">
        <v>76</v>
      </c>
      <c r="Q662" t="s">
        <v>27</v>
      </c>
      <c r="R662">
        <v>0</v>
      </c>
      <c r="S662" t="s">
        <v>28</v>
      </c>
    </row>
    <row r="663" spans="1:19">
      <c r="A663" t="s">
        <v>539</v>
      </c>
      <c r="B663" t="s">
        <v>1627</v>
      </c>
      <c r="C663" t="s">
        <v>21</v>
      </c>
      <c r="D663" t="s">
        <v>58</v>
      </c>
      <c r="E663" t="s">
        <v>122</v>
      </c>
      <c r="F663">
        <v>69</v>
      </c>
      <c r="G663" t="s">
        <v>34</v>
      </c>
      <c r="H663" t="s">
        <v>1628</v>
      </c>
      <c r="I663">
        <f>86-139-7890-1234</f>
        <v>-9177</v>
      </c>
      <c r="J663" s="1">
        <v>43242</v>
      </c>
      <c r="K663" s="1">
        <v>45299</v>
      </c>
      <c r="L663">
        <v>313900.75</v>
      </c>
      <c r="M663">
        <v>99000.8</v>
      </c>
      <c r="N663">
        <v>835</v>
      </c>
      <c r="O663">
        <v>314000</v>
      </c>
      <c r="P663" t="s">
        <v>36</v>
      </c>
      <c r="Q663" t="s">
        <v>27</v>
      </c>
      <c r="R663">
        <v>0</v>
      </c>
      <c r="S663" t="s">
        <v>28</v>
      </c>
    </row>
    <row r="664" spans="1:19">
      <c r="A664" t="s">
        <v>542</v>
      </c>
      <c r="B664" t="s">
        <v>1629</v>
      </c>
      <c r="C664" t="s">
        <v>52</v>
      </c>
      <c r="D664" t="s">
        <v>68</v>
      </c>
      <c r="E664" t="s">
        <v>114</v>
      </c>
      <c r="F664">
        <v>56</v>
      </c>
      <c r="G664" t="s">
        <v>34</v>
      </c>
      <c r="H664" t="s">
        <v>1630</v>
      </c>
      <c r="I664">
        <f>234-828-901-2345</f>
        <v>-3840</v>
      </c>
      <c r="J664" s="1">
        <v>44187</v>
      </c>
      <c r="K664" s="1">
        <v>45302</v>
      </c>
      <c r="L664">
        <v>67700.600000000006</v>
      </c>
      <c r="M664">
        <v>37700.25</v>
      </c>
      <c r="N664">
        <v>665</v>
      </c>
      <c r="O664">
        <v>122000</v>
      </c>
      <c r="P664" t="s">
        <v>26</v>
      </c>
      <c r="Q664" t="s">
        <v>27</v>
      </c>
      <c r="R664">
        <v>0</v>
      </c>
      <c r="S664" t="s">
        <v>28</v>
      </c>
    </row>
    <row r="665" spans="1:19">
      <c r="A665" t="s">
        <v>545</v>
      </c>
      <c r="B665" t="s">
        <v>1631</v>
      </c>
      <c r="C665" t="s">
        <v>46</v>
      </c>
      <c r="D665" t="s">
        <v>241</v>
      </c>
      <c r="E665" t="s">
        <v>242</v>
      </c>
      <c r="F665">
        <v>48</v>
      </c>
      <c r="G665" t="s">
        <v>24</v>
      </c>
      <c r="H665" t="s">
        <v>1632</v>
      </c>
      <c r="I665">
        <f>39-362-678-9012</f>
        <v>-10013</v>
      </c>
      <c r="J665" s="1">
        <v>44826</v>
      </c>
      <c r="K665" s="1">
        <v>45303</v>
      </c>
      <c r="L665">
        <v>91000.8</v>
      </c>
      <c r="M665">
        <v>45200.4</v>
      </c>
      <c r="N665">
        <v>750</v>
      </c>
      <c r="O665">
        <v>148000</v>
      </c>
      <c r="P665" t="s">
        <v>26</v>
      </c>
      <c r="Q665" t="s">
        <v>27</v>
      </c>
      <c r="R665">
        <v>0</v>
      </c>
      <c r="S665" t="s">
        <v>28</v>
      </c>
    </row>
    <row r="666" spans="1:19">
      <c r="A666" t="s">
        <v>548</v>
      </c>
      <c r="B666" t="s">
        <v>1633</v>
      </c>
      <c r="C666" t="s">
        <v>57</v>
      </c>
      <c r="D666" t="s">
        <v>22</v>
      </c>
      <c r="E666" t="s">
        <v>282</v>
      </c>
      <c r="F666">
        <v>44</v>
      </c>
      <c r="G666" t="s">
        <v>34</v>
      </c>
      <c r="H666" t="s">
        <v>1634</v>
      </c>
      <c r="I666">
        <f>1-206-555-194</f>
        <v>-954</v>
      </c>
      <c r="J666" s="1">
        <v>45007</v>
      </c>
      <c r="K666" s="1">
        <v>45305</v>
      </c>
      <c r="L666">
        <v>29900.9</v>
      </c>
      <c r="M666">
        <v>12000.75</v>
      </c>
      <c r="N666">
        <v>770</v>
      </c>
      <c r="O666">
        <v>79000</v>
      </c>
      <c r="P666" t="s">
        <v>36</v>
      </c>
      <c r="Q666" t="s">
        <v>27</v>
      </c>
      <c r="R666">
        <v>0</v>
      </c>
      <c r="S666" t="s">
        <v>28</v>
      </c>
    </row>
    <row r="667" spans="1:19">
      <c r="A667" t="s">
        <v>551</v>
      </c>
      <c r="B667" t="s">
        <v>1635</v>
      </c>
      <c r="C667" t="s">
        <v>39</v>
      </c>
      <c r="D667" t="s">
        <v>313</v>
      </c>
      <c r="E667" t="s">
        <v>385</v>
      </c>
      <c r="F667">
        <v>67</v>
      </c>
      <c r="G667" t="s">
        <v>24</v>
      </c>
      <c r="H667" t="s">
        <v>1636</v>
      </c>
      <c r="I667">
        <f>92-314-5432109</f>
        <v>-5432331</v>
      </c>
      <c r="J667" s="1">
        <v>43426</v>
      </c>
      <c r="K667" s="1">
        <v>45299</v>
      </c>
      <c r="L667">
        <v>200100.25</v>
      </c>
      <c r="M667">
        <v>103000.8</v>
      </c>
      <c r="N667">
        <v>645</v>
      </c>
      <c r="O667">
        <v>219000</v>
      </c>
      <c r="P667" t="s">
        <v>76</v>
      </c>
      <c r="Q667" t="s">
        <v>27</v>
      </c>
      <c r="R667">
        <v>0</v>
      </c>
      <c r="S667" t="s">
        <v>28</v>
      </c>
    </row>
    <row r="668" spans="1:19">
      <c r="A668" t="s">
        <v>554</v>
      </c>
      <c r="B668" t="s">
        <v>1637</v>
      </c>
      <c r="C668" t="s">
        <v>31</v>
      </c>
      <c r="D668" t="s">
        <v>214</v>
      </c>
      <c r="E668" t="s">
        <v>215</v>
      </c>
      <c r="F668">
        <v>40</v>
      </c>
      <c r="G668" t="s">
        <v>34</v>
      </c>
      <c r="H668" t="s">
        <v>1638</v>
      </c>
      <c r="I668">
        <f>34-637-890-123</f>
        <v>-1616</v>
      </c>
      <c r="J668" s="1">
        <v>45363</v>
      </c>
      <c r="K668" s="1">
        <v>45306</v>
      </c>
      <c r="L668">
        <v>24200.5</v>
      </c>
      <c r="M668">
        <v>11600.4</v>
      </c>
      <c r="N668">
        <v>720</v>
      </c>
      <c r="O668">
        <v>56000</v>
      </c>
      <c r="P668" t="s">
        <v>36</v>
      </c>
      <c r="Q668" t="s">
        <v>27</v>
      </c>
      <c r="R668">
        <v>0</v>
      </c>
      <c r="S668" t="s">
        <v>28</v>
      </c>
    </row>
    <row r="669" spans="1:19">
      <c r="A669" t="s">
        <v>108</v>
      </c>
      <c r="B669" t="s">
        <v>1639</v>
      </c>
      <c r="C669" t="s">
        <v>84</v>
      </c>
      <c r="D669" t="s">
        <v>32</v>
      </c>
      <c r="E669" t="s">
        <v>33</v>
      </c>
      <c r="F669">
        <v>36</v>
      </c>
      <c r="G669" t="s">
        <v>24</v>
      </c>
      <c r="H669" t="s">
        <v>1640</v>
      </c>
      <c r="I669">
        <f>81-90-9012-3456</f>
        <v>-12477</v>
      </c>
      <c r="J669" s="1">
        <v>45366</v>
      </c>
      <c r="K669" s="1">
        <v>45304</v>
      </c>
      <c r="L669">
        <v>3250.8</v>
      </c>
      <c r="M669">
        <v>11400.25</v>
      </c>
      <c r="N669">
        <v>605</v>
      </c>
      <c r="O669">
        <v>32000</v>
      </c>
      <c r="P669" t="s">
        <v>76</v>
      </c>
      <c r="Q669" t="s">
        <v>43</v>
      </c>
      <c r="R669">
        <v>0</v>
      </c>
      <c r="S669" t="s">
        <v>28</v>
      </c>
    </row>
    <row r="670" spans="1:19">
      <c r="A670" t="s">
        <v>559</v>
      </c>
      <c r="B670" t="s">
        <v>1641</v>
      </c>
      <c r="C670" t="s">
        <v>46</v>
      </c>
      <c r="D670" t="s">
        <v>254</v>
      </c>
      <c r="E670" t="s">
        <v>255</v>
      </c>
      <c r="F670">
        <v>50</v>
      </c>
      <c r="G670" t="s">
        <v>34</v>
      </c>
      <c r="H670" t="s">
        <v>1642</v>
      </c>
      <c r="I670">
        <f>221-92-678-9012</f>
        <v>-9561</v>
      </c>
      <c r="J670" s="1">
        <v>44703</v>
      </c>
      <c r="K670" s="1">
        <v>45302</v>
      </c>
      <c r="L670">
        <v>77700.399999999994</v>
      </c>
      <c r="M670">
        <v>39900.75</v>
      </c>
      <c r="N670">
        <v>710</v>
      </c>
      <c r="O670">
        <v>130000</v>
      </c>
      <c r="P670" t="s">
        <v>26</v>
      </c>
      <c r="Q670" t="s">
        <v>27</v>
      </c>
      <c r="R670">
        <v>0</v>
      </c>
      <c r="S670" t="s">
        <v>28</v>
      </c>
    </row>
    <row r="671" spans="1:19">
      <c r="A671" t="s">
        <v>562</v>
      </c>
      <c r="B671" t="s">
        <v>1643</v>
      </c>
      <c r="C671" t="s">
        <v>39</v>
      </c>
      <c r="D671" t="s">
        <v>47</v>
      </c>
      <c r="E671" t="s">
        <v>98</v>
      </c>
      <c r="F671">
        <v>64</v>
      </c>
      <c r="G671" t="s">
        <v>24</v>
      </c>
      <c r="H671" t="s">
        <v>1644</v>
      </c>
      <c r="I671">
        <f>44-79-9012-3456</f>
        <v>-12503</v>
      </c>
      <c r="J671" s="1">
        <v>43577</v>
      </c>
      <c r="K671" s="1">
        <v>45300</v>
      </c>
      <c r="L671">
        <v>180300.6</v>
      </c>
      <c r="M671">
        <v>96000.25</v>
      </c>
      <c r="N671">
        <v>675</v>
      </c>
      <c r="O671">
        <v>199000</v>
      </c>
      <c r="P671" t="s">
        <v>76</v>
      </c>
      <c r="Q671" t="s">
        <v>27</v>
      </c>
      <c r="R671">
        <v>0</v>
      </c>
      <c r="S671" t="s">
        <v>28</v>
      </c>
    </row>
    <row r="672" spans="1:19">
      <c r="A672" t="s">
        <v>565</v>
      </c>
      <c r="B672" t="s">
        <v>1645</v>
      </c>
      <c r="C672" t="s">
        <v>52</v>
      </c>
      <c r="D672" t="s">
        <v>233</v>
      </c>
      <c r="E672" t="s">
        <v>234</v>
      </c>
      <c r="F672">
        <v>49</v>
      </c>
      <c r="G672" t="s">
        <v>34</v>
      </c>
      <c r="H672" t="s">
        <v>1646</v>
      </c>
      <c r="I672">
        <f>82-10-8901-2345</f>
        <v>-11174</v>
      </c>
      <c r="J672" s="1">
        <v>44491</v>
      </c>
      <c r="K672" s="1">
        <v>45301</v>
      </c>
      <c r="L672">
        <v>54100.75</v>
      </c>
      <c r="M672">
        <v>31000.799999999999</v>
      </c>
      <c r="N672">
        <v>725</v>
      </c>
      <c r="O672">
        <v>96000</v>
      </c>
      <c r="P672" t="s">
        <v>26</v>
      </c>
      <c r="Q672" t="s">
        <v>27</v>
      </c>
      <c r="R672">
        <v>0</v>
      </c>
      <c r="S672" t="s">
        <v>28</v>
      </c>
    </row>
    <row r="673" spans="1:19">
      <c r="A673" t="s">
        <v>568</v>
      </c>
      <c r="B673" t="s">
        <v>1647</v>
      </c>
      <c r="C673" t="s">
        <v>57</v>
      </c>
      <c r="D673" t="s">
        <v>79</v>
      </c>
      <c r="E673" t="s">
        <v>80</v>
      </c>
      <c r="F673">
        <v>47</v>
      </c>
      <c r="G673" t="s">
        <v>24</v>
      </c>
      <c r="H673" t="s">
        <v>1648</v>
      </c>
      <c r="I673">
        <f>971-50-12-3456</f>
        <v>-2547</v>
      </c>
      <c r="J673" s="1">
        <v>44948</v>
      </c>
      <c r="K673" s="1">
        <v>45303</v>
      </c>
      <c r="L673">
        <v>32100.400000000001</v>
      </c>
      <c r="M673">
        <v>12800.9</v>
      </c>
      <c r="N673">
        <v>740</v>
      </c>
      <c r="O673">
        <v>82000</v>
      </c>
      <c r="P673" t="s">
        <v>36</v>
      </c>
      <c r="Q673" t="s">
        <v>27</v>
      </c>
      <c r="R673">
        <v>0</v>
      </c>
      <c r="S673" t="s">
        <v>28</v>
      </c>
    </row>
    <row r="674" spans="1:19">
      <c r="A674" t="s">
        <v>571</v>
      </c>
      <c r="B674" t="s">
        <v>1649</v>
      </c>
      <c r="C674" t="s">
        <v>21</v>
      </c>
      <c r="D674" t="s">
        <v>63</v>
      </c>
      <c r="E674" t="s">
        <v>64</v>
      </c>
      <c r="F674">
        <v>70</v>
      </c>
      <c r="G674" t="s">
        <v>34</v>
      </c>
      <c r="H674" t="s">
        <v>1650</v>
      </c>
      <c r="I674">
        <f>55-11-99912-3456</f>
        <v>-103324</v>
      </c>
      <c r="J674" s="1">
        <v>43122</v>
      </c>
      <c r="K674" s="1">
        <v>45299</v>
      </c>
      <c r="L674">
        <v>269200.90000000002</v>
      </c>
      <c r="M674">
        <v>86000.6</v>
      </c>
      <c r="N674">
        <v>830</v>
      </c>
      <c r="O674">
        <v>294000</v>
      </c>
      <c r="P674" t="s">
        <v>36</v>
      </c>
      <c r="Q674" t="s">
        <v>27</v>
      </c>
      <c r="R674">
        <v>0</v>
      </c>
      <c r="S674" t="s">
        <v>28</v>
      </c>
    </row>
    <row r="675" spans="1:19">
      <c r="A675" t="s">
        <v>574</v>
      </c>
      <c r="B675" t="s">
        <v>1651</v>
      </c>
      <c r="C675" t="s">
        <v>39</v>
      </c>
      <c r="D675" t="s">
        <v>68</v>
      </c>
      <c r="E675" t="s">
        <v>179</v>
      </c>
      <c r="F675">
        <v>62</v>
      </c>
      <c r="G675" t="s">
        <v>24</v>
      </c>
      <c r="H675" t="s">
        <v>1652</v>
      </c>
      <c r="I675">
        <f>234-829-12-3456</f>
        <v>-4063</v>
      </c>
      <c r="J675" s="1">
        <v>43716</v>
      </c>
      <c r="K675" s="1">
        <v>45300</v>
      </c>
      <c r="L675">
        <v>158100.25</v>
      </c>
      <c r="M675">
        <v>88000.4</v>
      </c>
      <c r="N675">
        <v>655</v>
      </c>
      <c r="O675">
        <v>184000</v>
      </c>
      <c r="P675" t="s">
        <v>76</v>
      </c>
      <c r="Q675" t="s">
        <v>27</v>
      </c>
      <c r="R675">
        <v>0</v>
      </c>
      <c r="S675" t="s">
        <v>28</v>
      </c>
    </row>
    <row r="676" spans="1:19">
      <c r="A676" t="s">
        <v>577</v>
      </c>
      <c r="B676" t="s">
        <v>1653</v>
      </c>
      <c r="C676" t="s">
        <v>46</v>
      </c>
      <c r="D676" t="s">
        <v>85</v>
      </c>
      <c r="E676" t="s">
        <v>86</v>
      </c>
      <c r="F676">
        <v>51</v>
      </c>
      <c r="G676" t="s">
        <v>34</v>
      </c>
      <c r="H676" t="s">
        <v>1654</v>
      </c>
      <c r="I676">
        <f>1-647-555-194</f>
        <v>-1395</v>
      </c>
      <c r="J676" s="1">
        <v>44614</v>
      </c>
      <c r="K676" s="1">
        <v>45302</v>
      </c>
      <c r="L676">
        <v>96600.6</v>
      </c>
      <c r="M676">
        <v>47900.75</v>
      </c>
      <c r="N676">
        <v>760</v>
      </c>
      <c r="O676">
        <v>153000</v>
      </c>
      <c r="P676" t="s">
        <v>26</v>
      </c>
      <c r="Q676" t="s">
        <v>27</v>
      </c>
      <c r="R676">
        <v>0</v>
      </c>
      <c r="S676" t="s">
        <v>28</v>
      </c>
    </row>
    <row r="677" spans="1:19">
      <c r="A677" t="s">
        <v>458</v>
      </c>
      <c r="B677" t="s">
        <v>1655</v>
      </c>
      <c r="C677" t="s">
        <v>31</v>
      </c>
      <c r="D677" t="s">
        <v>460</v>
      </c>
      <c r="E677" t="s">
        <v>663</v>
      </c>
      <c r="F677">
        <v>42</v>
      </c>
      <c r="G677" t="s">
        <v>24</v>
      </c>
      <c r="H677" t="s">
        <v>1656</v>
      </c>
      <c r="I677">
        <f>62-826-7890-1234</f>
        <v>-9888</v>
      </c>
      <c r="J677" s="1">
        <v>45359</v>
      </c>
      <c r="K677" s="1">
        <v>45306</v>
      </c>
      <c r="L677">
        <v>15400.25</v>
      </c>
      <c r="M677">
        <v>9100.7999999999993</v>
      </c>
      <c r="N677">
        <v>695</v>
      </c>
      <c r="O677">
        <v>53000</v>
      </c>
      <c r="P677" t="s">
        <v>26</v>
      </c>
      <c r="Q677" t="s">
        <v>43</v>
      </c>
      <c r="R677">
        <v>0</v>
      </c>
      <c r="S677" t="s">
        <v>28</v>
      </c>
    </row>
    <row r="678" spans="1:19">
      <c r="A678" t="s">
        <v>582</v>
      </c>
      <c r="B678" t="s">
        <v>1657</v>
      </c>
      <c r="C678" t="s">
        <v>57</v>
      </c>
      <c r="D678" t="s">
        <v>22</v>
      </c>
      <c r="E678" t="s">
        <v>23</v>
      </c>
      <c r="F678">
        <v>45</v>
      </c>
      <c r="G678" t="s">
        <v>34</v>
      </c>
      <c r="H678" t="s">
        <v>1658</v>
      </c>
      <c r="I678">
        <f>1-646-555-198</f>
        <v>-1398</v>
      </c>
      <c r="J678" s="1">
        <v>44887</v>
      </c>
      <c r="K678" s="1">
        <v>45303</v>
      </c>
      <c r="L678">
        <v>31000.9</v>
      </c>
      <c r="M678">
        <v>12400.25</v>
      </c>
      <c r="N678">
        <v>755</v>
      </c>
      <c r="O678">
        <v>75000</v>
      </c>
      <c r="P678" t="s">
        <v>36</v>
      </c>
      <c r="Q678" t="s">
        <v>27</v>
      </c>
      <c r="R678">
        <v>0</v>
      </c>
      <c r="S678" t="s">
        <v>28</v>
      </c>
    </row>
    <row r="679" spans="1:19">
      <c r="A679" t="s">
        <v>55</v>
      </c>
      <c r="B679" t="s">
        <v>1659</v>
      </c>
      <c r="C679" t="s">
        <v>39</v>
      </c>
      <c r="D679" t="s">
        <v>58</v>
      </c>
      <c r="E679" t="s">
        <v>122</v>
      </c>
      <c r="F679">
        <v>63</v>
      </c>
      <c r="G679" t="s">
        <v>24</v>
      </c>
      <c r="H679" t="s">
        <v>1660</v>
      </c>
      <c r="I679">
        <f>86-138-1234-5678</f>
        <v>-6964</v>
      </c>
      <c r="J679" s="1">
        <v>43638</v>
      </c>
      <c r="K679" s="1">
        <v>45300</v>
      </c>
      <c r="L679">
        <v>191000.4</v>
      </c>
      <c r="M679">
        <v>101000.75</v>
      </c>
      <c r="N679">
        <v>685</v>
      </c>
      <c r="O679">
        <v>209000</v>
      </c>
      <c r="P679" t="s">
        <v>76</v>
      </c>
      <c r="Q679" t="s">
        <v>27</v>
      </c>
      <c r="R679">
        <v>0</v>
      </c>
      <c r="S679" t="s">
        <v>28</v>
      </c>
    </row>
    <row r="680" spans="1:19">
      <c r="A680" t="s">
        <v>469</v>
      </c>
      <c r="B680" t="s">
        <v>1661</v>
      </c>
      <c r="C680" t="s">
        <v>52</v>
      </c>
      <c r="D680" t="s">
        <v>471</v>
      </c>
      <c r="E680" t="s">
        <v>472</v>
      </c>
      <c r="F680">
        <v>54</v>
      </c>
      <c r="G680" t="s">
        <v>34</v>
      </c>
      <c r="H680" t="s">
        <v>1662</v>
      </c>
      <c r="I680">
        <f>48-714-678-901</f>
        <v>-2245</v>
      </c>
      <c r="J680" s="1">
        <v>44277</v>
      </c>
      <c r="K680" s="1">
        <v>45301</v>
      </c>
      <c r="L680">
        <v>61000.800000000003</v>
      </c>
      <c r="M680">
        <v>34100.6</v>
      </c>
      <c r="N680">
        <v>715</v>
      </c>
      <c r="O680">
        <v>108000</v>
      </c>
      <c r="P680" t="s">
        <v>26</v>
      </c>
      <c r="Q680" t="s">
        <v>27</v>
      </c>
      <c r="R680">
        <v>0</v>
      </c>
      <c r="S680" t="s">
        <v>28</v>
      </c>
    </row>
    <row r="681" spans="1:19">
      <c r="A681" t="s">
        <v>474</v>
      </c>
      <c r="B681" t="s">
        <v>1663</v>
      </c>
      <c r="C681" t="s">
        <v>46</v>
      </c>
      <c r="D681" t="s">
        <v>345</v>
      </c>
      <c r="E681" t="s">
        <v>476</v>
      </c>
      <c r="F681">
        <v>57</v>
      </c>
      <c r="G681" t="s">
        <v>24</v>
      </c>
      <c r="H681" t="s">
        <v>1664</v>
      </c>
      <c r="I681">
        <f>880-1812-890123</f>
        <v>-891055</v>
      </c>
      <c r="J681" s="1">
        <v>44187</v>
      </c>
      <c r="K681" s="1">
        <v>45302</v>
      </c>
      <c r="L681">
        <v>88800.25</v>
      </c>
      <c r="M681">
        <v>44100.4</v>
      </c>
      <c r="N681">
        <v>680</v>
      </c>
      <c r="O681">
        <v>137000</v>
      </c>
      <c r="P681" t="s">
        <v>26</v>
      </c>
      <c r="Q681" t="s">
        <v>27</v>
      </c>
      <c r="R681">
        <v>0</v>
      </c>
      <c r="S681" t="s">
        <v>28</v>
      </c>
    </row>
    <row r="682" spans="1:19">
      <c r="A682" t="s">
        <v>592</v>
      </c>
      <c r="B682" t="s">
        <v>1665</v>
      </c>
      <c r="C682" t="s">
        <v>84</v>
      </c>
      <c r="D682" t="s">
        <v>32</v>
      </c>
      <c r="E682" t="s">
        <v>90</v>
      </c>
      <c r="F682">
        <v>37</v>
      </c>
      <c r="G682" t="s">
        <v>34</v>
      </c>
      <c r="H682" t="s">
        <v>1666</v>
      </c>
      <c r="I682">
        <f>81-90-123-4567</f>
        <v>-4699</v>
      </c>
      <c r="J682" s="1">
        <v>45373</v>
      </c>
      <c r="K682" s="1">
        <v>45304</v>
      </c>
      <c r="L682">
        <v>3350.4</v>
      </c>
      <c r="M682">
        <v>12000.75</v>
      </c>
      <c r="N682">
        <v>610</v>
      </c>
      <c r="O682">
        <v>33000</v>
      </c>
      <c r="P682" t="s">
        <v>76</v>
      </c>
      <c r="Q682" t="s">
        <v>43</v>
      </c>
      <c r="R682">
        <v>0</v>
      </c>
      <c r="S682" t="s">
        <v>28</v>
      </c>
    </row>
    <row r="683" spans="1:19">
      <c r="A683" t="s">
        <v>595</v>
      </c>
      <c r="B683" t="s">
        <v>1667</v>
      </c>
      <c r="C683" t="s">
        <v>21</v>
      </c>
      <c r="D683" t="s">
        <v>209</v>
      </c>
      <c r="E683" t="s">
        <v>210</v>
      </c>
      <c r="F683">
        <v>69</v>
      </c>
      <c r="G683" t="s">
        <v>24</v>
      </c>
      <c r="H683" t="s">
        <v>1668</v>
      </c>
      <c r="I683">
        <f>52-55-8901-123</f>
        <v>-9027</v>
      </c>
      <c r="J683" s="1">
        <v>43334</v>
      </c>
      <c r="K683" s="1">
        <v>45299</v>
      </c>
      <c r="L683">
        <v>289000.8</v>
      </c>
      <c r="M683">
        <v>92000.25</v>
      </c>
      <c r="N683">
        <v>825</v>
      </c>
      <c r="O683">
        <v>289000</v>
      </c>
      <c r="P683" t="s">
        <v>36</v>
      </c>
      <c r="Q683" t="s">
        <v>27</v>
      </c>
      <c r="R683">
        <v>0</v>
      </c>
      <c r="S683" t="s">
        <v>28</v>
      </c>
    </row>
    <row r="684" spans="1:19">
      <c r="A684" t="s">
        <v>226</v>
      </c>
      <c r="B684" t="s">
        <v>1669</v>
      </c>
      <c r="C684" t="s">
        <v>57</v>
      </c>
      <c r="D684" t="s">
        <v>228</v>
      </c>
      <c r="E684" t="s">
        <v>229</v>
      </c>
      <c r="F684">
        <v>44</v>
      </c>
      <c r="G684" t="s">
        <v>34</v>
      </c>
      <c r="H684" t="s">
        <v>1670</v>
      </c>
      <c r="I684">
        <f>254-738-901-234</f>
        <v>-1619</v>
      </c>
      <c r="J684" s="1">
        <v>45068</v>
      </c>
      <c r="K684" s="1">
        <v>45305</v>
      </c>
      <c r="L684">
        <v>27700.75</v>
      </c>
      <c r="M684">
        <v>10800.4</v>
      </c>
      <c r="N684">
        <v>725</v>
      </c>
      <c r="O684">
        <v>65000</v>
      </c>
      <c r="P684" t="s">
        <v>36</v>
      </c>
      <c r="Q684" t="s">
        <v>27</v>
      </c>
      <c r="R684">
        <v>0</v>
      </c>
      <c r="S684" t="s">
        <v>28</v>
      </c>
    </row>
    <row r="685" spans="1:19">
      <c r="A685" t="s">
        <v>488</v>
      </c>
      <c r="B685" t="s">
        <v>1671</v>
      </c>
      <c r="C685" t="s">
        <v>39</v>
      </c>
      <c r="D685" t="s">
        <v>304</v>
      </c>
      <c r="E685" t="s">
        <v>304</v>
      </c>
      <c r="F685">
        <v>61</v>
      </c>
      <c r="G685" t="s">
        <v>24</v>
      </c>
      <c r="H685" t="s">
        <v>1672</v>
      </c>
      <c r="I685">
        <f>65-9790-1234</f>
        <v>-10959</v>
      </c>
      <c r="J685" s="1">
        <v>43811</v>
      </c>
      <c r="K685" s="1">
        <v>45300</v>
      </c>
      <c r="L685">
        <v>169200.6</v>
      </c>
      <c r="M685">
        <v>92000.9</v>
      </c>
      <c r="N685">
        <v>675</v>
      </c>
      <c r="O685">
        <v>189000</v>
      </c>
      <c r="P685" t="s">
        <v>76</v>
      </c>
      <c r="Q685" t="s">
        <v>27</v>
      </c>
      <c r="R685">
        <v>0</v>
      </c>
      <c r="S685" t="s">
        <v>28</v>
      </c>
    </row>
    <row r="686" spans="1:19">
      <c r="A686" t="s">
        <v>491</v>
      </c>
      <c r="B686" t="s">
        <v>1673</v>
      </c>
      <c r="C686" t="s">
        <v>52</v>
      </c>
      <c r="D686" t="s">
        <v>493</v>
      </c>
      <c r="E686" t="s">
        <v>494</v>
      </c>
      <c r="F686">
        <v>52</v>
      </c>
      <c r="G686" t="s">
        <v>34</v>
      </c>
      <c r="H686" t="s">
        <v>1674</v>
      </c>
      <c r="I686">
        <f>30-706-789-123</f>
        <v>-1588</v>
      </c>
      <c r="J686" s="1">
        <v>44583</v>
      </c>
      <c r="K686" s="1">
        <v>45302</v>
      </c>
      <c r="L686">
        <v>55200.4</v>
      </c>
      <c r="M686">
        <v>29900.25</v>
      </c>
      <c r="N686">
        <v>705</v>
      </c>
      <c r="O686">
        <v>97000</v>
      </c>
      <c r="P686" t="s">
        <v>26</v>
      </c>
      <c r="Q686" t="s">
        <v>27</v>
      </c>
      <c r="R686">
        <v>0</v>
      </c>
      <c r="S686" t="s">
        <v>28</v>
      </c>
    </row>
    <row r="687" spans="1:19">
      <c r="A687" t="s">
        <v>496</v>
      </c>
      <c r="B687" t="s">
        <v>1675</v>
      </c>
      <c r="C687" t="s">
        <v>46</v>
      </c>
      <c r="D687" t="s">
        <v>321</v>
      </c>
      <c r="E687" t="s">
        <v>322</v>
      </c>
      <c r="F687">
        <v>55</v>
      </c>
      <c r="G687" t="s">
        <v>24</v>
      </c>
      <c r="H687" t="s">
        <v>1676</v>
      </c>
      <c r="I687">
        <f>61-438-901-234</f>
        <v>-1512</v>
      </c>
      <c r="J687" s="1">
        <v>44065</v>
      </c>
      <c r="K687" s="1">
        <v>45301</v>
      </c>
      <c r="L687">
        <v>102100.75</v>
      </c>
      <c r="M687">
        <v>51000.800000000003</v>
      </c>
      <c r="N687">
        <v>730</v>
      </c>
      <c r="O687">
        <v>163000</v>
      </c>
      <c r="P687" t="s">
        <v>26</v>
      </c>
      <c r="Q687" t="s">
        <v>27</v>
      </c>
      <c r="R687">
        <v>0</v>
      </c>
      <c r="S687" t="s">
        <v>28</v>
      </c>
    </row>
    <row r="688" spans="1:19">
      <c r="A688" t="s">
        <v>324</v>
      </c>
      <c r="B688" t="s">
        <v>1677</v>
      </c>
      <c r="C688" t="s">
        <v>31</v>
      </c>
      <c r="D688" t="s">
        <v>313</v>
      </c>
      <c r="E688" t="s">
        <v>501</v>
      </c>
      <c r="F688">
        <v>40</v>
      </c>
      <c r="G688" t="s">
        <v>34</v>
      </c>
      <c r="H688" t="s">
        <v>1678</v>
      </c>
      <c r="I688">
        <f>92-336-4321098</f>
        <v>-4321342</v>
      </c>
      <c r="J688" s="1">
        <v>45366</v>
      </c>
      <c r="K688" s="1">
        <v>45306</v>
      </c>
      <c r="L688">
        <v>13400.9</v>
      </c>
      <c r="M688">
        <v>8100.75</v>
      </c>
      <c r="N688">
        <v>685</v>
      </c>
      <c r="O688">
        <v>50000</v>
      </c>
      <c r="P688" t="s">
        <v>26</v>
      </c>
      <c r="Q688" t="s">
        <v>43</v>
      </c>
      <c r="R688">
        <v>0</v>
      </c>
      <c r="S688" t="s">
        <v>28</v>
      </c>
    </row>
    <row r="689" spans="1:19">
      <c r="A689" t="s">
        <v>503</v>
      </c>
      <c r="B689" t="s">
        <v>1679</v>
      </c>
      <c r="C689" t="s">
        <v>21</v>
      </c>
      <c r="D689" t="s">
        <v>32</v>
      </c>
      <c r="E689" t="s">
        <v>33</v>
      </c>
      <c r="F689">
        <v>72</v>
      </c>
      <c r="G689" t="s">
        <v>24</v>
      </c>
      <c r="H689" t="s">
        <v>1680</v>
      </c>
      <c r="I689">
        <f>81-80-6789-123</f>
        <v>-6911</v>
      </c>
      <c r="J689" s="1">
        <v>43061</v>
      </c>
      <c r="K689" s="1">
        <v>45299</v>
      </c>
      <c r="L689">
        <v>299900.25</v>
      </c>
      <c r="M689">
        <v>96000.4</v>
      </c>
      <c r="N689">
        <v>840</v>
      </c>
      <c r="O689">
        <v>304000</v>
      </c>
      <c r="P689" t="s">
        <v>36</v>
      </c>
      <c r="Q689" t="s">
        <v>27</v>
      </c>
      <c r="R689">
        <v>0</v>
      </c>
      <c r="S689" t="s">
        <v>28</v>
      </c>
    </row>
    <row r="690" spans="1:19">
      <c r="A690" t="s">
        <v>506</v>
      </c>
      <c r="B690" t="s">
        <v>1681</v>
      </c>
      <c r="C690" t="s">
        <v>39</v>
      </c>
      <c r="D690" t="s">
        <v>68</v>
      </c>
      <c r="E690" t="s">
        <v>69</v>
      </c>
      <c r="F690">
        <v>64</v>
      </c>
      <c r="G690" t="s">
        <v>34</v>
      </c>
      <c r="H690" t="s">
        <v>1682</v>
      </c>
      <c r="I690">
        <f>234-828-901-2345</f>
        <v>-3840</v>
      </c>
      <c r="J690" s="1">
        <v>43577</v>
      </c>
      <c r="K690" s="1">
        <v>45300</v>
      </c>
      <c r="L690">
        <v>180300.4</v>
      </c>
      <c r="M690">
        <v>96000.75</v>
      </c>
      <c r="N690">
        <v>650</v>
      </c>
      <c r="O690">
        <v>199000</v>
      </c>
      <c r="P690" t="s">
        <v>76</v>
      </c>
      <c r="Q690" t="s">
        <v>27</v>
      </c>
      <c r="R690">
        <v>0</v>
      </c>
      <c r="S690" t="s">
        <v>28</v>
      </c>
    </row>
    <row r="691" spans="1:19">
      <c r="A691" t="s">
        <v>509</v>
      </c>
      <c r="B691" t="s">
        <v>1683</v>
      </c>
      <c r="C691" t="s">
        <v>46</v>
      </c>
      <c r="D691" t="s">
        <v>73</v>
      </c>
      <c r="E691" t="s">
        <v>158</v>
      </c>
      <c r="F691">
        <v>51</v>
      </c>
      <c r="G691" t="s">
        <v>24</v>
      </c>
      <c r="H691" t="s">
        <v>1684</v>
      </c>
      <c r="I691">
        <f>49-190-1234567</f>
        <v>-1234708</v>
      </c>
      <c r="J691" s="1">
        <v>44795</v>
      </c>
      <c r="K691" s="1">
        <v>45303</v>
      </c>
      <c r="L691">
        <v>89900.4</v>
      </c>
      <c r="M691">
        <v>45200.25</v>
      </c>
      <c r="N691">
        <v>745</v>
      </c>
      <c r="O691">
        <v>143000</v>
      </c>
      <c r="P691" t="s">
        <v>26</v>
      </c>
      <c r="Q691" t="s">
        <v>27</v>
      </c>
      <c r="R691">
        <v>0</v>
      </c>
      <c r="S691" t="s">
        <v>28</v>
      </c>
    </row>
    <row r="692" spans="1:19">
      <c r="A692" t="s">
        <v>513</v>
      </c>
      <c r="B692" t="s">
        <v>1685</v>
      </c>
      <c r="C692" t="s">
        <v>57</v>
      </c>
      <c r="D692" t="s">
        <v>58</v>
      </c>
      <c r="E692" t="s">
        <v>122</v>
      </c>
      <c r="F692">
        <v>46</v>
      </c>
      <c r="G692" t="s">
        <v>34</v>
      </c>
      <c r="H692" t="s">
        <v>1686</v>
      </c>
      <c r="I692">
        <f>86-137-1234-5678</f>
        <v>-6963</v>
      </c>
      <c r="J692" s="1">
        <v>44979</v>
      </c>
      <c r="K692" s="1">
        <v>45302</v>
      </c>
      <c r="L692">
        <v>29900.799999999999</v>
      </c>
      <c r="M692">
        <v>12000.9</v>
      </c>
      <c r="N692">
        <v>765</v>
      </c>
      <c r="O692">
        <v>75000</v>
      </c>
      <c r="P692" t="s">
        <v>36</v>
      </c>
      <c r="Q692" t="s">
        <v>27</v>
      </c>
      <c r="R692">
        <v>0</v>
      </c>
      <c r="S692" t="s">
        <v>28</v>
      </c>
    </row>
    <row r="693" spans="1:19">
      <c r="A693" t="s">
        <v>516</v>
      </c>
      <c r="B693" t="s">
        <v>1687</v>
      </c>
      <c r="C693" t="s">
        <v>52</v>
      </c>
      <c r="D693" t="s">
        <v>277</v>
      </c>
      <c r="E693" t="s">
        <v>404</v>
      </c>
      <c r="F693">
        <v>59</v>
      </c>
      <c r="G693" t="s">
        <v>24</v>
      </c>
      <c r="H693" t="s">
        <v>1688</v>
      </c>
      <c r="I693">
        <f>20-122-654-3210</f>
        <v>-3966</v>
      </c>
      <c r="J693" s="1">
        <v>44249</v>
      </c>
      <c r="K693" s="1">
        <v>45301</v>
      </c>
      <c r="L693">
        <v>63200.75</v>
      </c>
      <c r="M693">
        <v>36300.400000000001</v>
      </c>
      <c r="N693">
        <v>675</v>
      </c>
      <c r="O693">
        <v>115000</v>
      </c>
      <c r="P693" t="s">
        <v>26</v>
      </c>
      <c r="Q693" t="s">
        <v>27</v>
      </c>
      <c r="R693">
        <v>0</v>
      </c>
      <c r="S693" t="s">
        <v>28</v>
      </c>
    </row>
    <row r="694" spans="1:19">
      <c r="A694" t="s">
        <v>519</v>
      </c>
      <c r="B694" t="s">
        <v>1689</v>
      </c>
      <c r="C694" t="s">
        <v>84</v>
      </c>
      <c r="D694" t="s">
        <v>183</v>
      </c>
      <c r="E694" t="s">
        <v>184</v>
      </c>
      <c r="F694">
        <v>38</v>
      </c>
      <c r="G694" t="s">
        <v>34</v>
      </c>
      <c r="H694" t="s">
        <v>1690</v>
      </c>
      <c r="I694">
        <f>33-6-8901-2345</f>
        <v>-11219</v>
      </c>
      <c r="J694" s="1">
        <v>45379</v>
      </c>
      <c r="K694" s="1">
        <v>45304</v>
      </c>
      <c r="L694">
        <v>3600.25</v>
      </c>
      <c r="M694">
        <v>13200.6</v>
      </c>
      <c r="N694">
        <v>615</v>
      </c>
      <c r="O694">
        <v>35000</v>
      </c>
      <c r="P694" t="s">
        <v>76</v>
      </c>
      <c r="Q694" t="s">
        <v>43</v>
      </c>
      <c r="R694">
        <v>0</v>
      </c>
      <c r="S694" t="s">
        <v>28</v>
      </c>
    </row>
    <row r="695" spans="1:19">
      <c r="A695" t="s">
        <v>522</v>
      </c>
      <c r="B695" t="s">
        <v>1691</v>
      </c>
      <c r="C695" t="s">
        <v>39</v>
      </c>
      <c r="D695" t="s">
        <v>40</v>
      </c>
      <c r="E695" t="s">
        <v>94</v>
      </c>
      <c r="F695">
        <v>66</v>
      </c>
      <c r="G695" t="s">
        <v>24</v>
      </c>
      <c r="H695" t="s">
        <v>1692</v>
      </c>
      <c r="I695">
        <f>91-987-654-3210</f>
        <v>-4760</v>
      </c>
      <c r="J695" s="1">
        <v>43546</v>
      </c>
      <c r="K695" s="1">
        <v>45299</v>
      </c>
      <c r="L695">
        <v>214900.8</v>
      </c>
      <c r="M695">
        <v>109000.25</v>
      </c>
      <c r="N695">
        <v>660</v>
      </c>
      <c r="O695">
        <v>234000</v>
      </c>
      <c r="P695" t="s">
        <v>76</v>
      </c>
      <c r="Q695" t="s">
        <v>27</v>
      </c>
      <c r="R695">
        <v>0</v>
      </c>
      <c r="S695" t="s">
        <v>28</v>
      </c>
    </row>
    <row r="696" spans="1:19">
      <c r="A696" t="s">
        <v>306</v>
      </c>
      <c r="B696" t="s">
        <v>1693</v>
      </c>
      <c r="C696" t="s">
        <v>46</v>
      </c>
      <c r="D696" t="s">
        <v>209</v>
      </c>
      <c r="E696" t="s">
        <v>703</v>
      </c>
      <c r="F696">
        <v>53</v>
      </c>
      <c r="G696" t="s">
        <v>34</v>
      </c>
      <c r="H696" t="s">
        <v>1694</v>
      </c>
      <c r="I696">
        <f>52-81-9012-123</f>
        <v>-9164</v>
      </c>
      <c r="J696" s="1">
        <v>44399</v>
      </c>
      <c r="K696" s="1">
        <v>45302</v>
      </c>
      <c r="L696">
        <v>84300.9</v>
      </c>
      <c r="M696">
        <v>42100.75</v>
      </c>
      <c r="N696">
        <v>730</v>
      </c>
      <c r="O696">
        <v>138000</v>
      </c>
      <c r="P696" t="s">
        <v>26</v>
      </c>
      <c r="Q696" t="s">
        <v>27</v>
      </c>
      <c r="R696">
        <v>0</v>
      </c>
      <c r="S696" t="s">
        <v>28</v>
      </c>
    </row>
    <row r="697" spans="1:19">
      <c r="A697" t="s">
        <v>527</v>
      </c>
      <c r="B697" t="s">
        <v>1695</v>
      </c>
      <c r="C697" t="s">
        <v>31</v>
      </c>
      <c r="D697" t="s">
        <v>32</v>
      </c>
      <c r="E697" t="s">
        <v>90</v>
      </c>
      <c r="F697">
        <v>42</v>
      </c>
      <c r="G697" t="s">
        <v>34</v>
      </c>
      <c r="H697" t="s">
        <v>1696</v>
      </c>
      <c r="I697">
        <f>81-90-7890-1234</f>
        <v>-9133</v>
      </c>
      <c r="J697" s="1">
        <v>45373</v>
      </c>
      <c r="K697" s="1">
        <v>45305</v>
      </c>
      <c r="L697">
        <v>14500.4</v>
      </c>
      <c r="M697">
        <v>8200.25</v>
      </c>
      <c r="N697">
        <v>705</v>
      </c>
      <c r="O697">
        <v>52000</v>
      </c>
      <c r="P697" t="s">
        <v>26</v>
      </c>
      <c r="Q697" t="s">
        <v>43</v>
      </c>
      <c r="R697">
        <v>0</v>
      </c>
      <c r="S697" t="s">
        <v>28</v>
      </c>
    </row>
    <row r="698" spans="1:19">
      <c r="A698" t="s">
        <v>530</v>
      </c>
      <c r="B698" t="s">
        <v>1697</v>
      </c>
      <c r="C698" t="s">
        <v>57</v>
      </c>
      <c r="D698" t="s">
        <v>219</v>
      </c>
      <c r="E698" t="s">
        <v>220</v>
      </c>
      <c r="F698">
        <v>47</v>
      </c>
      <c r="G698" t="s">
        <v>24</v>
      </c>
      <c r="H698" t="s">
        <v>1698</v>
      </c>
      <c r="I698">
        <f>233-69-12-3456</f>
        <v>-3304</v>
      </c>
      <c r="J698" s="1">
        <v>44948</v>
      </c>
      <c r="K698" s="1">
        <v>45303</v>
      </c>
      <c r="L698">
        <v>28800.6</v>
      </c>
      <c r="M698">
        <v>11400.8</v>
      </c>
      <c r="N698">
        <v>710</v>
      </c>
      <c r="O698">
        <v>68000</v>
      </c>
      <c r="P698" t="s">
        <v>36</v>
      </c>
      <c r="Q698" t="s">
        <v>27</v>
      </c>
      <c r="R698">
        <v>0</v>
      </c>
      <c r="S698" t="s">
        <v>28</v>
      </c>
    </row>
    <row r="699" spans="1:19">
      <c r="A699" t="s">
        <v>533</v>
      </c>
      <c r="B699" t="s">
        <v>1699</v>
      </c>
      <c r="C699" t="s">
        <v>52</v>
      </c>
      <c r="D699" t="s">
        <v>204</v>
      </c>
      <c r="E699" t="s">
        <v>259</v>
      </c>
      <c r="F699">
        <v>54</v>
      </c>
      <c r="G699" t="s">
        <v>34</v>
      </c>
      <c r="H699" t="s">
        <v>1700</v>
      </c>
      <c r="I699">
        <f>7-921-432-10-98</f>
        <v>-1454</v>
      </c>
      <c r="J699" s="1">
        <v>44249</v>
      </c>
      <c r="K699" s="1">
        <v>45301</v>
      </c>
      <c r="L699">
        <v>60100.25</v>
      </c>
      <c r="M699">
        <v>33200.9</v>
      </c>
      <c r="N699">
        <v>695</v>
      </c>
      <c r="O699">
        <v>103000</v>
      </c>
      <c r="P699" t="s">
        <v>26</v>
      </c>
      <c r="Q699" t="s">
        <v>27</v>
      </c>
      <c r="R699">
        <v>0</v>
      </c>
      <c r="S699" t="s">
        <v>28</v>
      </c>
    </row>
    <row r="700" spans="1:19">
      <c r="A700" t="s">
        <v>536</v>
      </c>
      <c r="B700" t="s">
        <v>1701</v>
      </c>
      <c r="C700" t="s">
        <v>39</v>
      </c>
      <c r="D700" t="s">
        <v>195</v>
      </c>
      <c r="E700" t="s">
        <v>196</v>
      </c>
      <c r="F700">
        <v>62</v>
      </c>
      <c r="G700" t="s">
        <v>24</v>
      </c>
      <c r="H700" t="s">
        <v>1702</v>
      </c>
      <c r="I700">
        <f>353-1-901-2345</f>
        <v>-2894</v>
      </c>
      <c r="J700" s="1">
        <v>43699</v>
      </c>
      <c r="K700" s="1">
        <v>45300</v>
      </c>
      <c r="L700">
        <v>147100.4</v>
      </c>
      <c r="M700">
        <v>83000.600000000006</v>
      </c>
      <c r="N700">
        <v>670</v>
      </c>
      <c r="O700">
        <v>170000</v>
      </c>
      <c r="P700" t="s">
        <v>76</v>
      </c>
      <c r="Q700" t="s">
        <v>27</v>
      </c>
      <c r="R700">
        <v>0</v>
      </c>
      <c r="S700" t="s">
        <v>28</v>
      </c>
    </row>
    <row r="701" spans="1:19">
      <c r="A701" t="s">
        <v>539</v>
      </c>
      <c r="B701" t="s">
        <v>1703</v>
      </c>
      <c r="C701" t="s">
        <v>21</v>
      </c>
      <c r="D701" t="s">
        <v>58</v>
      </c>
      <c r="E701" t="s">
        <v>59</v>
      </c>
      <c r="F701">
        <v>70</v>
      </c>
      <c r="G701" t="s">
        <v>34</v>
      </c>
      <c r="H701" t="s">
        <v>1704</v>
      </c>
      <c r="I701">
        <f>86-139-8901-2345</f>
        <v>-11299</v>
      </c>
      <c r="J701" s="1">
        <v>43273</v>
      </c>
      <c r="K701" s="1">
        <v>45299</v>
      </c>
      <c r="L701">
        <v>314000.75</v>
      </c>
      <c r="M701">
        <v>100000.8</v>
      </c>
      <c r="N701">
        <v>835</v>
      </c>
      <c r="O701">
        <v>315000</v>
      </c>
      <c r="P701" t="s">
        <v>36</v>
      </c>
      <c r="Q701" t="s">
        <v>27</v>
      </c>
      <c r="R701">
        <v>0</v>
      </c>
      <c r="S701" t="s">
        <v>28</v>
      </c>
    </row>
    <row r="702" spans="1:19">
      <c r="A702" t="s">
        <v>542</v>
      </c>
      <c r="B702" t="s">
        <v>1705</v>
      </c>
      <c r="C702" t="s">
        <v>52</v>
      </c>
      <c r="D702" t="s">
        <v>68</v>
      </c>
      <c r="E702" t="s">
        <v>69</v>
      </c>
      <c r="F702">
        <v>57</v>
      </c>
      <c r="G702" t="s">
        <v>34</v>
      </c>
      <c r="H702" t="s">
        <v>1706</v>
      </c>
      <c r="I702">
        <f>234-829-12-3456</f>
        <v>-4063</v>
      </c>
      <c r="J702" s="1">
        <v>44218</v>
      </c>
      <c r="K702" s="1">
        <v>45302</v>
      </c>
      <c r="L702">
        <v>68800.600000000006</v>
      </c>
      <c r="M702">
        <v>38800.25</v>
      </c>
      <c r="N702">
        <v>665</v>
      </c>
      <c r="O702">
        <v>123000</v>
      </c>
      <c r="P702" t="s">
        <v>26</v>
      </c>
      <c r="Q702" t="s">
        <v>27</v>
      </c>
      <c r="R702">
        <v>0</v>
      </c>
      <c r="S702" t="s">
        <v>28</v>
      </c>
    </row>
    <row r="703" spans="1:19">
      <c r="A703" t="s">
        <v>545</v>
      </c>
      <c r="B703" t="s">
        <v>1707</v>
      </c>
      <c r="C703" t="s">
        <v>46</v>
      </c>
      <c r="D703" t="s">
        <v>241</v>
      </c>
      <c r="E703" t="s">
        <v>389</v>
      </c>
      <c r="F703">
        <v>49</v>
      </c>
      <c r="G703" t="s">
        <v>24</v>
      </c>
      <c r="H703" t="s">
        <v>1708</v>
      </c>
      <c r="I703">
        <f>39-363-789-123</f>
        <v>-1236</v>
      </c>
      <c r="J703" s="1">
        <v>44856</v>
      </c>
      <c r="K703" s="1">
        <v>45303</v>
      </c>
      <c r="L703">
        <v>92100.800000000003</v>
      </c>
      <c r="M703">
        <v>46300.4</v>
      </c>
      <c r="N703">
        <v>750</v>
      </c>
      <c r="O703">
        <v>149000</v>
      </c>
      <c r="P703" t="s">
        <v>26</v>
      </c>
      <c r="Q703" t="s">
        <v>27</v>
      </c>
      <c r="R703">
        <v>0</v>
      </c>
      <c r="S703" t="s">
        <v>28</v>
      </c>
    </row>
    <row r="704" spans="1:19">
      <c r="A704" t="s">
        <v>548</v>
      </c>
      <c r="B704" t="s">
        <v>1709</v>
      </c>
      <c r="C704" t="s">
        <v>57</v>
      </c>
      <c r="D704" t="s">
        <v>22</v>
      </c>
      <c r="E704" t="s">
        <v>118</v>
      </c>
      <c r="F704">
        <v>45</v>
      </c>
      <c r="G704" t="s">
        <v>34</v>
      </c>
      <c r="H704" t="s">
        <v>1710</v>
      </c>
      <c r="I704">
        <f>1-310-555-198</f>
        <v>-1062</v>
      </c>
      <c r="J704" s="1">
        <v>45038</v>
      </c>
      <c r="K704" s="1">
        <v>45305</v>
      </c>
      <c r="L704">
        <v>31000.9</v>
      </c>
      <c r="M704">
        <v>12400.75</v>
      </c>
      <c r="N704">
        <v>770</v>
      </c>
      <c r="O704">
        <v>80000</v>
      </c>
      <c r="P704" t="s">
        <v>36</v>
      </c>
      <c r="Q704" t="s">
        <v>27</v>
      </c>
      <c r="R704">
        <v>0</v>
      </c>
      <c r="S704" t="s">
        <v>28</v>
      </c>
    </row>
    <row r="705" spans="1:19">
      <c r="A705" t="s">
        <v>551</v>
      </c>
      <c r="B705" t="s">
        <v>1711</v>
      </c>
      <c r="C705" t="s">
        <v>39</v>
      </c>
      <c r="D705" t="s">
        <v>313</v>
      </c>
      <c r="E705" t="s">
        <v>314</v>
      </c>
      <c r="F705">
        <v>68</v>
      </c>
      <c r="G705" t="s">
        <v>24</v>
      </c>
      <c r="H705" t="s">
        <v>1712</v>
      </c>
      <c r="I705">
        <f>92-315-4321098</f>
        <v>-4321321</v>
      </c>
      <c r="J705" s="1">
        <v>43456</v>
      </c>
      <c r="K705" s="1">
        <v>45299</v>
      </c>
      <c r="L705">
        <v>200200.25</v>
      </c>
      <c r="M705">
        <v>104000.8</v>
      </c>
      <c r="N705">
        <v>645</v>
      </c>
      <c r="O705">
        <v>220000</v>
      </c>
      <c r="P705" t="s">
        <v>76</v>
      </c>
      <c r="Q705" t="s">
        <v>27</v>
      </c>
      <c r="R705">
        <v>0</v>
      </c>
      <c r="S705" t="s">
        <v>28</v>
      </c>
    </row>
    <row r="706" spans="1:19">
      <c r="A706" t="s">
        <v>554</v>
      </c>
      <c r="B706" t="s">
        <v>1713</v>
      </c>
      <c r="C706" t="s">
        <v>31</v>
      </c>
      <c r="D706" t="s">
        <v>214</v>
      </c>
      <c r="E706" t="s">
        <v>724</v>
      </c>
      <c r="F706">
        <v>41</v>
      </c>
      <c r="G706" t="s">
        <v>34</v>
      </c>
      <c r="H706" t="s">
        <v>1714</v>
      </c>
      <c r="I706">
        <f>34-638-901-234</f>
        <v>-1739</v>
      </c>
      <c r="J706" s="1">
        <v>45379</v>
      </c>
      <c r="K706" s="1">
        <v>45306</v>
      </c>
      <c r="L706">
        <v>25200.5</v>
      </c>
      <c r="M706">
        <v>12000.4</v>
      </c>
      <c r="N706">
        <v>720</v>
      </c>
      <c r="O706">
        <v>57000</v>
      </c>
      <c r="P706" t="s">
        <v>36</v>
      </c>
      <c r="Q706" t="s">
        <v>27</v>
      </c>
      <c r="R706">
        <v>0</v>
      </c>
      <c r="S706" t="s">
        <v>28</v>
      </c>
    </row>
    <row r="707" spans="1:19">
      <c r="A707" t="s">
        <v>108</v>
      </c>
      <c r="B707" t="s">
        <v>1715</v>
      </c>
      <c r="C707" t="s">
        <v>84</v>
      </c>
      <c r="D707" t="s">
        <v>32</v>
      </c>
      <c r="E707" t="s">
        <v>33</v>
      </c>
      <c r="F707">
        <v>37</v>
      </c>
      <c r="G707" t="s">
        <v>24</v>
      </c>
      <c r="H707" t="s">
        <v>1716</v>
      </c>
      <c r="I707">
        <f>81-90-123-4567</f>
        <v>-4699</v>
      </c>
      <c r="J707" s="1">
        <v>45379</v>
      </c>
      <c r="K707" s="1">
        <v>45304</v>
      </c>
      <c r="L707">
        <v>3350.8</v>
      </c>
      <c r="M707">
        <v>11600.25</v>
      </c>
      <c r="N707">
        <v>605</v>
      </c>
      <c r="O707">
        <v>33000</v>
      </c>
      <c r="P707" t="s">
        <v>76</v>
      </c>
      <c r="Q707" t="s">
        <v>43</v>
      </c>
      <c r="R707">
        <v>0</v>
      </c>
      <c r="S707" t="s">
        <v>28</v>
      </c>
    </row>
    <row r="708" spans="1:19">
      <c r="A708" t="s">
        <v>559</v>
      </c>
      <c r="B708" t="s">
        <v>1717</v>
      </c>
      <c r="C708" t="s">
        <v>46</v>
      </c>
      <c r="D708" t="s">
        <v>254</v>
      </c>
      <c r="E708" t="s">
        <v>255</v>
      </c>
      <c r="F708">
        <v>51</v>
      </c>
      <c r="G708" t="s">
        <v>34</v>
      </c>
      <c r="H708" t="s">
        <v>1718</v>
      </c>
      <c r="I708">
        <f>221-93-789-123</f>
        <v>-784</v>
      </c>
      <c r="J708" s="1">
        <v>44734</v>
      </c>
      <c r="K708" s="1">
        <v>45302</v>
      </c>
      <c r="L708">
        <v>78800.399999999994</v>
      </c>
      <c r="M708">
        <v>41000.75</v>
      </c>
      <c r="N708">
        <v>710</v>
      </c>
      <c r="O708">
        <v>131000</v>
      </c>
      <c r="P708" t="s">
        <v>26</v>
      </c>
      <c r="Q708" t="s">
        <v>27</v>
      </c>
      <c r="R708">
        <v>0</v>
      </c>
      <c r="S708" t="s">
        <v>28</v>
      </c>
    </row>
    <row r="709" spans="1:19">
      <c r="A709" t="s">
        <v>562</v>
      </c>
      <c r="B709" t="s">
        <v>1719</v>
      </c>
      <c r="C709" t="s">
        <v>39</v>
      </c>
      <c r="D709" t="s">
        <v>47</v>
      </c>
      <c r="E709" t="s">
        <v>48</v>
      </c>
      <c r="F709">
        <v>65</v>
      </c>
      <c r="G709" t="s">
        <v>24</v>
      </c>
      <c r="H709" t="s">
        <v>1720</v>
      </c>
      <c r="I709">
        <f>44-79-123-4567</f>
        <v>-4725</v>
      </c>
      <c r="J709" s="1">
        <v>43607</v>
      </c>
      <c r="K709" s="1">
        <v>45300</v>
      </c>
      <c r="L709">
        <v>180400.6</v>
      </c>
      <c r="M709">
        <v>97000.25</v>
      </c>
      <c r="N709">
        <v>675</v>
      </c>
      <c r="O709">
        <v>200000</v>
      </c>
      <c r="P709" t="s">
        <v>76</v>
      </c>
      <c r="Q709" t="s">
        <v>27</v>
      </c>
      <c r="R709">
        <v>0</v>
      </c>
      <c r="S709" t="s">
        <v>28</v>
      </c>
    </row>
    <row r="710" spans="1:19">
      <c r="A710" t="s">
        <v>565</v>
      </c>
      <c r="B710" t="s">
        <v>1721</v>
      </c>
      <c r="C710" t="s">
        <v>52</v>
      </c>
      <c r="D710" t="s">
        <v>233</v>
      </c>
      <c r="E710" t="s">
        <v>234</v>
      </c>
      <c r="F710">
        <v>50</v>
      </c>
      <c r="G710" t="s">
        <v>34</v>
      </c>
      <c r="H710" t="s">
        <v>1722</v>
      </c>
      <c r="I710">
        <f>82-10-9012-3456</f>
        <v>-12396</v>
      </c>
      <c r="J710" s="1">
        <v>44522</v>
      </c>
      <c r="K710" s="1">
        <v>45301</v>
      </c>
      <c r="L710">
        <v>55200.75</v>
      </c>
      <c r="M710">
        <v>32100.799999999999</v>
      </c>
      <c r="N710">
        <v>725</v>
      </c>
      <c r="O710">
        <v>97000</v>
      </c>
      <c r="P710" t="s">
        <v>26</v>
      </c>
      <c r="Q710" t="s">
        <v>27</v>
      </c>
      <c r="R710">
        <v>0</v>
      </c>
      <c r="S710" t="s">
        <v>28</v>
      </c>
    </row>
    <row r="711" spans="1:19">
      <c r="A711" t="s">
        <v>568</v>
      </c>
      <c r="B711" t="s">
        <v>1723</v>
      </c>
      <c r="C711" t="s">
        <v>57</v>
      </c>
      <c r="D711" t="s">
        <v>79</v>
      </c>
      <c r="E711" t="s">
        <v>80</v>
      </c>
      <c r="F711">
        <v>48</v>
      </c>
      <c r="G711" t="s">
        <v>24</v>
      </c>
      <c r="H711" t="s">
        <v>1724</v>
      </c>
      <c r="I711">
        <f>971-50-123-4567</f>
        <v>-3769</v>
      </c>
      <c r="J711" s="1">
        <v>44979</v>
      </c>
      <c r="K711" s="1">
        <v>45303</v>
      </c>
      <c r="L711">
        <v>33200.400000000001</v>
      </c>
      <c r="M711">
        <v>13200.9</v>
      </c>
      <c r="N711">
        <v>740</v>
      </c>
      <c r="O711">
        <v>83000</v>
      </c>
      <c r="P711" t="s">
        <v>36</v>
      </c>
      <c r="Q711" t="s">
        <v>27</v>
      </c>
      <c r="R711">
        <v>0</v>
      </c>
      <c r="S711" t="s">
        <v>28</v>
      </c>
    </row>
    <row r="712" spans="1:19">
      <c r="A712" t="s">
        <v>571</v>
      </c>
      <c r="B712" t="s">
        <v>1725</v>
      </c>
      <c r="C712" t="s">
        <v>21</v>
      </c>
      <c r="D712" t="s">
        <v>63</v>
      </c>
      <c r="E712" t="s">
        <v>64</v>
      </c>
      <c r="F712">
        <v>71</v>
      </c>
      <c r="G712" t="s">
        <v>34</v>
      </c>
      <c r="H712" t="s">
        <v>1726</v>
      </c>
      <c r="I712">
        <f>55-11-99923-4567</f>
        <v>-104446</v>
      </c>
      <c r="J712" s="1">
        <v>43153</v>
      </c>
      <c r="K712" s="1">
        <v>45299</v>
      </c>
      <c r="L712">
        <v>269300.90000000002</v>
      </c>
      <c r="M712">
        <v>87000.6</v>
      </c>
      <c r="N712">
        <v>830</v>
      </c>
      <c r="O712">
        <v>295000</v>
      </c>
      <c r="P712" t="s">
        <v>36</v>
      </c>
      <c r="Q712" t="s">
        <v>27</v>
      </c>
      <c r="R712">
        <v>0</v>
      </c>
      <c r="S712" t="s">
        <v>28</v>
      </c>
    </row>
    <row r="713" spans="1:19">
      <c r="A713" t="s">
        <v>574</v>
      </c>
      <c r="B713" t="s">
        <v>1727</v>
      </c>
      <c r="C713" t="s">
        <v>39</v>
      </c>
      <c r="D713" t="s">
        <v>68</v>
      </c>
      <c r="E713" t="s">
        <v>114</v>
      </c>
      <c r="F713">
        <v>63</v>
      </c>
      <c r="G713" t="s">
        <v>24</v>
      </c>
      <c r="H713" t="s">
        <v>1728</v>
      </c>
      <c r="I713">
        <f>234-830-123-4567</f>
        <v>-5286</v>
      </c>
      <c r="J713" s="1">
        <v>43746</v>
      </c>
      <c r="K713" s="1">
        <v>45300</v>
      </c>
      <c r="L713">
        <v>158200.25</v>
      </c>
      <c r="M713">
        <v>89000.4</v>
      </c>
      <c r="N713">
        <v>655</v>
      </c>
      <c r="O713">
        <v>185000</v>
      </c>
      <c r="P713" t="s">
        <v>76</v>
      </c>
      <c r="Q713" t="s">
        <v>27</v>
      </c>
      <c r="R713">
        <v>0</v>
      </c>
      <c r="S713" t="s">
        <v>28</v>
      </c>
    </row>
    <row r="714" spans="1:19">
      <c r="A714" t="s">
        <v>577</v>
      </c>
      <c r="B714" t="s">
        <v>1729</v>
      </c>
      <c r="C714" t="s">
        <v>46</v>
      </c>
      <c r="D714" t="s">
        <v>85</v>
      </c>
      <c r="E714" t="s">
        <v>162</v>
      </c>
      <c r="F714">
        <v>52</v>
      </c>
      <c r="G714" t="s">
        <v>34</v>
      </c>
      <c r="H714" t="s">
        <v>1730</v>
      </c>
      <c r="I714">
        <f>1-514-555-198</f>
        <v>-1266</v>
      </c>
      <c r="J714" s="1">
        <v>44642</v>
      </c>
      <c r="K714" s="1">
        <v>45302</v>
      </c>
      <c r="L714">
        <v>97700.6</v>
      </c>
      <c r="M714">
        <v>49000.75</v>
      </c>
      <c r="N714">
        <v>760</v>
      </c>
      <c r="O714">
        <v>154000</v>
      </c>
      <c r="P714" t="s">
        <v>26</v>
      </c>
      <c r="Q714" t="s">
        <v>27</v>
      </c>
      <c r="R714">
        <v>0</v>
      </c>
      <c r="S714" t="s">
        <v>28</v>
      </c>
    </row>
    <row r="715" spans="1:19">
      <c r="A715" t="s">
        <v>458</v>
      </c>
      <c r="B715" t="s">
        <v>1731</v>
      </c>
      <c r="C715" t="s">
        <v>31</v>
      </c>
      <c r="D715" t="s">
        <v>460</v>
      </c>
      <c r="E715" t="s">
        <v>461</v>
      </c>
      <c r="F715">
        <v>43</v>
      </c>
      <c r="G715" t="s">
        <v>24</v>
      </c>
      <c r="H715" t="s">
        <v>1732</v>
      </c>
      <c r="I715">
        <f>62-827-8901-2345</f>
        <v>-12011</v>
      </c>
      <c r="J715" s="1">
        <v>45373</v>
      </c>
      <c r="K715" s="1">
        <v>45306</v>
      </c>
      <c r="L715">
        <v>15900.25</v>
      </c>
      <c r="M715">
        <v>9400.7999999999993</v>
      </c>
      <c r="N715">
        <v>695</v>
      </c>
      <c r="O715">
        <v>54000</v>
      </c>
      <c r="P715" t="s">
        <v>26</v>
      </c>
      <c r="Q715" t="s">
        <v>43</v>
      </c>
      <c r="R715">
        <v>0</v>
      </c>
      <c r="S715" t="s">
        <v>28</v>
      </c>
    </row>
    <row r="716" spans="1:19">
      <c r="A716" t="s">
        <v>582</v>
      </c>
      <c r="B716" t="s">
        <v>1733</v>
      </c>
      <c r="C716" t="s">
        <v>57</v>
      </c>
      <c r="D716" t="s">
        <v>22</v>
      </c>
      <c r="E716" t="s">
        <v>53</v>
      </c>
      <c r="F716">
        <v>46</v>
      </c>
      <c r="G716" t="s">
        <v>34</v>
      </c>
      <c r="H716" t="s">
        <v>1734</v>
      </c>
      <c r="I716">
        <f>1-773-555-198</f>
        <v>-1525</v>
      </c>
      <c r="J716" s="1">
        <v>44917</v>
      </c>
      <c r="K716" s="1">
        <v>45303</v>
      </c>
      <c r="L716">
        <v>32100.9</v>
      </c>
      <c r="M716">
        <v>12800.25</v>
      </c>
      <c r="N716">
        <v>755</v>
      </c>
      <c r="O716">
        <v>76000</v>
      </c>
      <c r="P716" t="s">
        <v>36</v>
      </c>
      <c r="Q716" t="s">
        <v>27</v>
      </c>
      <c r="R716">
        <v>0</v>
      </c>
      <c r="S716" t="s">
        <v>28</v>
      </c>
    </row>
    <row r="717" spans="1:19">
      <c r="A717" t="s">
        <v>55</v>
      </c>
      <c r="B717" t="s">
        <v>1735</v>
      </c>
      <c r="C717" t="s">
        <v>39</v>
      </c>
      <c r="D717" t="s">
        <v>58</v>
      </c>
      <c r="E717" t="s">
        <v>122</v>
      </c>
      <c r="F717">
        <v>64</v>
      </c>
      <c r="G717" t="s">
        <v>24</v>
      </c>
      <c r="H717" t="s">
        <v>1736</v>
      </c>
      <c r="I717">
        <f>86-138-2345-6789</f>
        <v>-9186</v>
      </c>
      <c r="J717" s="1">
        <v>43668</v>
      </c>
      <c r="K717" s="1">
        <v>45300</v>
      </c>
      <c r="L717">
        <v>191100.4</v>
      </c>
      <c r="M717">
        <v>102000.75</v>
      </c>
      <c r="N717">
        <v>685</v>
      </c>
      <c r="O717">
        <v>210000</v>
      </c>
      <c r="P717" t="s">
        <v>76</v>
      </c>
      <c r="Q717" t="s">
        <v>27</v>
      </c>
      <c r="R717">
        <v>0</v>
      </c>
      <c r="S717" t="s">
        <v>28</v>
      </c>
    </row>
    <row r="718" spans="1:19">
      <c r="A718" t="s">
        <v>469</v>
      </c>
      <c r="B718" t="s">
        <v>1737</v>
      </c>
      <c r="C718" t="s">
        <v>52</v>
      </c>
      <c r="D718" t="s">
        <v>471</v>
      </c>
      <c r="E718" t="s">
        <v>472</v>
      </c>
      <c r="F718">
        <v>55</v>
      </c>
      <c r="G718" t="s">
        <v>34</v>
      </c>
      <c r="H718" t="s">
        <v>1738</v>
      </c>
      <c r="I718">
        <f>48-715-789-12</f>
        <v>-1468</v>
      </c>
      <c r="J718" s="1">
        <v>44308</v>
      </c>
      <c r="K718" s="1">
        <v>45301</v>
      </c>
      <c r="L718">
        <v>62100.800000000003</v>
      </c>
      <c r="M718">
        <v>35200.6</v>
      </c>
      <c r="N718">
        <v>715</v>
      </c>
      <c r="O718">
        <v>109000</v>
      </c>
      <c r="P718" t="s">
        <v>26</v>
      </c>
      <c r="Q718" t="s">
        <v>27</v>
      </c>
      <c r="R718">
        <v>0</v>
      </c>
      <c r="S718" t="s">
        <v>28</v>
      </c>
    </row>
    <row r="719" spans="1:19">
      <c r="A719" t="s">
        <v>474</v>
      </c>
      <c r="B719" t="s">
        <v>1739</v>
      </c>
      <c r="C719" t="s">
        <v>46</v>
      </c>
      <c r="D719" t="s">
        <v>345</v>
      </c>
      <c r="E719" t="s">
        <v>346</v>
      </c>
      <c r="F719">
        <v>58</v>
      </c>
      <c r="G719" t="s">
        <v>24</v>
      </c>
      <c r="H719" t="s">
        <v>1740</v>
      </c>
      <c r="I719">
        <f>880-1812-901234</f>
        <v>-902166</v>
      </c>
      <c r="J719" s="1">
        <v>44218</v>
      </c>
      <c r="K719" s="1">
        <v>45302</v>
      </c>
      <c r="L719">
        <v>89900.25</v>
      </c>
      <c r="M719">
        <v>45200.4</v>
      </c>
      <c r="N719">
        <v>680</v>
      </c>
      <c r="O719">
        <v>138000</v>
      </c>
      <c r="P719" t="s">
        <v>26</v>
      </c>
      <c r="Q719" t="s">
        <v>27</v>
      </c>
      <c r="R719">
        <v>0</v>
      </c>
      <c r="S719" t="s">
        <v>28</v>
      </c>
    </row>
    <row r="720" spans="1:19">
      <c r="A720" t="s">
        <v>592</v>
      </c>
      <c r="B720" t="s">
        <v>1741</v>
      </c>
      <c r="C720" t="s">
        <v>84</v>
      </c>
      <c r="D720" t="s">
        <v>32</v>
      </c>
      <c r="E720" t="s">
        <v>90</v>
      </c>
      <c r="F720">
        <v>38</v>
      </c>
      <c r="G720" t="s">
        <v>34</v>
      </c>
      <c r="H720" t="s">
        <v>1742</v>
      </c>
      <c r="I720">
        <f>81-90-1234-5678</f>
        <v>-6921</v>
      </c>
      <c r="J720" s="1">
        <v>45387</v>
      </c>
      <c r="K720" s="1">
        <v>45304</v>
      </c>
      <c r="L720">
        <v>3450.4</v>
      </c>
      <c r="M720">
        <v>12200.75</v>
      </c>
      <c r="N720">
        <v>610</v>
      </c>
      <c r="O720">
        <v>34000</v>
      </c>
      <c r="P720" t="s">
        <v>76</v>
      </c>
      <c r="Q720" t="s">
        <v>43</v>
      </c>
      <c r="R720">
        <v>0</v>
      </c>
      <c r="S720" t="s">
        <v>28</v>
      </c>
    </row>
    <row r="721" spans="1:19">
      <c r="A721" t="s">
        <v>595</v>
      </c>
      <c r="B721" t="s">
        <v>1743</v>
      </c>
      <c r="C721" t="s">
        <v>21</v>
      </c>
      <c r="D721" t="s">
        <v>209</v>
      </c>
      <c r="E721" t="s">
        <v>210</v>
      </c>
      <c r="F721">
        <v>70</v>
      </c>
      <c r="G721" t="s">
        <v>24</v>
      </c>
      <c r="H721" t="s">
        <v>1744</v>
      </c>
      <c r="I721">
        <f>52-55-9012-123</f>
        <v>-9138</v>
      </c>
      <c r="J721" s="1">
        <v>43365</v>
      </c>
      <c r="K721" s="1">
        <v>45299</v>
      </c>
      <c r="L721">
        <v>289100.79999999999</v>
      </c>
      <c r="M721">
        <v>93000.25</v>
      </c>
      <c r="N721">
        <v>825</v>
      </c>
      <c r="O721">
        <v>290000</v>
      </c>
      <c r="P721" t="s">
        <v>36</v>
      </c>
      <c r="Q721" t="s">
        <v>27</v>
      </c>
      <c r="R721">
        <v>0</v>
      </c>
      <c r="S721" t="s">
        <v>28</v>
      </c>
    </row>
    <row r="722" spans="1:19">
      <c r="A722" t="s">
        <v>226</v>
      </c>
      <c r="B722" t="s">
        <v>1745</v>
      </c>
      <c r="C722" t="s">
        <v>57</v>
      </c>
      <c r="D722" t="s">
        <v>228</v>
      </c>
      <c r="E722" t="s">
        <v>229</v>
      </c>
      <c r="F722">
        <v>45</v>
      </c>
      <c r="G722" t="s">
        <v>34</v>
      </c>
      <c r="H722" t="s">
        <v>1746</v>
      </c>
      <c r="I722">
        <f>254-739-12-345</f>
        <v>-842</v>
      </c>
      <c r="J722" s="1">
        <v>45099</v>
      </c>
      <c r="K722" s="1">
        <v>45305</v>
      </c>
      <c r="L722">
        <v>28800.75</v>
      </c>
      <c r="M722">
        <v>11200.4</v>
      </c>
      <c r="N722">
        <v>725</v>
      </c>
      <c r="O722">
        <v>66000</v>
      </c>
      <c r="P722" t="s">
        <v>36</v>
      </c>
      <c r="Q722" t="s">
        <v>27</v>
      </c>
      <c r="R722">
        <v>0</v>
      </c>
      <c r="S722" t="s">
        <v>28</v>
      </c>
    </row>
    <row r="723" spans="1:19">
      <c r="A723" t="s">
        <v>488</v>
      </c>
      <c r="B723" t="s">
        <v>1747</v>
      </c>
      <c r="C723" t="s">
        <v>39</v>
      </c>
      <c r="D723" t="s">
        <v>304</v>
      </c>
      <c r="E723" t="s">
        <v>304</v>
      </c>
      <c r="F723">
        <v>62</v>
      </c>
      <c r="G723" t="s">
        <v>24</v>
      </c>
      <c r="H723" t="s">
        <v>1748</v>
      </c>
      <c r="I723">
        <f>65-9890-1234</f>
        <v>-11059</v>
      </c>
      <c r="J723" s="1">
        <v>43842</v>
      </c>
      <c r="K723" s="1">
        <v>45300</v>
      </c>
      <c r="L723">
        <v>169300.6</v>
      </c>
      <c r="M723">
        <v>93000.9</v>
      </c>
      <c r="N723">
        <v>675</v>
      </c>
      <c r="O723">
        <v>190000</v>
      </c>
      <c r="P723" t="s">
        <v>76</v>
      </c>
      <c r="Q723" t="s">
        <v>27</v>
      </c>
      <c r="R723">
        <v>0</v>
      </c>
      <c r="S723" t="s">
        <v>28</v>
      </c>
    </row>
    <row r="724" spans="1:19">
      <c r="A724" t="s">
        <v>491</v>
      </c>
      <c r="B724" t="s">
        <v>1749</v>
      </c>
      <c r="C724" t="s">
        <v>52</v>
      </c>
      <c r="D724" t="s">
        <v>493</v>
      </c>
      <c r="E724" t="s">
        <v>494</v>
      </c>
      <c r="F724">
        <v>53</v>
      </c>
      <c r="G724" t="s">
        <v>34</v>
      </c>
      <c r="H724" t="s">
        <v>1750</v>
      </c>
      <c r="I724">
        <f>30-707-890-1234</f>
        <v>-2801</v>
      </c>
      <c r="J724" s="1">
        <v>44614</v>
      </c>
      <c r="K724" s="1">
        <v>45302</v>
      </c>
      <c r="L724">
        <v>56300.4</v>
      </c>
      <c r="M724">
        <v>31000.25</v>
      </c>
      <c r="N724">
        <v>705</v>
      </c>
      <c r="O724">
        <v>98000</v>
      </c>
      <c r="P724" t="s">
        <v>26</v>
      </c>
      <c r="Q724" t="s">
        <v>27</v>
      </c>
      <c r="R724">
        <v>0</v>
      </c>
      <c r="S724" t="s">
        <v>28</v>
      </c>
    </row>
    <row r="725" spans="1:19">
      <c r="A725" t="s">
        <v>496</v>
      </c>
      <c r="B725" t="s">
        <v>1751</v>
      </c>
      <c r="C725" t="s">
        <v>46</v>
      </c>
      <c r="D725" t="s">
        <v>321</v>
      </c>
      <c r="E725" t="s">
        <v>498</v>
      </c>
      <c r="F725">
        <v>56</v>
      </c>
      <c r="G725" t="s">
        <v>24</v>
      </c>
      <c r="H725" t="s">
        <v>1752</v>
      </c>
      <c r="I725">
        <f>61-439-12-345</f>
        <v>-735</v>
      </c>
      <c r="J725" s="1">
        <v>44096</v>
      </c>
      <c r="K725" s="1">
        <v>45301</v>
      </c>
      <c r="L725">
        <v>103100.75</v>
      </c>
      <c r="M725">
        <v>52100.800000000003</v>
      </c>
      <c r="N725">
        <v>730</v>
      </c>
      <c r="O725">
        <v>164000</v>
      </c>
      <c r="P725" t="s">
        <v>26</v>
      </c>
      <c r="Q725" t="s">
        <v>27</v>
      </c>
      <c r="R725">
        <v>0</v>
      </c>
      <c r="S725" t="s">
        <v>28</v>
      </c>
    </row>
    <row r="726" spans="1:19">
      <c r="A726" t="s">
        <v>324</v>
      </c>
      <c r="B726" t="s">
        <v>1753</v>
      </c>
      <c r="C726" t="s">
        <v>31</v>
      </c>
      <c r="D726" t="s">
        <v>313</v>
      </c>
      <c r="E726" t="s">
        <v>385</v>
      </c>
      <c r="F726">
        <v>41</v>
      </c>
      <c r="G726" t="s">
        <v>34</v>
      </c>
      <c r="H726" t="s">
        <v>1754</v>
      </c>
      <c r="I726">
        <f>92-337-3210987</f>
        <v>-3211232</v>
      </c>
      <c r="J726" s="1">
        <v>45379</v>
      </c>
      <c r="K726" s="1">
        <v>45306</v>
      </c>
      <c r="L726">
        <v>13800.9</v>
      </c>
      <c r="M726">
        <v>8300.75</v>
      </c>
      <c r="N726">
        <v>685</v>
      </c>
      <c r="O726">
        <v>51000</v>
      </c>
      <c r="P726" t="s">
        <v>26</v>
      </c>
      <c r="Q726" t="s">
        <v>43</v>
      </c>
      <c r="R726">
        <v>0</v>
      </c>
      <c r="S726" t="s">
        <v>28</v>
      </c>
    </row>
    <row r="727" spans="1:19">
      <c r="A727" t="s">
        <v>503</v>
      </c>
      <c r="B727" t="s">
        <v>1755</v>
      </c>
      <c r="C727" t="s">
        <v>21</v>
      </c>
      <c r="D727" t="s">
        <v>32</v>
      </c>
      <c r="E727" t="s">
        <v>33</v>
      </c>
      <c r="F727">
        <v>73</v>
      </c>
      <c r="G727" t="s">
        <v>24</v>
      </c>
      <c r="H727" t="s">
        <v>1756</v>
      </c>
      <c r="I727">
        <f>81-80-7890-1234</f>
        <v>-9123</v>
      </c>
      <c r="J727" s="1">
        <v>43091</v>
      </c>
      <c r="K727" s="1">
        <v>45299</v>
      </c>
      <c r="L727">
        <v>300000.25</v>
      </c>
      <c r="M727">
        <v>97000.4</v>
      </c>
      <c r="N727">
        <v>840</v>
      </c>
      <c r="O727">
        <v>305000</v>
      </c>
      <c r="P727" t="s">
        <v>36</v>
      </c>
      <c r="Q727" t="s">
        <v>27</v>
      </c>
      <c r="R727">
        <v>0</v>
      </c>
      <c r="S727" t="s">
        <v>28</v>
      </c>
    </row>
    <row r="728" spans="1:19">
      <c r="A728" t="s">
        <v>506</v>
      </c>
      <c r="B728" t="s">
        <v>1757</v>
      </c>
      <c r="C728" t="s">
        <v>39</v>
      </c>
      <c r="D728" t="s">
        <v>68</v>
      </c>
      <c r="E728" t="s">
        <v>69</v>
      </c>
      <c r="F728">
        <v>65</v>
      </c>
      <c r="G728" t="s">
        <v>34</v>
      </c>
      <c r="H728" t="s">
        <v>1758</v>
      </c>
      <c r="I728">
        <f>234-829-12-3456</f>
        <v>-4063</v>
      </c>
      <c r="J728" s="1">
        <v>43607</v>
      </c>
      <c r="K728" s="1">
        <v>45300</v>
      </c>
      <c r="L728">
        <v>180400.4</v>
      </c>
      <c r="M728">
        <v>97000.75</v>
      </c>
      <c r="N728">
        <v>650</v>
      </c>
      <c r="O728">
        <v>200000</v>
      </c>
      <c r="P728" t="s">
        <v>76</v>
      </c>
      <c r="Q728" t="s">
        <v>27</v>
      </c>
      <c r="R728">
        <v>0</v>
      </c>
      <c r="S728" t="s">
        <v>28</v>
      </c>
    </row>
    <row r="729" spans="1:19">
      <c r="A729" t="s">
        <v>509</v>
      </c>
      <c r="B729" t="s">
        <v>1759</v>
      </c>
      <c r="C729" t="s">
        <v>46</v>
      </c>
      <c r="D729" t="s">
        <v>73</v>
      </c>
      <c r="E729" t="s">
        <v>74</v>
      </c>
      <c r="F729">
        <v>52</v>
      </c>
      <c r="G729" t="s">
        <v>24</v>
      </c>
      <c r="H729" t="s">
        <v>1760</v>
      </c>
      <c r="I729">
        <f>49-191-2345678</f>
        <v>-2345820</v>
      </c>
      <c r="J729" s="1">
        <v>44826</v>
      </c>
      <c r="K729" s="1">
        <v>45303</v>
      </c>
      <c r="L729">
        <v>91000.4</v>
      </c>
      <c r="M729">
        <v>46300.25</v>
      </c>
      <c r="N729">
        <v>745</v>
      </c>
      <c r="O729">
        <v>144000</v>
      </c>
      <c r="P729" t="s">
        <v>26</v>
      </c>
      <c r="Q729" t="s">
        <v>27</v>
      </c>
      <c r="R729">
        <v>0</v>
      </c>
      <c r="S729" t="s">
        <v>28</v>
      </c>
    </row>
    <row r="730" spans="1:19">
      <c r="A730" t="s">
        <v>513</v>
      </c>
      <c r="B730" t="s">
        <v>1761</v>
      </c>
      <c r="C730" t="s">
        <v>57</v>
      </c>
      <c r="D730" t="s">
        <v>58</v>
      </c>
      <c r="E730" t="s">
        <v>122</v>
      </c>
      <c r="F730">
        <v>47</v>
      </c>
      <c r="G730" t="s">
        <v>34</v>
      </c>
      <c r="H730" t="s">
        <v>1762</v>
      </c>
      <c r="I730">
        <f>86-137-2345-6789</f>
        <v>-9185</v>
      </c>
      <c r="J730" s="1">
        <v>45007</v>
      </c>
      <c r="K730" s="1">
        <v>45302</v>
      </c>
      <c r="L730">
        <v>31000.799999999999</v>
      </c>
      <c r="M730">
        <v>12400.9</v>
      </c>
      <c r="N730">
        <v>765</v>
      </c>
      <c r="O730">
        <v>76000</v>
      </c>
      <c r="P730" t="s">
        <v>36</v>
      </c>
      <c r="Q730" t="s">
        <v>27</v>
      </c>
      <c r="R730">
        <v>0</v>
      </c>
      <c r="S730" t="s">
        <v>28</v>
      </c>
    </row>
    <row r="731" spans="1:19">
      <c r="A731" t="s">
        <v>516</v>
      </c>
      <c r="B731" t="s">
        <v>1763</v>
      </c>
      <c r="C731" t="s">
        <v>52</v>
      </c>
      <c r="D731" t="s">
        <v>277</v>
      </c>
      <c r="E731" t="s">
        <v>404</v>
      </c>
      <c r="F731">
        <v>60</v>
      </c>
      <c r="G731" t="s">
        <v>24</v>
      </c>
      <c r="H731" t="s">
        <v>1764</v>
      </c>
      <c r="I731">
        <f>20-122-543-2109</f>
        <v>-2754</v>
      </c>
      <c r="J731" s="1">
        <v>44277</v>
      </c>
      <c r="K731" s="1">
        <v>45301</v>
      </c>
      <c r="L731">
        <v>64300.75</v>
      </c>
      <c r="M731">
        <v>37400.400000000001</v>
      </c>
      <c r="N731">
        <v>675</v>
      </c>
      <c r="O731">
        <v>116000</v>
      </c>
      <c r="P731" t="s">
        <v>26</v>
      </c>
      <c r="Q731" t="s">
        <v>27</v>
      </c>
      <c r="R731">
        <v>0</v>
      </c>
      <c r="S731" t="s">
        <v>28</v>
      </c>
    </row>
    <row r="732" spans="1:19">
      <c r="A732" t="s">
        <v>519</v>
      </c>
      <c r="B732" t="s">
        <v>1765</v>
      </c>
      <c r="C732" t="s">
        <v>84</v>
      </c>
      <c r="D732" t="s">
        <v>183</v>
      </c>
      <c r="E732" t="s">
        <v>184</v>
      </c>
      <c r="F732">
        <v>39</v>
      </c>
      <c r="G732" t="s">
        <v>34</v>
      </c>
      <c r="H732" t="s">
        <v>1766</v>
      </c>
      <c r="I732">
        <f>33-6-9012-3456</f>
        <v>-12441</v>
      </c>
      <c r="J732" s="1">
        <v>45394</v>
      </c>
      <c r="K732" s="1">
        <v>45304</v>
      </c>
      <c r="L732">
        <v>3700.25</v>
      </c>
      <c r="M732">
        <v>13400.6</v>
      </c>
      <c r="N732">
        <v>615</v>
      </c>
      <c r="O732">
        <v>36000</v>
      </c>
      <c r="P732" t="s">
        <v>76</v>
      </c>
      <c r="Q732" t="s">
        <v>43</v>
      </c>
      <c r="R732">
        <v>0</v>
      </c>
      <c r="S732" t="s">
        <v>28</v>
      </c>
    </row>
    <row r="733" spans="1:19">
      <c r="A733" t="s">
        <v>522</v>
      </c>
      <c r="B733" t="s">
        <v>1767</v>
      </c>
      <c r="C733" t="s">
        <v>39</v>
      </c>
      <c r="D733" t="s">
        <v>40</v>
      </c>
      <c r="E733" t="s">
        <v>41</v>
      </c>
      <c r="F733">
        <v>67</v>
      </c>
      <c r="G733" t="s">
        <v>24</v>
      </c>
      <c r="H733" t="s">
        <v>1768</v>
      </c>
      <c r="I733">
        <f>91-987-654-3210</f>
        <v>-4760</v>
      </c>
      <c r="J733" s="1">
        <v>43577</v>
      </c>
      <c r="K733" s="1">
        <v>45299</v>
      </c>
      <c r="L733">
        <v>215000.8</v>
      </c>
      <c r="M733">
        <v>110000.25</v>
      </c>
      <c r="N733">
        <v>660</v>
      </c>
      <c r="O733">
        <v>235000</v>
      </c>
      <c r="P733" t="s">
        <v>76</v>
      </c>
      <c r="Q733" t="s">
        <v>27</v>
      </c>
      <c r="R733">
        <v>0</v>
      </c>
      <c r="S733" t="s">
        <v>28</v>
      </c>
    </row>
    <row r="734" spans="1:19">
      <c r="A734" t="s">
        <v>306</v>
      </c>
      <c r="B734" t="s">
        <v>1769</v>
      </c>
      <c r="C734" t="s">
        <v>46</v>
      </c>
      <c r="D734" t="s">
        <v>209</v>
      </c>
      <c r="E734" t="s">
        <v>447</v>
      </c>
      <c r="F734">
        <v>54</v>
      </c>
      <c r="G734" t="s">
        <v>34</v>
      </c>
      <c r="H734" t="s">
        <v>1770</v>
      </c>
      <c r="I734">
        <f>52-33-123-123</f>
        <v>-227</v>
      </c>
      <c r="J734" s="1">
        <v>44430</v>
      </c>
      <c r="K734" s="1">
        <v>45302</v>
      </c>
      <c r="L734">
        <v>85400.9</v>
      </c>
      <c r="M734">
        <v>43200.75</v>
      </c>
      <c r="N734">
        <v>730</v>
      </c>
      <c r="O734">
        <v>139000</v>
      </c>
      <c r="P734" t="s">
        <v>26</v>
      </c>
      <c r="Q734" t="s">
        <v>27</v>
      </c>
      <c r="R734">
        <v>0</v>
      </c>
      <c r="S734" t="s">
        <v>28</v>
      </c>
    </row>
    <row r="735" spans="1:19">
      <c r="A735" t="s">
        <v>527</v>
      </c>
      <c r="B735" t="s">
        <v>1771</v>
      </c>
      <c r="C735" t="s">
        <v>31</v>
      </c>
      <c r="D735" t="s">
        <v>32</v>
      </c>
      <c r="E735" t="s">
        <v>90</v>
      </c>
      <c r="F735">
        <v>43</v>
      </c>
      <c r="G735" t="s">
        <v>34</v>
      </c>
      <c r="H735" t="s">
        <v>1772</v>
      </c>
      <c r="I735">
        <f>81-90-8901-2345</f>
        <v>-11255</v>
      </c>
      <c r="J735" s="1">
        <v>45390</v>
      </c>
      <c r="K735" s="1">
        <v>45305</v>
      </c>
      <c r="L735">
        <v>14900.4</v>
      </c>
      <c r="M735">
        <v>8400.25</v>
      </c>
      <c r="N735">
        <v>705</v>
      </c>
      <c r="O735">
        <v>53000</v>
      </c>
      <c r="P735" t="s">
        <v>26</v>
      </c>
      <c r="Q735" t="s">
        <v>43</v>
      </c>
      <c r="R735">
        <v>0</v>
      </c>
      <c r="S735" t="s">
        <v>28</v>
      </c>
    </row>
    <row r="736" spans="1:19">
      <c r="A736" t="s">
        <v>530</v>
      </c>
      <c r="B736" t="s">
        <v>1773</v>
      </c>
      <c r="C736" t="s">
        <v>57</v>
      </c>
      <c r="D736" t="s">
        <v>219</v>
      </c>
      <c r="E736" t="s">
        <v>220</v>
      </c>
      <c r="F736">
        <v>48</v>
      </c>
      <c r="G736" t="s">
        <v>24</v>
      </c>
      <c r="H736" t="s">
        <v>1774</v>
      </c>
      <c r="I736">
        <f>233-70-123-4567</f>
        <v>-4527</v>
      </c>
      <c r="J736" s="1">
        <v>44979</v>
      </c>
      <c r="K736" s="1">
        <v>45303</v>
      </c>
      <c r="L736">
        <v>29900.6</v>
      </c>
      <c r="M736">
        <v>11800.8</v>
      </c>
      <c r="N736">
        <v>710</v>
      </c>
      <c r="O736">
        <v>69000</v>
      </c>
      <c r="P736" t="s">
        <v>36</v>
      </c>
      <c r="Q736" t="s">
        <v>27</v>
      </c>
      <c r="R736">
        <v>0</v>
      </c>
      <c r="S736" t="s">
        <v>28</v>
      </c>
    </row>
    <row r="737" spans="1:19">
      <c r="A737" t="s">
        <v>533</v>
      </c>
      <c r="B737" t="s">
        <v>1775</v>
      </c>
      <c r="C737" t="s">
        <v>52</v>
      </c>
      <c r="D737" t="s">
        <v>204</v>
      </c>
      <c r="E737" t="s">
        <v>259</v>
      </c>
      <c r="F737">
        <v>55</v>
      </c>
      <c r="G737" t="s">
        <v>34</v>
      </c>
      <c r="H737" t="s">
        <v>1776</v>
      </c>
      <c r="I737">
        <f>7-921-321-9-87</f>
        <v>-1331</v>
      </c>
      <c r="J737" s="1">
        <v>44277</v>
      </c>
      <c r="K737" s="1">
        <v>45301</v>
      </c>
      <c r="L737">
        <v>61200.25</v>
      </c>
      <c r="M737">
        <v>34300.9</v>
      </c>
      <c r="N737">
        <v>695</v>
      </c>
      <c r="O737">
        <v>104000</v>
      </c>
      <c r="P737" t="s">
        <v>26</v>
      </c>
      <c r="Q737" t="s">
        <v>27</v>
      </c>
      <c r="R737">
        <v>0</v>
      </c>
      <c r="S737" t="s">
        <v>28</v>
      </c>
    </row>
    <row r="738" spans="1:19">
      <c r="A738" t="s">
        <v>536</v>
      </c>
      <c r="B738" t="s">
        <v>1777</v>
      </c>
      <c r="C738" t="s">
        <v>39</v>
      </c>
      <c r="D738" t="s">
        <v>195</v>
      </c>
      <c r="E738" t="s">
        <v>300</v>
      </c>
      <c r="F738">
        <v>63</v>
      </c>
      <c r="G738" t="s">
        <v>24</v>
      </c>
      <c r="H738" t="s">
        <v>1778</v>
      </c>
      <c r="I738">
        <f>353-2-12-3456</f>
        <v>-3117</v>
      </c>
      <c r="J738" s="1">
        <v>43730</v>
      </c>
      <c r="K738" s="1">
        <v>45300</v>
      </c>
      <c r="L738">
        <v>147200.4</v>
      </c>
      <c r="M738">
        <v>84000.6</v>
      </c>
      <c r="N738">
        <v>670</v>
      </c>
      <c r="O738">
        <v>171000</v>
      </c>
      <c r="P738" t="s">
        <v>76</v>
      </c>
      <c r="Q738" t="s">
        <v>27</v>
      </c>
      <c r="R738">
        <v>0</v>
      </c>
      <c r="S738" t="s">
        <v>28</v>
      </c>
    </row>
    <row r="739" spans="1:19">
      <c r="A739" t="s">
        <v>539</v>
      </c>
      <c r="B739" t="s">
        <v>1779</v>
      </c>
      <c r="C739" t="s">
        <v>21</v>
      </c>
      <c r="D739" t="s">
        <v>58</v>
      </c>
      <c r="E739" t="s">
        <v>59</v>
      </c>
      <c r="F739">
        <v>71</v>
      </c>
      <c r="G739" t="s">
        <v>34</v>
      </c>
      <c r="H739" t="s">
        <v>1780</v>
      </c>
      <c r="I739">
        <f>86-139-9012-3456</f>
        <v>-12521</v>
      </c>
      <c r="J739" s="1">
        <v>43303</v>
      </c>
      <c r="K739" s="1">
        <v>45299</v>
      </c>
      <c r="L739">
        <v>314100.75</v>
      </c>
      <c r="M739">
        <v>101000.8</v>
      </c>
      <c r="N739">
        <v>835</v>
      </c>
      <c r="O739">
        <v>316000</v>
      </c>
      <c r="P739" t="s">
        <v>36</v>
      </c>
      <c r="Q739" t="s">
        <v>27</v>
      </c>
      <c r="R739">
        <v>0</v>
      </c>
      <c r="S739" t="s">
        <v>28</v>
      </c>
    </row>
    <row r="740" spans="1:19">
      <c r="A740" t="s">
        <v>542</v>
      </c>
      <c r="B740" t="s">
        <v>1781</v>
      </c>
      <c r="C740" t="s">
        <v>52</v>
      </c>
      <c r="D740" t="s">
        <v>68</v>
      </c>
      <c r="E740" t="s">
        <v>179</v>
      </c>
      <c r="F740">
        <v>58</v>
      </c>
      <c r="G740" t="s">
        <v>34</v>
      </c>
      <c r="H740" t="s">
        <v>1782</v>
      </c>
      <c r="I740">
        <f>234-830-123-4567</f>
        <v>-5286</v>
      </c>
      <c r="J740" s="1">
        <v>44249</v>
      </c>
      <c r="K740" s="1">
        <v>45302</v>
      </c>
      <c r="L740">
        <v>69900.600000000006</v>
      </c>
      <c r="M740">
        <v>39900.25</v>
      </c>
      <c r="N740">
        <v>665</v>
      </c>
      <c r="O740">
        <v>124000</v>
      </c>
      <c r="P740" t="s">
        <v>26</v>
      </c>
      <c r="Q740" t="s">
        <v>27</v>
      </c>
      <c r="R740">
        <v>0</v>
      </c>
      <c r="S740" t="s">
        <v>28</v>
      </c>
    </row>
    <row r="741" spans="1:19">
      <c r="A741" t="s">
        <v>545</v>
      </c>
      <c r="B741" t="s">
        <v>1783</v>
      </c>
      <c r="C741" t="s">
        <v>46</v>
      </c>
      <c r="D741" t="s">
        <v>241</v>
      </c>
      <c r="E741" t="s">
        <v>242</v>
      </c>
      <c r="F741">
        <v>50</v>
      </c>
      <c r="G741" t="s">
        <v>24</v>
      </c>
      <c r="H741" t="s">
        <v>1784</v>
      </c>
      <c r="I741">
        <f>39-364-890-1234</f>
        <v>-2449</v>
      </c>
      <c r="J741" s="1">
        <v>44887</v>
      </c>
      <c r="K741" s="1">
        <v>45303</v>
      </c>
      <c r="L741">
        <v>93200.8</v>
      </c>
      <c r="M741">
        <v>47400.4</v>
      </c>
      <c r="N741">
        <v>750</v>
      </c>
      <c r="O741">
        <v>150000</v>
      </c>
      <c r="P741" t="s">
        <v>26</v>
      </c>
      <c r="Q741" t="s">
        <v>27</v>
      </c>
      <c r="R741">
        <v>0</v>
      </c>
      <c r="S741" t="s">
        <v>28</v>
      </c>
    </row>
    <row r="742" spans="1:19">
      <c r="A742" t="s">
        <v>548</v>
      </c>
      <c r="B742" t="s">
        <v>1785</v>
      </c>
      <c r="C742" t="s">
        <v>57</v>
      </c>
      <c r="D742" t="s">
        <v>22</v>
      </c>
      <c r="E742" t="s">
        <v>381</v>
      </c>
      <c r="F742">
        <v>46</v>
      </c>
      <c r="G742" t="s">
        <v>34</v>
      </c>
      <c r="H742" t="s">
        <v>1786</v>
      </c>
      <c r="I742">
        <f>1-415-555-198</f>
        <v>-1167</v>
      </c>
      <c r="J742" s="1">
        <v>45068</v>
      </c>
      <c r="K742" s="1">
        <v>45305</v>
      </c>
      <c r="L742">
        <v>32100.9</v>
      </c>
      <c r="M742">
        <v>12800.75</v>
      </c>
      <c r="N742">
        <v>770</v>
      </c>
      <c r="O742">
        <v>81000</v>
      </c>
      <c r="P742" t="s">
        <v>36</v>
      </c>
      <c r="Q742" t="s">
        <v>27</v>
      </c>
      <c r="R742">
        <v>0</v>
      </c>
      <c r="S742" t="s">
        <v>28</v>
      </c>
    </row>
    <row r="743" spans="1:19">
      <c r="A743" t="s">
        <v>551</v>
      </c>
      <c r="B743" t="s">
        <v>1787</v>
      </c>
      <c r="C743" t="s">
        <v>39</v>
      </c>
      <c r="D743" t="s">
        <v>313</v>
      </c>
      <c r="E743" t="s">
        <v>501</v>
      </c>
      <c r="F743">
        <v>69</v>
      </c>
      <c r="G743" t="s">
        <v>24</v>
      </c>
      <c r="H743" t="s">
        <v>1788</v>
      </c>
      <c r="I743">
        <f>92-316-3210987</f>
        <v>-3211211</v>
      </c>
      <c r="J743" s="1">
        <v>43487</v>
      </c>
      <c r="K743" s="1">
        <v>45299</v>
      </c>
      <c r="L743">
        <v>200300.25</v>
      </c>
      <c r="M743">
        <v>105000.8</v>
      </c>
      <c r="N743">
        <v>645</v>
      </c>
      <c r="O743">
        <v>221000</v>
      </c>
      <c r="P743" t="s">
        <v>76</v>
      </c>
      <c r="Q743" t="s">
        <v>27</v>
      </c>
      <c r="R743">
        <v>0</v>
      </c>
      <c r="S743" t="s">
        <v>28</v>
      </c>
    </row>
    <row r="744" spans="1:19">
      <c r="A744" t="s">
        <v>554</v>
      </c>
      <c r="B744" t="s">
        <v>1789</v>
      </c>
      <c r="C744" t="s">
        <v>31</v>
      </c>
      <c r="D744" t="s">
        <v>214</v>
      </c>
      <c r="E744" t="s">
        <v>483</v>
      </c>
      <c r="F744">
        <v>42</v>
      </c>
      <c r="G744" t="s">
        <v>34</v>
      </c>
      <c r="H744" t="s">
        <v>1790</v>
      </c>
      <c r="I744">
        <f>34-639-12-345</f>
        <v>-962</v>
      </c>
      <c r="J744" s="1">
        <v>45394</v>
      </c>
      <c r="K744" s="1">
        <v>45306</v>
      </c>
      <c r="L744">
        <v>26200.5</v>
      </c>
      <c r="M744">
        <v>12400.4</v>
      </c>
      <c r="N744">
        <v>720</v>
      </c>
      <c r="O744">
        <v>58000</v>
      </c>
      <c r="P744" t="s">
        <v>36</v>
      </c>
      <c r="Q744" t="s">
        <v>27</v>
      </c>
      <c r="R744">
        <v>0</v>
      </c>
      <c r="S744" t="s">
        <v>28</v>
      </c>
    </row>
    <row r="745" spans="1:19">
      <c r="A745" t="s">
        <v>108</v>
      </c>
      <c r="B745" t="s">
        <v>1791</v>
      </c>
      <c r="C745" t="s">
        <v>84</v>
      </c>
      <c r="D745" t="s">
        <v>32</v>
      </c>
      <c r="E745" t="s">
        <v>33</v>
      </c>
      <c r="F745">
        <v>38</v>
      </c>
      <c r="G745" t="s">
        <v>24</v>
      </c>
      <c r="H745" t="s">
        <v>1792</v>
      </c>
      <c r="I745">
        <f>81-90-1234-5678</f>
        <v>-6921</v>
      </c>
      <c r="J745" s="1">
        <v>45397</v>
      </c>
      <c r="K745" s="1">
        <v>45304</v>
      </c>
      <c r="L745">
        <v>3450.8</v>
      </c>
      <c r="M745">
        <v>11800.25</v>
      </c>
      <c r="N745">
        <v>605</v>
      </c>
      <c r="O745">
        <v>34000</v>
      </c>
      <c r="P745" t="s">
        <v>76</v>
      </c>
      <c r="Q745" t="s">
        <v>43</v>
      </c>
      <c r="R745">
        <v>0</v>
      </c>
      <c r="S745" t="s">
        <v>28</v>
      </c>
    </row>
    <row r="746" spans="1:19">
      <c r="A746" t="s">
        <v>559</v>
      </c>
      <c r="B746" t="s">
        <v>1793</v>
      </c>
      <c r="C746" t="s">
        <v>46</v>
      </c>
      <c r="D746" t="s">
        <v>254</v>
      </c>
      <c r="E746" t="s">
        <v>255</v>
      </c>
      <c r="F746">
        <v>52</v>
      </c>
      <c r="G746" t="s">
        <v>34</v>
      </c>
      <c r="H746" t="s">
        <v>1794</v>
      </c>
      <c r="I746">
        <f>221-94-890-1234</f>
        <v>-1997</v>
      </c>
      <c r="J746" s="1">
        <v>44764</v>
      </c>
      <c r="K746" s="1">
        <v>45302</v>
      </c>
      <c r="L746">
        <v>79900.399999999994</v>
      </c>
      <c r="M746">
        <v>42100.75</v>
      </c>
      <c r="N746">
        <v>710</v>
      </c>
      <c r="O746">
        <v>132000</v>
      </c>
      <c r="P746" t="s">
        <v>26</v>
      </c>
      <c r="Q746" t="s">
        <v>27</v>
      </c>
      <c r="R746">
        <v>0</v>
      </c>
      <c r="S746" t="s">
        <v>28</v>
      </c>
    </row>
    <row r="747" spans="1:19">
      <c r="A747" t="s">
        <v>562</v>
      </c>
      <c r="B747" t="s">
        <v>1795</v>
      </c>
      <c r="C747" t="s">
        <v>39</v>
      </c>
      <c r="D747" t="s">
        <v>47</v>
      </c>
      <c r="E747" t="s">
        <v>98</v>
      </c>
      <c r="F747">
        <v>66</v>
      </c>
      <c r="G747" t="s">
        <v>24</v>
      </c>
      <c r="H747" t="s">
        <v>1796</v>
      </c>
      <c r="I747">
        <f>44-79-1234-5678</f>
        <v>-6947</v>
      </c>
      <c r="J747" s="1">
        <v>43638</v>
      </c>
      <c r="K747" s="1">
        <v>45300</v>
      </c>
      <c r="L747">
        <v>180500.6</v>
      </c>
      <c r="M747">
        <v>98000.25</v>
      </c>
      <c r="N747">
        <v>675</v>
      </c>
      <c r="O747">
        <v>201000</v>
      </c>
      <c r="P747" t="s">
        <v>76</v>
      </c>
      <c r="Q747" t="s">
        <v>27</v>
      </c>
      <c r="R747">
        <v>0</v>
      </c>
      <c r="S747" t="s">
        <v>28</v>
      </c>
    </row>
    <row r="748" spans="1:19">
      <c r="A748" t="s">
        <v>565</v>
      </c>
      <c r="B748" t="s">
        <v>1797</v>
      </c>
      <c r="C748" t="s">
        <v>52</v>
      </c>
      <c r="D748" t="s">
        <v>233</v>
      </c>
      <c r="E748" t="s">
        <v>296</v>
      </c>
      <c r="F748">
        <v>51</v>
      </c>
      <c r="G748" t="s">
        <v>34</v>
      </c>
      <c r="H748" t="s">
        <v>1798</v>
      </c>
      <c r="I748">
        <f>82-10-123-4567</f>
        <v>-4618</v>
      </c>
      <c r="J748" s="1">
        <v>44552</v>
      </c>
      <c r="K748" s="1">
        <v>45301</v>
      </c>
      <c r="L748">
        <v>56300.75</v>
      </c>
      <c r="M748">
        <v>33200.800000000003</v>
      </c>
      <c r="N748">
        <v>725</v>
      </c>
      <c r="O748">
        <v>98000</v>
      </c>
      <c r="P748" t="s">
        <v>26</v>
      </c>
      <c r="Q748" t="s">
        <v>27</v>
      </c>
      <c r="R748">
        <v>0</v>
      </c>
      <c r="S748" t="s">
        <v>28</v>
      </c>
    </row>
    <row r="749" spans="1:19">
      <c r="A749" t="s">
        <v>568</v>
      </c>
      <c r="B749" t="s">
        <v>1799</v>
      </c>
      <c r="C749" t="s">
        <v>57</v>
      </c>
      <c r="D749" t="s">
        <v>79</v>
      </c>
      <c r="E749" t="s">
        <v>102</v>
      </c>
      <c r="F749">
        <v>49</v>
      </c>
      <c r="G749" t="s">
        <v>24</v>
      </c>
      <c r="H749" t="s">
        <v>1800</v>
      </c>
      <c r="I749">
        <f>971-50-234-5678</f>
        <v>-4991</v>
      </c>
      <c r="J749" s="1">
        <v>45007</v>
      </c>
      <c r="K749" s="1">
        <v>45303</v>
      </c>
      <c r="L749">
        <v>34300.400000000001</v>
      </c>
      <c r="M749">
        <v>13600.9</v>
      </c>
      <c r="N749">
        <v>740</v>
      </c>
      <c r="O749">
        <v>84000</v>
      </c>
      <c r="P749" t="s">
        <v>36</v>
      </c>
      <c r="Q749" t="s">
        <v>27</v>
      </c>
      <c r="R749">
        <v>0</v>
      </c>
      <c r="S749" t="s">
        <v>28</v>
      </c>
    </row>
    <row r="750" spans="1:19">
      <c r="A750" t="s">
        <v>571</v>
      </c>
      <c r="B750" t="s">
        <v>1801</v>
      </c>
      <c r="C750" t="s">
        <v>21</v>
      </c>
      <c r="D750" t="s">
        <v>63</v>
      </c>
      <c r="E750" t="s">
        <v>106</v>
      </c>
      <c r="F750">
        <v>72</v>
      </c>
      <c r="G750" t="s">
        <v>34</v>
      </c>
      <c r="H750" t="s">
        <v>1802</v>
      </c>
      <c r="I750">
        <f>55-21-99934-5678</f>
        <v>-105578</v>
      </c>
      <c r="J750" s="1">
        <v>43181</v>
      </c>
      <c r="K750" s="1">
        <v>45299</v>
      </c>
      <c r="L750">
        <v>269400.90000000002</v>
      </c>
      <c r="M750">
        <v>88000.6</v>
      </c>
      <c r="N750">
        <v>830</v>
      </c>
      <c r="O750">
        <v>296000</v>
      </c>
      <c r="P750" t="s">
        <v>36</v>
      </c>
      <c r="Q750" t="s">
        <v>27</v>
      </c>
      <c r="R750">
        <v>0</v>
      </c>
      <c r="S750" t="s">
        <v>28</v>
      </c>
    </row>
    <row r="751" spans="1:19">
      <c r="A751" t="s">
        <v>574</v>
      </c>
      <c r="B751" t="s">
        <v>1803</v>
      </c>
      <c r="C751" t="s">
        <v>39</v>
      </c>
      <c r="D751" t="s">
        <v>68</v>
      </c>
      <c r="E751" t="s">
        <v>114</v>
      </c>
      <c r="F751">
        <v>64</v>
      </c>
      <c r="G751" t="s">
        <v>24</v>
      </c>
      <c r="H751" t="s">
        <v>1804</v>
      </c>
      <c r="I751">
        <f>234-831-234-5678</f>
        <v>-6509</v>
      </c>
      <c r="J751" s="1">
        <v>43781</v>
      </c>
      <c r="K751" s="1">
        <v>45300</v>
      </c>
      <c r="L751">
        <v>158300.25</v>
      </c>
      <c r="M751">
        <v>90000.4</v>
      </c>
      <c r="N751">
        <v>655</v>
      </c>
      <c r="O751">
        <v>186000</v>
      </c>
      <c r="P751" t="s">
        <v>76</v>
      </c>
      <c r="Q751" t="s">
        <v>27</v>
      </c>
      <c r="R751">
        <v>0</v>
      </c>
      <c r="S751" t="s">
        <v>28</v>
      </c>
    </row>
    <row r="752" spans="1:19">
      <c r="A752" t="s">
        <v>577</v>
      </c>
      <c r="B752" t="s">
        <v>1805</v>
      </c>
      <c r="C752" t="s">
        <v>46</v>
      </c>
      <c r="D752" t="s">
        <v>85</v>
      </c>
      <c r="E752" t="s">
        <v>130</v>
      </c>
      <c r="F752">
        <v>53</v>
      </c>
      <c r="G752" t="s">
        <v>34</v>
      </c>
      <c r="H752" t="s">
        <v>1806</v>
      </c>
      <c r="I752">
        <f>1-604-555-198</f>
        <v>-1356</v>
      </c>
      <c r="J752" s="1">
        <v>44673</v>
      </c>
      <c r="K752" s="1">
        <v>45302</v>
      </c>
      <c r="L752">
        <v>98800.6</v>
      </c>
      <c r="M752">
        <v>50100.75</v>
      </c>
      <c r="N752">
        <v>760</v>
      </c>
      <c r="O752">
        <v>155000</v>
      </c>
      <c r="P752" t="s">
        <v>26</v>
      </c>
      <c r="Q752" t="s">
        <v>27</v>
      </c>
      <c r="R752">
        <v>0</v>
      </c>
      <c r="S752" t="s">
        <v>28</v>
      </c>
    </row>
    <row r="753" spans="1:19">
      <c r="A753" t="s">
        <v>458</v>
      </c>
      <c r="B753" t="s">
        <v>1807</v>
      </c>
      <c r="C753" t="s">
        <v>31</v>
      </c>
      <c r="D753" t="s">
        <v>460</v>
      </c>
      <c r="E753" t="s">
        <v>663</v>
      </c>
      <c r="F753">
        <v>44</v>
      </c>
      <c r="G753" t="s">
        <v>24</v>
      </c>
      <c r="H753" t="s">
        <v>1808</v>
      </c>
      <c r="I753">
        <f>62-828-9012-3456</f>
        <v>-13234</v>
      </c>
      <c r="J753" s="1">
        <v>45390</v>
      </c>
      <c r="K753" s="1">
        <v>45306</v>
      </c>
      <c r="L753">
        <v>16400.25</v>
      </c>
      <c r="M753">
        <v>9700.7999999999993</v>
      </c>
      <c r="N753">
        <v>695</v>
      </c>
      <c r="O753">
        <v>55000</v>
      </c>
      <c r="P753" t="s">
        <v>26</v>
      </c>
      <c r="Q753" t="s">
        <v>43</v>
      </c>
      <c r="R753">
        <v>0</v>
      </c>
      <c r="S753" t="s">
        <v>28</v>
      </c>
    </row>
    <row r="754" spans="1:19">
      <c r="A754" t="s">
        <v>582</v>
      </c>
      <c r="B754" t="s">
        <v>1809</v>
      </c>
      <c r="C754" t="s">
        <v>57</v>
      </c>
      <c r="D754" t="s">
        <v>22</v>
      </c>
      <c r="E754" t="s">
        <v>23</v>
      </c>
      <c r="F754">
        <v>47</v>
      </c>
      <c r="G754" t="s">
        <v>34</v>
      </c>
      <c r="H754" t="s">
        <v>1810</v>
      </c>
      <c r="I754">
        <f>1-646-555-194</f>
        <v>-1394</v>
      </c>
      <c r="J754" s="1">
        <v>44948</v>
      </c>
      <c r="K754" s="1">
        <v>45303</v>
      </c>
      <c r="L754">
        <v>33200.9</v>
      </c>
      <c r="M754">
        <v>13200.25</v>
      </c>
      <c r="N754">
        <v>755</v>
      </c>
      <c r="O754">
        <v>77000</v>
      </c>
      <c r="P754" t="s">
        <v>36</v>
      </c>
      <c r="Q754" t="s">
        <v>27</v>
      </c>
      <c r="R754">
        <v>0</v>
      </c>
      <c r="S754" t="s">
        <v>28</v>
      </c>
    </row>
    <row r="755" spans="1:19">
      <c r="A755" t="s">
        <v>55</v>
      </c>
      <c r="B755" t="s">
        <v>1811</v>
      </c>
      <c r="C755" t="s">
        <v>39</v>
      </c>
      <c r="D755" t="s">
        <v>58</v>
      </c>
      <c r="E755" t="s">
        <v>122</v>
      </c>
      <c r="F755">
        <v>65</v>
      </c>
      <c r="G755" t="s">
        <v>24</v>
      </c>
      <c r="H755" t="s">
        <v>1812</v>
      </c>
      <c r="I755">
        <f>86-138-3456-7890</f>
        <v>-11398</v>
      </c>
      <c r="J755" s="1">
        <v>43699</v>
      </c>
      <c r="K755" s="1">
        <v>45300</v>
      </c>
      <c r="L755">
        <v>191200.4</v>
      </c>
      <c r="M755">
        <v>103000.75</v>
      </c>
      <c r="N755">
        <v>685</v>
      </c>
      <c r="O755">
        <v>211000</v>
      </c>
      <c r="P755" t="s">
        <v>76</v>
      </c>
      <c r="Q755" t="s">
        <v>27</v>
      </c>
      <c r="R755">
        <v>0</v>
      </c>
      <c r="S755" t="s">
        <v>28</v>
      </c>
    </row>
    <row r="756" spans="1:19">
      <c r="A756" t="s">
        <v>469</v>
      </c>
      <c r="B756" t="s">
        <v>1813</v>
      </c>
      <c r="C756" t="s">
        <v>52</v>
      </c>
      <c r="D756" t="s">
        <v>471</v>
      </c>
      <c r="E756" t="s">
        <v>472</v>
      </c>
      <c r="F756">
        <v>56</v>
      </c>
      <c r="G756" t="s">
        <v>34</v>
      </c>
      <c r="H756" t="s">
        <v>1814</v>
      </c>
      <c r="I756">
        <f>48-716-890-123</f>
        <v>-1681</v>
      </c>
      <c r="J756" s="1">
        <v>44338</v>
      </c>
      <c r="K756" s="1">
        <v>45301</v>
      </c>
      <c r="L756">
        <v>63200.800000000003</v>
      </c>
      <c r="M756">
        <v>36300.6</v>
      </c>
      <c r="N756">
        <v>715</v>
      </c>
      <c r="O756">
        <v>110000</v>
      </c>
      <c r="P756" t="s">
        <v>26</v>
      </c>
      <c r="Q756" t="s">
        <v>27</v>
      </c>
      <c r="R756">
        <v>0</v>
      </c>
      <c r="S756" t="s">
        <v>28</v>
      </c>
    </row>
    <row r="757" spans="1:19">
      <c r="A757" t="s">
        <v>474</v>
      </c>
      <c r="B757" t="s">
        <v>1815</v>
      </c>
      <c r="C757" t="s">
        <v>46</v>
      </c>
      <c r="D757" t="s">
        <v>345</v>
      </c>
      <c r="E757" t="s">
        <v>476</v>
      </c>
      <c r="F757">
        <v>59</v>
      </c>
      <c r="G757" t="s">
        <v>24</v>
      </c>
      <c r="H757" t="s">
        <v>1816</v>
      </c>
      <c r="I757">
        <f>880-1812-12345</f>
        <v>-13277</v>
      </c>
      <c r="J757" s="1">
        <v>44249</v>
      </c>
      <c r="K757" s="1">
        <v>45302</v>
      </c>
      <c r="L757">
        <v>91000.25</v>
      </c>
      <c r="M757">
        <v>46300.4</v>
      </c>
      <c r="N757">
        <v>680</v>
      </c>
      <c r="O757">
        <v>139000</v>
      </c>
      <c r="P757" t="s">
        <v>26</v>
      </c>
      <c r="Q757" t="s">
        <v>27</v>
      </c>
      <c r="R757">
        <v>0</v>
      </c>
      <c r="S757" t="s">
        <v>28</v>
      </c>
    </row>
    <row r="758" spans="1:19">
      <c r="A758" t="s">
        <v>592</v>
      </c>
      <c r="B758" t="s">
        <v>1817</v>
      </c>
      <c r="C758" t="s">
        <v>84</v>
      </c>
      <c r="D758" t="s">
        <v>32</v>
      </c>
      <c r="E758" t="s">
        <v>90</v>
      </c>
      <c r="F758">
        <v>39</v>
      </c>
      <c r="G758" t="s">
        <v>34</v>
      </c>
      <c r="H758" t="s">
        <v>1818</v>
      </c>
      <c r="I758">
        <f>81-90-2345-6789</f>
        <v>-9143</v>
      </c>
      <c r="J758" s="1">
        <v>45404</v>
      </c>
      <c r="K758" s="1">
        <v>45304</v>
      </c>
      <c r="L758">
        <v>3550.4</v>
      </c>
      <c r="M758">
        <v>12400.75</v>
      </c>
      <c r="N758">
        <v>610</v>
      </c>
      <c r="O758">
        <v>35000</v>
      </c>
      <c r="P758" t="s">
        <v>76</v>
      </c>
      <c r="Q758" t="s">
        <v>43</v>
      </c>
      <c r="R758">
        <v>0</v>
      </c>
      <c r="S758" t="s">
        <v>28</v>
      </c>
    </row>
    <row r="759" spans="1:19">
      <c r="A759" t="s">
        <v>595</v>
      </c>
      <c r="B759" t="s">
        <v>1819</v>
      </c>
      <c r="C759" t="s">
        <v>21</v>
      </c>
      <c r="D759" t="s">
        <v>209</v>
      </c>
      <c r="E759" t="s">
        <v>210</v>
      </c>
      <c r="F759">
        <v>71</v>
      </c>
      <c r="G759" t="s">
        <v>24</v>
      </c>
      <c r="H759" t="s">
        <v>1820</v>
      </c>
      <c r="I759">
        <f>52-55-123-123</f>
        <v>-249</v>
      </c>
      <c r="J759" s="1">
        <v>43395</v>
      </c>
      <c r="K759" s="1">
        <v>45299</v>
      </c>
      <c r="L759">
        <v>289200.8</v>
      </c>
      <c r="M759">
        <v>94000.25</v>
      </c>
      <c r="N759">
        <v>825</v>
      </c>
      <c r="O759">
        <v>291000</v>
      </c>
      <c r="P759" t="s">
        <v>36</v>
      </c>
      <c r="Q759" t="s">
        <v>27</v>
      </c>
      <c r="R759">
        <v>0</v>
      </c>
      <c r="S759" t="s">
        <v>28</v>
      </c>
    </row>
    <row r="760" spans="1:19">
      <c r="A760" t="s">
        <v>226</v>
      </c>
      <c r="B760" t="s">
        <v>1821</v>
      </c>
      <c r="C760" t="s">
        <v>57</v>
      </c>
      <c r="D760" t="s">
        <v>228</v>
      </c>
      <c r="E760" t="s">
        <v>678</v>
      </c>
      <c r="F760">
        <v>46</v>
      </c>
      <c r="G760" t="s">
        <v>34</v>
      </c>
      <c r="H760" t="s">
        <v>1822</v>
      </c>
      <c r="I760">
        <f>254-740-123-456</f>
        <v>-1065</v>
      </c>
      <c r="J760" s="1">
        <v>45129</v>
      </c>
      <c r="K760" s="1">
        <v>45305</v>
      </c>
      <c r="L760">
        <v>29900.75</v>
      </c>
      <c r="M760">
        <v>11600.4</v>
      </c>
      <c r="N760">
        <v>725</v>
      </c>
      <c r="O760">
        <v>67000</v>
      </c>
      <c r="P760" t="s">
        <v>36</v>
      </c>
      <c r="Q760" t="s">
        <v>27</v>
      </c>
      <c r="R760">
        <v>0</v>
      </c>
      <c r="S760" t="s">
        <v>28</v>
      </c>
    </row>
    <row r="761" spans="1:19">
      <c r="A761" t="s">
        <v>488</v>
      </c>
      <c r="B761" t="s">
        <v>1823</v>
      </c>
      <c r="C761" t="s">
        <v>39</v>
      </c>
      <c r="D761" t="s">
        <v>304</v>
      </c>
      <c r="E761" t="s">
        <v>304</v>
      </c>
      <c r="F761">
        <v>63</v>
      </c>
      <c r="G761" t="s">
        <v>24</v>
      </c>
      <c r="H761" t="s">
        <v>1824</v>
      </c>
      <c r="I761">
        <f>65-9990-1234</f>
        <v>-11159</v>
      </c>
      <c r="J761" s="1">
        <v>43873</v>
      </c>
      <c r="K761" s="1">
        <v>45300</v>
      </c>
      <c r="L761">
        <v>169400.6</v>
      </c>
      <c r="M761">
        <v>94000.9</v>
      </c>
      <c r="N761">
        <v>675</v>
      </c>
      <c r="O761">
        <v>191000</v>
      </c>
      <c r="P761" t="s">
        <v>76</v>
      </c>
      <c r="Q761" t="s">
        <v>27</v>
      </c>
      <c r="R761">
        <v>0</v>
      </c>
      <c r="S761" t="s">
        <v>28</v>
      </c>
    </row>
    <row r="762" spans="1:19">
      <c r="A762" t="s">
        <v>491</v>
      </c>
      <c r="B762" t="s">
        <v>1825</v>
      </c>
      <c r="C762" t="s">
        <v>52</v>
      </c>
      <c r="D762" t="s">
        <v>493</v>
      </c>
      <c r="E762" t="s">
        <v>494</v>
      </c>
      <c r="F762">
        <v>54</v>
      </c>
      <c r="G762" t="s">
        <v>34</v>
      </c>
      <c r="H762" t="s">
        <v>1826</v>
      </c>
      <c r="I762">
        <f>30-708-901-2345</f>
        <v>-3924</v>
      </c>
      <c r="J762" s="1">
        <v>44642</v>
      </c>
      <c r="K762" s="1">
        <v>45302</v>
      </c>
      <c r="L762">
        <v>57400.4</v>
      </c>
      <c r="M762">
        <v>32100.25</v>
      </c>
      <c r="N762">
        <v>705</v>
      </c>
      <c r="O762">
        <v>99000</v>
      </c>
      <c r="P762" t="s">
        <v>26</v>
      </c>
      <c r="Q762" t="s">
        <v>27</v>
      </c>
      <c r="R762">
        <v>0</v>
      </c>
      <c r="S762" t="s">
        <v>28</v>
      </c>
    </row>
    <row r="763" spans="1:19">
      <c r="A763" t="s">
        <v>496</v>
      </c>
      <c r="B763" t="s">
        <v>1827</v>
      </c>
      <c r="C763" t="s">
        <v>46</v>
      </c>
      <c r="D763" t="s">
        <v>321</v>
      </c>
      <c r="E763" t="s">
        <v>498</v>
      </c>
      <c r="F763">
        <v>57</v>
      </c>
      <c r="G763" t="s">
        <v>24</v>
      </c>
      <c r="H763" t="s">
        <v>1828</v>
      </c>
      <c r="I763">
        <f>61-440-123-456</f>
        <v>-958</v>
      </c>
      <c r="J763" s="1">
        <v>44126</v>
      </c>
      <c r="K763" s="1">
        <v>45301</v>
      </c>
      <c r="L763">
        <v>104100.75</v>
      </c>
      <c r="M763">
        <v>53200.800000000003</v>
      </c>
      <c r="N763">
        <v>730</v>
      </c>
      <c r="O763">
        <v>165000</v>
      </c>
      <c r="P763" t="s">
        <v>26</v>
      </c>
      <c r="Q763" t="s">
        <v>27</v>
      </c>
      <c r="R763">
        <v>0</v>
      </c>
      <c r="S763" t="s">
        <v>28</v>
      </c>
    </row>
    <row r="764" spans="1:19">
      <c r="A764" t="s">
        <v>324</v>
      </c>
      <c r="B764" t="s">
        <v>1829</v>
      </c>
      <c r="C764" t="s">
        <v>31</v>
      </c>
      <c r="D764" t="s">
        <v>313</v>
      </c>
      <c r="E764" t="s">
        <v>314</v>
      </c>
      <c r="F764">
        <v>42</v>
      </c>
      <c r="G764" t="s">
        <v>34</v>
      </c>
      <c r="H764" t="s">
        <v>1830</v>
      </c>
      <c r="I764">
        <f>92-338-2109876</f>
        <v>-2110122</v>
      </c>
      <c r="J764" s="1">
        <v>45397</v>
      </c>
      <c r="K764" s="1">
        <v>45306</v>
      </c>
      <c r="L764">
        <v>14200.9</v>
      </c>
      <c r="M764">
        <v>8500.75</v>
      </c>
      <c r="N764">
        <v>685</v>
      </c>
      <c r="O764">
        <v>52000</v>
      </c>
      <c r="P764" t="s">
        <v>26</v>
      </c>
      <c r="Q764" t="s">
        <v>43</v>
      </c>
      <c r="R764">
        <v>0</v>
      </c>
      <c r="S764" t="s">
        <v>28</v>
      </c>
    </row>
    <row r="765" spans="1:19">
      <c r="A765" t="s">
        <v>503</v>
      </c>
      <c r="B765" t="s">
        <v>1831</v>
      </c>
      <c r="C765" t="s">
        <v>21</v>
      </c>
      <c r="D765" t="s">
        <v>32</v>
      </c>
      <c r="E765" t="s">
        <v>33</v>
      </c>
      <c r="F765">
        <v>74</v>
      </c>
      <c r="G765" t="s">
        <v>24</v>
      </c>
      <c r="H765" t="s">
        <v>1832</v>
      </c>
      <c r="I765">
        <f>81-80-8901-2345</f>
        <v>-11245</v>
      </c>
      <c r="J765" s="1">
        <v>43122</v>
      </c>
      <c r="K765" s="1">
        <v>45299</v>
      </c>
      <c r="L765">
        <v>300100.25</v>
      </c>
      <c r="M765">
        <v>98000.4</v>
      </c>
      <c r="N765">
        <v>840</v>
      </c>
      <c r="O765">
        <v>306000</v>
      </c>
      <c r="P765" t="s">
        <v>36</v>
      </c>
      <c r="Q765" t="s">
        <v>27</v>
      </c>
      <c r="R765">
        <v>0</v>
      </c>
      <c r="S765" t="s">
        <v>28</v>
      </c>
    </row>
    <row r="766" spans="1:19">
      <c r="A766" t="s">
        <v>506</v>
      </c>
      <c r="B766" t="s">
        <v>1833</v>
      </c>
      <c r="C766" t="s">
        <v>39</v>
      </c>
      <c r="D766" t="s">
        <v>68</v>
      </c>
      <c r="E766" t="s">
        <v>69</v>
      </c>
      <c r="F766">
        <v>66</v>
      </c>
      <c r="G766" t="s">
        <v>34</v>
      </c>
      <c r="H766" t="s">
        <v>1834</v>
      </c>
      <c r="I766">
        <f>234-830-123-4567</f>
        <v>-5286</v>
      </c>
      <c r="J766" s="1">
        <v>43638</v>
      </c>
      <c r="K766" s="1">
        <v>45300</v>
      </c>
      <c r="L766">
        <v>180500.4</v>
      </c>
      <c r="M766">
        <v>98000.75</v>
      </c>
      <c r="N766">
        <v>650</v>
      </c>
      <c r="O766">
        <v>201000</v>
      </c>
      <c r="P766" t="s">
        <v>76</v>
      </c>
      <c r="Q766" t="s">
        <v>27</v>
      </c>
      <c r="R766">
        <v>0</v>
      </c>
      <c r="S766" t="s">
        <v>28</v>
      </c>
    </row>
    <row r="767" spans="1:19">
      <c r="A767" t="s">
        <v>509</v>
      </c>
      <c r="B767" t="s">
        <v>1835</v>
      </c>
      <c r="C767" t="s">
        <v>46</v>
      </c>
      <c r="D767" t="s">
        <v>73</v>
      </c>
      <c r="E767" t="s">
        <v>126</v>
      </c>
      <c r="F767">
        <v>53</v>
      </c>
      <c r="G767" t="s">
        <v>24</v>
      </c>
      <c r="H767" t="s">
        <v>1836</v>
      </c>
      <c r="I767">
        <f>49-192-3456789</f>
        <v>-3456932</v>
      </c>
      <c r="J767" s="1">
        <v>44856</v>
      </c>
      <c r="K767" s="1">
        <v>45303</v>
      </c>
      <c r="L767">
        <v>92100.4</v>
      </c>
      <c r="M767">
        <v>47400.25</v>
      </c>
      <c r="N767">
        <v>745</v>
      </c>
      <c r="O767">
        <v>145000</v>
      </c>
      <c r="P767" t="s">
        <v>26</v>
      </c>
      <c r="Q767" t="s">
        <v>27</v>
      </c>
      <c r="R767">
        <v>0</v>
      </c>
      <c r="S767" t="s">
        <v>28</v>
      </c>
    </row>
    <row r="768" spans="1:19">
      <c r="A768" t="s">
        <v>513</v>
      </c>
      <c r="B768" t="s">
        <v>1837</v>
      </c>
      <c r="C768" t="s">
        <v>57</v>
      </c>
      <c r="D768" t="s">
        <v>58</v>
      </c>
      <c r="E768" t="s">
        <v>59</v>
      </c>
      <c r="F768">
        <v>48</v>
      </c>
      <c r="G768" t="s">
        <v>34</v>
      </c>
      <c r="H768" t="s">
        <v>1838</v>
      </c>
      <c r="I768">
        <f>86-137-3456-7890</f>
        <v>-11397</v>
      </c>
      <c r="J768" s="1">
        <v>45038</v>
      </c>
      <c r="K768" s="1">
        <v>45302</v>
      </c>
      <c r="L768">
        <v>32100.799999999999</v>
      </c>
      <c r="M768">
        <v>12800.9</v>
      </c>
      <c r="N768">
        <v>765</v>
      </c>
      <c r="O768">
        <v>77000</v>
      </c>
      <c r="P768" t="s">
        <v>36</v>
      </c>
      <c r="Q768" t="s">
        <v>27</v>
      </c>
      <c r="R768">
        <v>0</v>
      </c>
      <c r="S768" t="s">
        <v>28</v>
      </c>
    </row>
    <row r="769" spans="1:19">
      <c r="A769" t="s">
        <v>516</v>
      </c>
      <c r="B769" t="s">
        <v>1839</v>
      </c>
      <c r="C769" t="s">
        <v>52</v>
      </c>
      <c r="D769" t="s">
        <v>277</v>
      </c>
      <c r="E769" t="s">
        <v>278</v>
      </c>
      <c r="F769">
        <v>61</v>
      </c>
      <c r="G769" t="s">
        <v>24</v>
      </c>
      <c r="H769" t="s">
        <v>1840</v>
      </c>
      <c r="I769">
        <f>20-122-432-1098</f>
        <v>-1632</v>
      </c>
      <c r="J769" s="1">
        <v>44308</v>
      </c>
      <c r="K769" s="1">
        <v>45301</v>
      </c>
      <c r="L769">
        <v>65400.75</v>
      </c>
      <c r="M769">
        <v>38500.400000000001</v>
      </c>
      <c r="N769">
        <v>675</v>
      </c>
      <c r="O769">
        <v>117000</v>
      </c>
      <c r="P769" t="s">
        <v>26</v>
      </c>
      <c r="Q769" t="s">
        <v>27</v>
      </c>
      <c r="R769">
        <v>0</v>
      </c>
      <c r="S769" t="s">
        <v>28</v>
      </c>
    </row>
    <row r="770" spans="1:19">
      <c r="A770" t="s">
        <v>519</v>
      </c>
      <c r="B770" t="s">
        <v>1841</v>
      </c>
      <c r="C770" t="s">
        <v>84</v>
      </c>
      <c r="D770" t="s">
        <v>183</v>
      </c>
      <c r="E770" t="s">
        <v>273</v>
      </c>
      <c r="F770">
        <v>40</v>
      </c>
      <c r="G770" t="s">
        <v>34</v>
      </c>
      <c r="H770" t="s">
        <v>1842</v>
      </c>
      <c r="I770">
        <f>33-6-123-4567</f>
        <v>-4663</v>
      </c>
      <c r="J770" s="1">
        <v>45410</v>
      </c>
      <c r="K770" s="1">
        <v>45304</v>
      </c>
      <c r="L770">
        <v>3800.25</v>
      </c>
      <c r="M770">
        <v>13600.6</v>
      </c>
      <c r="N770">
        <v>615</v>
      </c>
      <c r="O770">
        <v>37000</v>
      </c>
      <c r="P770" t="s">
        <v>76</v>
      </c>
      <c r="Q770" t="s">
        <v>43</v>
      </c>
      <c r="R770">
        <v>0</v>
      </c>
      <c r="S770" t="s">
        <v>28</v>
      </c>
    </row>
    <row r="771" spans="1:19">
      <c r="A771" t="s">
        <v>522</v>
      </c>
      <c r="B771" t="s">
        <v>1843</v>
      </c>
      <c r="C771" t="s">
        <v>39</v>
      </c>
      <c r="D771" t="s">
        <v>40</v>
      </c>
      <c r="E771" t="s">
        <v>94</v>
      </c>
      <c r="F771">
        <v>68</v>
      </c>
      <c r="G771" t="s">
        <v>24</v>
      </c>
      <c r="H771" t="s">
        <v>1844</v>
      </c>
      <c r="I771">
        <f>91-987-654-3210</f>
        <v>-4760</v>
      </c>
      <c r="J771" s="1">
        <v>43607</v>
      </c>
      <c r="K771" s="1">
        <v>45299</v>
      </c>
      <c r="L771">
        <v>215100.79999999999</v>
      </c>
      <c r="M771">
        <v>111000.25</v>
      </c>
      <c r="N771">
        <v>660</v>
      </c>
      <c r="O771">
        <v>236000</v>
      </c>
      <c r="P771" t="s">
        <v>76</v>
      </c>
      <c r="Q771" t="s">
        <v>27</v>
      </c>
      <c r="R771">
        <v>0</v>
      </c>
      <c r="S771" t="s">
        <v>28</v>
      </c>
    </row>
    <row r="772" spans="1:19">
      <c r="A772" t="s">
        <v>306</v>
      </c>
      <c r="B772" t="s">
        <v>1845</v>
      </c>
      <c r="C772" t="s">
        <v>46</v>
      </c>
      <c r="D772" t="s">
        <v>209</v>
      </c>
      <c r="E772" t="s">
        <v>210</v>
      </c>
      <c r="F772">
        <v>55</v>
      </c>
      <c r="G772" t="s">
        <v>34</v>
      </c>
      <c r="H772" t="s">
        <v>1846</v>
      </c>
      <c r="I772">
        <f>52-55-1234-123</f>
        <v>-1360</v>
      </c>
      <c r="J772" s="1">
        <v>44461</v>
      </c>
      <c r="K772" s="1">
        <v>45302</v>
      </c>
      <c r="L772">
        <v>86500.9</v>
      </c>
      <c r="M772">
        <v>44300.75</v>
      </c>
      <c r="N772">
        <v>730</v>
      </c>
      <c r="O772">
        <v>140000</v>
      </c>
      <c r="P772" t="s">
        <v>26</v>
      </c>
      <c r="Q772" t="s">
        <v>27</v>
      </c>
      <c r="R772">
        <v>0</v>
      </c>
      <c r="S772" t="s">
        <v>28</v>
      </c>
    </row>
    <row r="773" spans="1:19">
      <c r="A773" t="s">
        <v>527</v>
      </c>
      <c r="B773" t="s">
        <v>1847</v>
      </c>
      <c r="C773" t="s">
        <v>31</v>
      </c>
      <c r="D773" t="s">
        <v>32</v>
      </c>
      <c r="E773" t="s">
        <v>90</v>
      </c>
      <c r="F773">
        <v>44</v>
      </c>
      <c r="G773" t="s">
        <v>34</v>
      </c>
      <c r="H773" t="s">
        <v>1848</v>
      </c>
      <c r="I773">
        <f>81-90-9012-3456</f>
        <v>-12477</v>
      </c>
      <c r="J773" s="1">
        <v>45404</v>
      </c>
      <c r="K773" s="1">
        <v>45305</v>
      </c>
      <c r="L773">
        <v>15300.4</v>
      </c>
      <c r="M773">
        <v>8600.25</v>
      </c>
      <c r="N773">
        <v>705</v>
      </c>
      <c r="O773">
        <v>54000</v>
      </c>
      <c r="P773" t="s">
        <v>26</v>
      </c>
      <c r="Q773" t="s">
        <v>43</v>
      </c>
      <c r="R773">
        <v>0</v>
      </c>
      <c r="S773" t="s">
        <v>28</v>
      </c>
    </row>
    <row r="774" spans="1:19">
      <c r="A774" t="s">
        <v>530</v>
      </c>
      <c r="B774" t="s">
        <v>1849</v>
      </c>
      <c r="C774" t="s">
        <v>57</v>
      </c>
      <c r="D774" t="s">
        <v>219</v>
      </c>
      <c r="E774" t="s">
        <v>220</v>
      </c>
      <c r="F774">
        <v>49</v>
      </c>
      <c r="G774" t="s">
        <v>24</v>
      </c>
      <c r="H774" t="s">
        <v>1850</v>
      </c>
      <c r="I774">
        <f>233-71-234-5678</f>
        <v>-5750</v>
      </c>
      <c r="J774" s="1">
        <v>45007</v>
      </c>
      <c r="K774" s="1">
        <v>45303</v>
      </c>
      <c r="L774">
        <v>31000.6</v>
      </c>
      <c r="M774">
        <v>12200.8</v>
      </c>
      <c r="N774">
        <v>710</v>
      </c>
      <c r="O774">
        <v>70000</v>
      </c>
      <c r="P774" t="s">
        <v>36</v>
      </c>
      <c r="Q774" t="s">
        <v>27</v>
      </c>
      <c r="R774">
        <v>0</v>
      </c>
      <c r="S774" t="s">
        <v>28</v>
      </c>
    </row>
    <row r="775" spans="1:19">
      <c r="A775" t="s">
        <v>533</v>
      </c>
      <c r="B775" t="s">
        <v>1851</v>
      </c>
      <c r="C775" t="s">
        <v>52</v>
      </c>
      <c r="D775" t="s">
        <v>204</v>
      </c>
      <c r="E775" t="s">
        <v>205</v>
      </c>
      <c r="F775">
        <v>56</v>
      </c>
      <c r="G775" t="s">
        <v>34</v>
      </c>
      <c r="H775" t="s">
        <v>1852</v>
      </c>
      <c r="I775">
        <f>7-921-210-98-76</f>
        <v>-1298</v>
      </c>
      <c r="J775" s="1">
        <v>44308</v>
      </c>
      <c r="K775" s="1">
        <v>45301</v>
      </c>
      <c r="L775">
        <v>62300.25</v>
      </c>
      <c r="M775">
        <v>35400.9</v>
      </c>
      <c r="N775">
        <v>695</v>
      </c>
      <c r="O775">
        <v>105000</v>
      </c>
      <c r="P775" t="s">
        <v>26</v>
      </c>
      <c r="Q775" t="s">
        <v>27</v>
      </c>
      <c r="R775">
        <v>0</v>
      </c>
      <c r="S775" t="s">
        <v>28</v>
      </c>
    </row>
    <row r="776" spans="1:19">
      <c r="A776" t="s">
        <v>536</v>
      </c>
      <c r="B776" t="s">
        <v>1853</v>
      </c>
      <c r="C776" t="s">
        <v>39</v>
      </c>
      <c r="D776" t="s">
        <v>195</v>
      </c>
      <c r="E776" t="s">
        <v>196</v>
      </c>
      <c r="F776">
        <v>64</v>
      </c>
      <c r="G776" t="s">
        <v>24</v>
      </c>
      <c r="H776" t="s">
        <v>1854</v>
      </c>
      <c r="I776">
        <f>353-3-123-4567</f>
        <v>-4340</v>
      </c>
      <c r="J776" s="1">
        <v>43760</v>
      </c>
      <c r="K776" s="1">
        <v>45300</v>
      </c>
      <c r="L776">
        <v>147300.4</v>
      </c>
      <c r="M776">
        <v>85000.6</v>
      </c>
      <c r="N776">
        <v>670</v>
      </c>
      <c r="O776">
        <v>172000</v>
      </c>
      <c r="P776" t="s">
        <v>76</v>
      </c>
      <c r="Q776" t="s">
        <v>27</v>
      </c>
      <c r="R776">
        <v>0</v>
      </c>
      <c r="S776" t="s">
        <v>28</v>
      </c>
    </row>
    <row r="777" spans="1:19">
      <c r="A777" t="s">
        <v>539</v>
      </c>
      <c r="B777" t="s">
        <v>1855</v>
      </c>
      <c r="C777" t="s">
        <v>21</v>
      </c>
      <c r="D777" t="s">
        <v>58</v>
      </c>
      <c r="E777" t="s">
        <v>122</v>
      </c>
      <c r="F777">
        <v>72</v>
      </c>
      <c r="G777" t="s">
        <v>34</v>
      </c>
      <c r="H777" t="s">
        <v>1856</v>
      </c>
      <c r="I777">
        <f>86-139-123-4567</f>
        <v>-4743</v>
      </c>
      <c r="J777" s="1">
        <v>43334</v>
      </c>
      <c r="K777" s="1">
        <v>45299</v>
      </c>
      <c r="L777">
        <v>314200.75</v>
      </c>
      <c r="M777">
        <v>102000.8</v>
      </c>
      <c r="N777">
        <v>835</v>
      </c>
      <c r="O777">
        <v>317000</v>
      </c>
      <c r="P777" t="s">
        <v>36</v>
      </c>
      <c r="Q777" t="s">
        <v>27</v>
      </c>
      <c r="R777">
        <v>0</v>
      </c>
      <c r="S777" t="s">
        <v>28</v>
      </c>
    </row>
    <row r="778" spans="1:19">
      <c r="A778" t="s">
        <v>542</v>
      </c>
      <c r="B778" t="s">
        <v>1857</v>
      </c>
      <c r="C778" t="s">
        <v>52</v>
      </c>
      <c r="D778" t="s">
        <v>68</v>
      </c>
      <c r="E778" t="s">
        <v>114</v>
      </c>
      <c r="F778">
        <v>59</v>
      </c>
      <c r="G778" t="s">
        <v>34</v>
      </c>
      <c r="H778" t="s">
        <v>1858</v>
      </c>
      <c r="I778">
        <f>234-831-234-5678</f>
        <v>-6509</v>
      </c>
      <c r="J778" s="1">
        <v>44277</v>
      </c>
      <c r="K778" s="1">
        <v>45302</v>
      </c>
      <c r="L778">
        <v>71000.600000000006</v>
      </c>
      <c r="M778">
        <v>41000.25</v>
      </c>
      <c r="N778">
        <v>665</v>
      </c>
      <c r="O778">
        <v>125000</v>
      </c>
      <c r="P778" t="s">
        <v>26</v>
      </c>
      <c r="Q778" t="s">
        <v>27</v>
      </c>
      <c r="R778">
        <v>0</v>
      </c>
      <c r="S778" t="s">
        <v>28</v>
      </c>
    </row>
    <row r="779" spans="1:19">
      <c r="A779" t="s">
        <v>545</v>
      </c>
      <c r="B779" t="s">
        <v>1859</v>
      </c>
      <c r="C779" t="s">
        <v>46</v>
      </c>
      <c r="D779" t="s">
        <v>241</v>
      </c>
      <c r="E779" t="s">
        <v>389</v>
      </c>
      <c r="F779">
        <v>51</v>
      </c>
      <c r="G779" t="s">
        <v>24</v>
      </c>
      <c r="H779" t="s">
        <v>1860</v>
      </c>
      <c r="I779">
        <f>39-365-901-2345</f>
        <v>-3572</v>
      </c>
      <c r="J779" s="1">
        <v>44917</v>
      </c>
      <c r="K779" s="1">
        <v>45303</v>
      </c>
      <c r="L779">
        <v>94300.800000000003</v>
      </c>
      <c r="M779">
        <v>48500.4</v>
      </c>
      <c r="N779">
        <v>750</v>
      </c>
      <c r="O779">
        <v>151000</v>
      </c>
      <c r="P779" t="s">
        <v>26</v>
      </c>
      <c r="Q779" t="s">
        <v>27</v>
      </c>
      <c r="R779">
        <v>0</v>
      </c>
      <c r="S779" t="s">
        <v>28</v>
      </c>
    </row>
    <row r="780" spans="1:19">
      <c r="A780" t="s">
        <v>548</v>
      </c>
      <c r="B780" t="s">
        <v>1861</v>
      </c>
      <c r="C780" t="s">
        <v>57</v>
      </c>
      <c r="D780" t="s">
        <v>22</v>
      </c>
      <c r="E780" t="s">
        <v>282</v>
      </c>
      <c r="F780">
        <v>47</v>
      </c>
      <c r="G780" t="s">
        <v>34</v>
      </c>
      <c r="H780" t="s">
        <v>1862</v>
      </c>
      <c r="I780">
        <f>1-206-555-198</f>
        <v>-958</v>
      </c>
      <c r="J780" s="1">
        <v>45099</v>
      </c>
      <c r="K780" s="1">
        <v>45305</v>
      </c>
      <c r="L780">
        <v>33200.9</v>
      </c>
      <c r="M780">
        <v>13200.75</v>
      </c>
      <c r="N780">
        <v>770</v>
      </c>
      <c r="O780">
        <v>82000</v>
      </c>
      <c r="P780" t="s">
        <v>36</v>
      </c>
      <c r="Q780" t="s">
        <v>27</v>
      </c>
      <c r="R780">
        <v>0</v>
      </c>
      <c r="S780" t="s">
        <v>28</v>
      </c>
    </row>
    <row r="781" spans="1:19">
      <c r="A781" t="s">
        <v>551</v>
      </c>
      <c r="B781" t="s">
        <v>1863</v>
      </c>
      <c r="C781" t="s">
        <v>39</v>
      </c>
      <c r="D781" t="s">
        <v>313</v>
      </c>
      <c r="E781" t="s">
        <v>385</v>
      </c>
      <c r="F781">
        <v>70</v>
      </c>
      <c r="G781" t="s">
        <v>24</v>
      </c>
      <c r="H781" t="s">
        <v>1864</v>
      </c>
      <c r="I781">
        <f>92-317-2109876</f>
        <v>-2110101</v>
      </c>
      <c r="J781" s="1">
        <v>43518</v>
      </c>
      <c r="K781" s="1">
        <v>45299</v>
      </c>
      <c r="L781">
        <v>200400.25</v>
      </c>
      <c r="M781">
        <v>106000.8</v>
      </c>
      <c r="N781">
        <v>645</v>
      </c>
      <c r="O781">
        <v>222000</v>
      </c>
      <c r="P781" t="s">
        <v>76</v>
      </c>
      <c r="Q781" t="s">
        <v>27</v>
      </c>
      <c r="R781">
        <v>0</v>
      </c>
      <c r="S781" t="s">
        <v>28</v>
      </c>
    </row>
    <row r="782" spans="1:19">
      <c r="A782" t="s">
        <v>554</v>
      </c>
      <c r="B782" t="s">
        <v>1865</v>
      </c>
      <c r="C782" t="s">
        <v>31</v>
      </c>
      <c r="D782" t="s">
        <v>214</v>
      </c>
      <c r="E782" t="s">
        <v>215</v>
      </c>
      <c r="F782">
        <v>43</v>
      </c>
      <c r="G782" t="s">
        <v>34</v>
      </c>
      <c r="H782" t="s">
        <v>1866</v>
      </c>
      <c r="I782">
        <f>34-640-123-456</f>
        <v>-1185</v>
      </c>
      <c r="J782" s="1">
        <v>45410</v>
      </c>
      <c r="K782" s="1">
        <v>45306</v>
      </c>
      <c r="L782">
        <v>27200.5</v>
      </c>
      <c r="M782">
        <v>12800.4</v>
      </c>
      <c r="N782">
        <v>720</v>
      </c>
      <c r="O782">
        <v>59000</v>
      </c>
      <c r="P782" t="s">
        <v>36</v>
      </c>
      <c r="Q782" t="s">
        <v>27</v>
      </c>
      <c r="R782">
        <v>0</v>
      </c>
      <c r="S782" t="s">
        <v>28</v>
      </c>
    </row>
    <row r="783" spans="1:19">
      <c r="A783" t="s">
        <v>108</v>
      </c>
      <c r="B783" t="s">
        <v>1867</v>
      </c>
      <c r="C783" t="s">
        <v>84</v>
      </c>
      <c r="D783" t="s">
        <v>32</v>
      </c>
      <c r="E783" t="s">
        <v>33</v>
      </c>
      <c r="F783">
        <v>39</v>
      </c>
      <c r="G783" t="s">
        <v>24</v>
      </c>
      <c r="H783" t="s">
        <v>1868</v>
      </c>
      <c r="I783">
        <f>81-90-2345-6789</f>
        <v>-9143</v>
      </c>
      <c r="J783" s="1">
        <v>45410</v>
      </c>
      <c r="K783" s="1">
        <v>45304</v>
      </c>
      <c r="L783">
        <v>3550.8</v>
      </c>
      <c r="M783">
        <v>12000.25</v>
      </c>
      <c r="N783">
        <v>605</v>
      </c>
      <c r="O783">
        <v>35000</v>
      </c>
      <c r="P783" t="s">
        <v>76</v>
      </c>
      <c r="Q783" t="s">
        <v>43</v>
      </c>
      <c r="R783">
        <v>0</v>
      </c>
      <c r="S783" t="s">
        <v>28</v>
      </c>
    </row>
    <row r="784" spans="1:19">
      <c r="A784" t="s">
        <v>559</v>
      </c>
      <c r="B784" t="s">
        <v>1869</v>
      </c>
      <c r="C784" t="s">
        <v>46</v>
      </c>
      <c r="D784" t="s">
        <v>254</v>
      </c>
      <c r="E784" t="s">
        <v>255</v>
      </c>
      <c r="F784">
        <v>53</v>
      </c>
      <c r="G784" t="s">
        <v>34</v>
      </c>
      <c r="H784" t="s">
        <v>1870</v>
      </c>
      <c r="I784">
        <f>221-95-901-2345</f>
        <v>-3120</v>
      </c>
      <c r="J784" s="1">
        <v>44795</v>
      </c>
      <c r="K784" s="1">
        <v>45302</v>
      </c>
      <c r="L784">
        <v>81000.399999999994</v>
      </c>
      <c r="M784">
        <v>43200.75</v>
      </c>
      <c r="N784">
        <v>710</v>
      </c>
      <c r="O784">
        <v>133000</v>
      </c>
      <c r="P784" t="s">
        <v>26</v>
      </c>
      <c r="Q784" t="s">
        <v>27</v>
      </c>
      <c r="R784">
        <v>0</v>
      </c>
      <c r="S784" t="s">
        <v>28</v>
      </c>
    </row>
    <row r="785" spans="1:19">
      <c r="A785" t="s">
        <v>562</v>
      </c>
      <c r="B785" t="s">
        <v>1871</v>
      </c>
      <c r="C785" t="s">
        <v>39</v>
      </c>
      <c r="D785" t="s">
        <v>47</v>
      </c>
      <c r="E785" t="s">
        <v>48</v>
      </c>
      <c r="F785">
        <v>67</v>
      </c>
      <c r="G785" t="s">
        <v>24</v>
      </c>
      <c r="H785" t="s">
        <v>1872</v>
      </c>
      <c r="I785">
        <f>44-79-2345-6789</f>
        <v>-9169</v>
      </c>
      <c r="J785" s="1">
        <v>43668</v>
      </c>
      <c r="K785" s="1">
        <v>45300</v>
      </c>
      <c r="L785">
        <v>180600.6</v>
      </c>
      <c r="M785">
        <v>99000.25</v>
      </c>
      <c r="N785">
        <v>675</v>
      </c>
      <c r="O785">
        <v>202000</v>
      </c>
      <c r="P785" t="s">
        <v>76</v>
      </c>
      <c r="Q785" t="s">
        <v>27</v>
      </c>
      <c r="R785">
        <v>0</v>
      </c>
      <c r="S785" t="s">
        <v>28</v>
      </c>
    </row>
    <row r="786" spans="1:19">
      <c r="A786" t="s">
        <v>565</v>
      </c>
      <c r="B786" t="s">
        <v>1873</v>
      </c>
      <c r="C786" t="s">
        <v>52</v>
      </c>
      <c r="D786" t="s">
        <v>233</v>
      </c>
      <c r="E786" t="s">
        <v>234</v>
      </c>
      <c r="F786">
        <v>52</v>
      </c>
      <c r="G786" t="s">
        <v>34</v>
      </c>
      <c r="H786" t="s">
        <v>1874</v>
      </c>
      <c r="I786">
        <f>82-10-1234-5678</f>
        <v>-6840</v>
      </c>
      <c r="J786" s="1">
        <v>44583</v>
      </c>
      <c r="K786" s="1">
        <v>45301</v>
      </c>
      <c r="L786">
        <v>57400.75</v>
      </c>
      <c r="M786">
        <v>34300.800000000003</v>
      </c>
      <c r="N786">
        <v>725</v>
      </c>
      <c r="O786">
        <v>99000</v>
      </c>
      <c r="P786" t="s">
        <v>26</v>
      </c>
      <c r="Q786" t="s">
        <v>27</v>
      </c>
      <c r="R786">
        <v>0</v>
      </c>
      <c r="S786" t="s">
        <v>28</v>
      </c>
    </row>
    <row r="787" spans="1:19">
      <c r="A787" t="s">
        <v>568</v>
      </c>
      <c r="B787" t="s">
        <v>1875</v>
      </c>
      <c r="C787" t="s">
        <v>57</v>
      </c>
      <c r="D787" t="s">
        <v>79</v>
      </c>
      <c r="E787" t="s">
        <v>80</v>
      </c>
      <c r="F787">
        <v>50</v>
      </c>
      <c r="G787" t="s">
        <v>24</v>
      </c>
      <c r="H787" t="s">
        <v>1876</v>
      </c>
      <c r="I787">
        <f>971-50-345-6789</f>
        <v>-6213</v>
      </c>
      <c r="J787" s="1">
        <v>45038</v>
      </c>
      <c r="K787" s="1">
        <v>45303</v>
      </c>
      <c r="L787">
        <v>35400.400000000001</v>
      </c>
      <c r="M787">
        <v>14000.9</v>
      </c>
      <c r="N787">
        <v>740</v>
      </c>
      <c r="O787">
        <v>85000</v>
      </c>
      <c r="P787" t="s">
        <v>36</v>
      </c>
      <c r="Q787" t="s">
        <v>27</v>
      </c>
      <c r="R787">
        <v>0</v>
      </c>
      <c r="S787" t="s">
        <v>28</v>
      </c>
    </row>
    <row r="788" spans="1:19">
      <c r="A788" t="s">
        <v>571</v>
      </c>
      <c r="B788" t="s">
        <v>1877</v>
      </c>
      <c r="C788" t="s">
        <v>21</v>
      </c>
      <c r="D788" t="s">
        <v>63</v>
      </c>
      <c r="E788" t="s">
        <v>64</v>
      </c>
      <c r="F788">
        <v>73</v>
      </c>
      <c r="G788" t="s">
        <v>34</v>
      </c>
      <c r="H788" t="s">
        <v>1878</v>
      </c>
      <c r="I788">
        <f>55-11-99945-6789</f>
        <v>-106690</v>
      </c>
      <c r="J788" s="1">
        <v>43212</v>
      </c>
      <c r="K788" s="1">
        <v>45299</v>
      </c>
      <c r="L788">
        <v>269500.90000000002</v>
      </c>
      <c r="M788">
        <v>89000.6</v>
      </c>
      <c r="N788">
        <v>830</v>
      </c>
      <c r="O788">
        <v>297000</v>
      </c>
      <c r="P788" t="s">
        <v>36</v>
      </c>
      <c r="Q788" t="s">
        <v>27</v>
      </c>
      <c r="R788">
        <v>0</v>
      </c>
      <c r="S788" t="s">
        <v>28</v>
      </c>
    </row>
    <row r="789" spans="1:19">
      <c r="A789" t="s">
        <v>574</v>
      </c>
      <c r="B789" t="s">
        <v>1879</v>
      </c>
      <c r="C789" t="s">
        <v>39</v>
      </c>
      <c r="D789" t="s">
        <v>68</v>
      </c>
      <c r="E789" t="s">
        <v>179</v>
      </c>
      <c r="F789">
        <v>65</v>
      </c>
      <c r="G789" t="s">
        <v>24</v>
      </c>
      <c r="H789" t="s">
        <v>1880</v>
      </c>
      <c r="I789">
        <f>234-832-345-6789</f>
        <v>-7732</v>
      </c>
      <c r="J789" s="1">
        <v>43811</v>
      </c>
      <c r="K789" s="1">
        <v>45300</v>
      </c>
      <c r="L789">
        <v>158400.25</v>
      </c>
      <c r="M789">
        <v>91000.4</v>
      </c>
      <c r="N789">
        <v>655</v>
      </c>
      <c r="O789">
        <v>187000</v>
      </c>
      <c r="P789" t="s">
        <v>76</v>
      </c>
      <c r="Q789" t="s">
        <v>27</v>
      </c>
      <c r="R789">
        <v>0</v>
      </c>
      <c r="S789" t="s">
        <v>28</v>
      </c>
    </row>
    <row r="790" spans="1:19">
      <c r="A790" t="s">
        <v>577</v>
      </c>
      <c r="B790" t="s">
        <v>1881</v>
      </c>
      <c r="C790" t="s">
        <v>46</v>
      </c>
      <c r="D790" t="s">
        <v>85</v>
      </c>
      <c r="E790" t="s">
        <v>86</v>
      </c>
      <c r="F790">
        <v>54</v>
      </c>
      <c r="G790" t="s">
        <v>34</v>
      </c>
      <c r="H790" t="s">
        <v>1882</v>
      </c>
      <c r="I790">
        <f>1-647-555-198</f>
        <v>-1399</v>
      </c>
      <c r="J790" s="1">
        <v>44703</v>
      </c>
      <c r="K790" s="1">
        <v>45302</v>
      </c>
      <c r="L790">
        <v>99900.6</v>
      </c>
      <c r="M790">
        <v>51200.75</v>
      </c>
      <c r="N790">
        <v>760</v>
      </c>
      <c r="O790">
        <v>156000</v>
      </c>
      <c r="P790" t="s">
        <v>26</v>
      </c>
      <c r="Q790" t="s">
        <v>27</v>
      </c>
      <c r="R790">
        <v>0</v>
      </c>
      <c r="S790" t="s">
        <v>28</v>
      </c>
    </row>
    <row r="791" spans="1:19">
      <c r="A791" t="s">
        <v>458</v>
      </c>
      <c r="B791" t="s">
        <v>1883</v>
      </c>
      <c r="C791" t="s">
        <v>31</v>
      </c>
      <c r="D791" t="s">
        <v>460</v>
      </c>
      <c r="E791" t="s">
        <v>461</v>
      </c>
      <c r="F791">
        <v>45</v>
      </c>
      <c r="G791" t="s">
        <v>24</v>
      </c>
      <c r="H791" t="s">
        <v>1884</v>
      </c>
      <c r="I791">
        <f>62-829-123-4567</f>
        <v>-5457</v>
      </c>
      <c r="J791" s="1">
        <v>45410</v>
      </c>
      <c r="K791" s="1">
        <v>45306</v>
      </c>
      <c r="L791">
        <v>16900.25</v>
      </c>
      <c r="M791">
        <v>10000.799999999999</v>
      </c>
      <c r="N791">
        <v>695</v>
      </c>
      <c r="O791">
        <v>56000</v>
      </c>
      <c r="P791" t="s">
        <v>26</v>
      </c>
      <c r="Q791" t="s">
        <v>43</v>
      </c>
      <c r="R791">
        <v>0</v>
      </c>
      <c r="S791" t="s">
        <v>28</v>
      </c>
    </row>
    <row r="792" spans="1:19">
      <c r="A792" t="s">
        <v>582</v>
      </c>
      <c r="B792" t="s">
        <v>1885</v>
      </c>
      <c r="C792" t="s">
        <v>57</v>
      </c>
      <c r="D792" t="s">
        <v>22</v>
      </c>
      <c r="E792" t="s">
        <v>53</v>
      </c>
      <c r="F792">
        <v>48</v>
      </c>
      <c r="G792" t="s">
        <v>34</v>
      </c>
      <c r="H792" t="s">
        <v>1886</v>
      </c>
      <c r="I792">
        <f>1-773-555-194</f>
        <v>-1521</v>
      </c>
      <c r="J792" s="1">
        <v>44979</v>
      </c>
      <c r="K792" s="1">
        <v>45303</v>
      </c>
      <c r="L792">
        <v>34300.9</v>
      </c>
      <c r="M792">
        <v>13600.25</v>
      </c>
      <c r="N792">
        <v>755</v>
      </c>
      <c r="O792">
        <v>78000</v>
      </c>
      <c r="P792" t="s">
        <v>36</v>
      </c>
      <c r="Q792" t="s">
        <v>27</v>
      </c>
      <c r="R792">
        <v>0</v>
      </c>
      <c r="S792" t="s">
        <v>28</v>
      </c>
    </row>
    <row r="793" spans="1:19">
      <c r="A793" t="s">
        <v>55</v>
      </c>
      <c r="B793" t="s">
        <v>1887</v>
      </c>
      <c r="C793" t="s">
        <v>39</v>
      </c>
      <c r="D793" t="s">
        <v>58</v>
      </c>
      <c r="E793" t="s">
        <v>122</v>
      </c>
      <c r="F793">
        <v>66</v>
      </c>
      <c r="G793" t="s">
        <v>24</v>
      </c>
      <c r="H793" t="s">
        <v>1888</v>
      </c>
      <c r="I793">
        <f>86-138-4567-8901</f>
        <v>-13520</v>
      </c>
      <c r="J793" s="1">
        <v>43730</v>
      </c>
      <c r="K793" s="1">
        <v>45300</v>
      </c>
      <c r="L793">
        <v>191300.4</v>
      </c>
      <c r="M793">
        <v>104000.75</v>
      </c>
      <c r="N793">
        <v>685</v>
      </c>
      <c r="O793">
        <v>212000</v>
      </c>
      <c r="P793" t="s">
        <v>76</v>
      </c>
      <c r="Q793" t="s">
        <v>27</v>
      </c>
      <c r="R793">
        <v>0</v>
      </c>
      <c r="S793" t="s">
        <v>28</v>
      </c>
    </row>
    <row r="794" spans="1:19">
      <c r="A794" t="s">
        <v>469</v>
      </c>
      <c r="B794" t="s">
        <v>1889</v>
      </c>
      <c r="C794" t="s">
        <v>52</v>
      </c>
      <c r="D794" t="s">
        <v>471</v>
      </c>
      <c r="E794" t="s">
        <v>472</v>
      </c>
      <c r="F794">
        <v>57</v>
      </c>
      <c r="G794" t="s">
        <v>34</v>
      </c>
      <c r="H794" t="s">
        <v>1890</v>
      </c>
      <c r="I794">
        <f>48-717-901-234</f>
        <v>-1804</v>
      </c>
      <c r="J794" s="1">
        <v>44369</v>
      </c>
      <c r="K794" s="1">
        <v>45301</v>
      </c>
      <c r="L794">
        <v>64300.800000000003</v>
      </c>
      <c r="M794">
        <v>37400.6</v>
      </c>
      <c r="N794">
        <v>715</v>
      </c>
      <c r="O794">
        <v>111000</v>
      </c>
      <c r="P794" t="s">
        <v>26</v>
      </c>
      <c r="Q794" t="s">
        <v>27</v>
      </c>
      <c r="R794">
        <v>0</v>
      </c>
      <c r="S794" t="s">
        <v>28</v>
      </c>
    </row>
    <row r="795" spans="1:19">
      <c r="A795" t="s">
        <v>474</v>
      </c>
      <c r="B795" t="s">
        <v>1891</v>
      </c>
      <c r="C795" t="s">
        <v>46</v>
      </c>
      <c r="D795" t="s">
        <v>345</v>
      </c>
      <c r="E795" t="s">
        <v>476</v>
      </c>
      <c r="F795">
        <v>60</v>
      </c>
      <c r="G795" t="s">
        <v>24</v>
      </c>
      <c r="H795" t="s">
        <v>1892</v>
      </c>
      <c r="I795">
        <f>880-1812-123456</f>
        <v>-124388</v>
      </c>
      <c r="J795" s="1">
        <v>44277</v>
      </c>
      <c r="K795" s="1">
        <v>45302</v>
      </c>
      <c r="L795">
        <v>92100.25</v>
      </c>
      <c r="M795">
        <v>47400.4</v>
      </c>
      <c r="N795">
        <v>680</v>
      </c>
      <c r="O795">
        <v>140000</v>
      </c>
      <c r="P795" t="s">
        <v>26</v>
      </c>
      <c r="Q795" t="s">
        <v>27</v>
      </c>
      <c r="R795">
        <v>0</v>
      </c>
      <c r="S795" t="s">
        <v>28</v>
      </c>
    </row>
    <row r="796" spans="1:19">
      <c r="A796" t="s">
        <v>592</v>
      </c>
      <c r="B796" t="s">
        <v>1893</v>
      </c>
      <c r="C796" t="s">
        <v>84</v>
      </c>
      <c r="D796" t="s">
        <v>32</v>
      </c>
      <c r="E796" t="s">
        <v>90</v>
      </c>
      <c r="F796">
        <v>40</v>
      </c>
      <c r="G796" t="s">
        <v>34</v>
      </c>
      <c r="H796" t="s">
        <v>1894</v>
      </c>
      <c r="I796">
        <f>81-90-3456-7890</f>
        <v>-11355</v>
      </c>
      <c r="J796" s="1">
        <v>45417</v>
      </c>
      <c r="K796" s="1">
        <v>45304</v>
      </c>
      <c r="L796">
        <v>3650.4</v>
      </c>
      <c r="M796">
        <v>12600.75</v>
      </c>
      <c r="N796">
        <v>610</v>
      </c>
      <c r="O796">
        <v>36000</v>
      </c>
      <c r="P796" t="s">
        <v>76</v>
      </c>
      <c r="Q796" t="s">
        <v>43</v>
      </c>
      <c r="R796">
        <v>0</v>
      </c>
      <c r="S796" t="s">
        <v>28</v>
      </c>
    </row>
    <row r="797" spans="1:19">
      <c r="A797" t="s">
        <v>595</v>
      </c>
      <c r="B797" t="s">
        <v>1895</v>
      </c>
      <c r="C797" t="s">
        <v>21</v>
      </c>
      <c r="D797" t="s">
        <v>209</v>
      </c>
      <c r="E797" t="s">
        <v>210</v>
      </c>
      <c r="F797">
        <v>72</v>
      </c>
      <c r="G797" t="s">
        <v>24</v>
      </c>
      <c r="H797" t="s">
        <v>1896</v>
      </c>
      <c r="I797">
        <f>52-55-1234-123</f>
        <v>-1360</v>
      </c>
      <c r="J797" s="1">
        <v>43426</v>
      </c>
      <c r="K797" s="1">
        <v>45299</v>
      </c>
      <c r="L797">
        <v>289300.8</v>
      </c>
      <c r="M797">
        <v>95000.25</v>
      </c>
      <c r="N797">
        <v>825</v>
      </c>
      <c r="O797">
        <v>292000</v>
      </c>
      <c r="P797" t="s">
        <v>36</v>
      </c>
      <c r="Q797" t="s">
        <v>27</v>
      </c>
      <c r="R797">
        <v>0</v>
      </c>
      <c r="S797" t="s">
        <v>28</v>
      </c>
    </row>
    <row r="798" spans="1:19">
      <c r="A798" t="s">
        <v>226</v>
      </c>
      <c r="B798" t="s">
        <v>1897</v>
      </c>
      <c r="C798" t="s">
        <v>57</v>
      </c>
      <c r="D798" t="s">
        <v>228</v>
      </c>
      <c r="E798" t="s">
        <v>229</v>
      </c>
      <c r="F798">
        <v>47</v>
      </c>
      <c r="G798" t="s">
        <v>34</v>
      </c>
      <c r="H798" t="s">
        <v>1898</v>
      </c>
      <c r="I798">
        <f>254-741-234-567</f>
        <v>-1288</v>
      </c>
      <c r="J798" s="1">
        <v>45160</v>
      </c>
      <c r="K798" s="1">
        <v>45305</v>
      </c>
      <c r="L798">
        <v>31000.75</v>
      </c>
      <c r="M798">
        <v>12000.4</v>
      </c>
      <c r="N798">
        <v>725</v>
      </c>
      <c r="O798">
        <v>68000</v>
      </c>
      <c r="P798" t="s">
        <v>36</v>
      </c>
      <c r="Q798" t="s">
        <v>27</v>
      </c>
      <c r="R798">
        <v>0</v>
      </c>
      <c r="S798" t="s">
        <v>28</v>
      </c>
    </row>
    <row r="799" spans="1:19">
      <c r="A799" t="s">
        <v>488</v>
      </c>
      <c r="B799" t="s">
        <v>1899</v>
      </c>
      <c r="C799" t="s">
        <v>39</v>
      </c>
      <c r="D799" t="s">
        <v>304</v>
      </c>
      <c r="E799" t="s">
        <v>304</v>
      </c>
      <c r="F799">
        <v>64</v>
      </c>
      <c r="G799" t="s">
        <v>24</v>
      </c>
      <c r="H799" t="s">
        <v>1900</v>
      </c>
      <c r="I799">
        <f>65-90-1234</f>
        <v>-1259</v>
      </c>
      <c r="J799" s="1">
        <v>43902</v>
      </c>
      <c r="K799" s="1">
        <v>45300</v>
      </c>
      <c r="L799">
        <v>169500.6</v>
      </c>
      <c r="M799">
        <v>95000.9</v>
      </c>
      <c r="N799">
        <v>675</v>
      </c>
      <c r="O799">
        <v>192000</v>
      </c>
      <c r="P799" t="s">
        <v>76</v>
      </c>
      <c r="Q799" t="s">
        <v>27</v>
      </c>
      <c r="R799">
        <v>0</v>
      </c>
      <c r="S799" t="s">
        <v>28</v>
      </c>
    </row>
    <row r="800" spans="1:19">
      <c r="A800" t="s">
        <v>491</v>
      </c>
      <c r="B800" t="s">
        <v>1901</v>
      </c>
      <c r="C800" t="s">
        <v>52</v>
      </c>
      <c r="D800" t="s">
        <v>493</v>
      </c>
      <c r="E800" t="s">
        <v>494</v>
      </c>
      <c r="F800">
        <v>55</v>
      </c>
      <c r="G800" t="s">
        <v>34</v>
      </c>
      <c r="H800" t="s">
        <v>1902</v>
      </c>
      <c r="I800">
        <f>30-709-12-3456</f>
        <v>-4147</v>
      </c>
      <c r="J800" s="1">
        <v>44673</v>
      </c>
      <c r="K800" s="1">
        <v>45302</v>
      </c>
      <c r="L800">
        <v>58500.4</v>
      </c>
      <c r="M800">
        <v>33200.25</v>
      </c>
      <c r="N800">
        <v>705</v>
      </c>
      <c r="O800">
        <v>100000</v>
      </c>
      <c r="P800" t="s">
        <v>26</v>
      </c>
      <c r="Q800" t="s">
        <v>27</v>
      </c>
      <c r="R800">
        <v>0</v>
      </c>
      <c r="S800" t="s">
        <v>28</v>
      </c>
    </row>
    <row r="801" spans="1:19">
      <c r="A801" t="s">
        <v>496</v>
      </c>
      <c r="B801" t="s">
        <v>1903</v>
      </c>
      <c r="C801" t="s">
        <v>46</v>
      </c>
      <c r="D801" t="s">
        <v>321</v>
      </c>
      <c r="E801" t="s">
        <v>322</v>
      </c>
      <c r="F801">
        <v>58</v>
      </c>
      <c r="G801" t="s">
        <v>24</v>
      </c>
      <c r="H801" t="s">
        <v>1904</v>
      </c>
      <c r="I801">
        <f>61-441-234-567</f>
        <v>-1181</v>
      </c>
      <c r="J801" s="1">
        <v>44157</v>
      </c>
      <c r="K801" s="1">
        <v>45301</v>
      </c>
      <c r="L801">
        <v>105100.75</v>
      </c>
      <c r="M801">
        <v>54300.800000000003</v>
      </c>
      <c r="N801">
        <v>730</v>
      </c>
      <c r="O801">
        <v>166000</v>
      </c>
      <c r="P801" t="s">
        <v>26</v>
      </c>
      <c r="Q801" t="s">
        <v>27</v>
      </c>
      <c r="R801">
        <v>0</v>
      </c>
      <c r="S801" t="s">
        <v>28</v>
      </c>
    </row>
    <row r="802" spans="1:19">
      <c r="A802" t="s">
        <v>324</v>
      </c>
      <c r="B802" t="s">
        <v>1905</v>
      </c>
      <c r="C802" t="s">
        <v>31</v>
      </c>
      <c r="D802" t="s">
        <v>313</v>
      </c>
      <c r="E802" t="s">
        <v>501</v>
      </c>
      <c r="F802">
        <v>43</v>
      </c>
      <c r="G802" t="s">
        <v>34</v>
      </c>
      <c r="H802" t="s">
        <v>1906</v>
      </c>
      <c r="I802">
        <f>92-339-1098765</f>
        <v>-1099012</v>
      </c>
      <c r="J802" s="1">
        <v>45410</v>
      </c>
      <c r="K802" s="1">
        <v>45306</v>
      </c>
      <c r="L802">
        <v>14600.9</v>
      </c>
      <c r="M802">
        <v>8700.75</v>
      </c>
      <c r="N802">
        <v>685</v>
      </c>
      <c r="O802">
        <v>53000</v>
      </c>
      <c r="P802" t="s">
        <v>26</v>
      </c>
      <c r="Q802" t="s">
        <v>43</v>
      </c>
      <c r="R802">
        <v>0</v>
      </c>
      <c r="S802" t="s">
        <v>28</v>
      </c>
    </row>
    <row r="803" spans="1:19">
      <c r="A803" t="s">
        <v>503</v>
      </c>
      <c r="B803" t="s">
        <v>1907</v>
      </c>
      <c r="C803" t="s">
        <v>21</v>
      </c>
      <c r="D803" t="s">
        <v>32</v>
      </c>
      <c r="E803" t="s">
        <v>33</v>
      </c>
      <c r="F803">
        <v>75</v>
      </c>
      <c r="G803" t="s">
        <v>24</v>
      </c>
      <c r="H803" t="s">
        <v>1908</v>
      </c>
      <c r="I803">
        <f>81-80-9012-3456</f>
        <v>-12467</v>
      </c>
      <c r="J803" s="1">
        <v>43153</v>
      </c>
      <c r="K803" s="1">
        <v>45299</v>
      </c>
      <c r="L803">
        <v>300200.25</v>
      </c>
      <c r="M803">
        <v>99000.4</v>
      </c>
      <c r="N803">
        <v>840</v>
      </c>
      <c r="O803">
        <v>307000</v>
      </c>
      <c r="P803" t="s">
        <v>36</v>
      </c>
      <c r="Q803" t="s">
        <v>27</v>
      </c>
      <c r="R803">
        <v>0</v>
      </c>
      <c r="S803" t="s">
        <v>28</v>
      </c>
    </row>
    <row r="804" spans="1:19">
      <c r="A804" t="s">
        <v>506</v>
      </c>
      <c r="B804" t="s">
        <v>1909</v>
      </c>
      <c r="C804" t="s">
        <v>39</v>
      </c>
      <c r="D804" t="s">
        <v>68</v>
      </c>
      <c r="E804" t="s">
        <v>69</v>
      </c>
      <c r="F804">
        <v>67</v>
      </c>
      <c r="G804" t="s">
        <v>34</v>
      </c>
      <c r="H804" t="s">
        <v>1910</v>
      </c>
      <c r="I804">
        <f>234-831-234-5678</f>
        <v>-6509</v>
      </c>
      <c r="J804" s="1">
        <v>43668</v>
      </c>
      <c r="K804" s="1">
        <v>45300</v>
      </c>
      <c r="L804">
        <v>180600.4</v>
      </c>
      <c r="M804">
        <v>99000.75</v>
      </c>
      <c r="N804">
        <v>650</v>
      </c>
      <c r="O804">
        <v>202000</v>
      </c>
      <c r="P804" t="s">
        <v>76</v>
      </c>
      <c r="Q804" t="s">
        <v>27</v>
      </c>
      <c r="R804">
        <v>0</v>
      </c>
      <c r="S804" t="s">
        <v>28</v>
      </c>
    </row>
    <row r="805" spans="1:19">
      <c r="A805" t="s">
        <v>509</v>
      </c>
      <c r="B805" t="s">
        <v>1911</v>
      </c>
      <c r="C805" t="s">
        <v>46</v>
      </c>
      <c r="D805" t="s">
        <v>73</v>
      </c>
      <c r="E805" t="s">
        <v>158</v>
      </c>
      <c r="F805">
        <v>54</v>
      </c>
      <c r="G805" t="s">
        <v>24</v>
      </c>
      <c r="H805" t="s">
        <v>1912</v>
      </c>
      <c r="I805">
        <f>49-193-4567890</f>
        <v>-4568034</v>
      </c>
      <c r="J805" s="1">
        <v>44887</v>
      </c>
      <c r="K805" s="1">
        <v>45303</v>
      </c>
      <c r="L805">
        <v>93200.4</v>
      </c>
      <c r="M805">
        <v>48500.25</v>
      </c>
      <c r="N805">
        <v>745</v>
      </c>
      <c r="O805">
        <v>146000</v>
      </c>
      <c r="P805" t="s">
        <v>26</v>
      </c>
      <c r="Q805" t="s">
        <v>27</v>
      </c>
      <c r="R805">
        <v>0</v>
      </c>
      <c r="S805" t="s">
        <v>28</v>
      </c>
    </row>
    <row r="806" spans="1:19">
      <c r="A806" t="s">
        <v>513</v>
      </c>
      <c r="B806" t="s">
        <v>1913</v>
      </c>
      <c r="C806" t="s">
        <v>57</v>
      </c>
      <c r="D806" t="s">
        <v>58</v>
      </c>
      <c r="E806" t="s">
        <v>122</v>
      </c>
      <c r="F806">
        <v>49</v>
      </c>
      <c r="G806" t="s">
        <v>34</v>
      </c>
      <c r="H806" t="s">
        <v>1914</v>
      </c>
      <c r="I806">
        <f>86-137-4567-8901</f>
        <v>-13519</v>
      </c>
      <c r="J806" s="1">
        <v>45068</v>
      </c>
      <c r="K806" s="1">
        <v>45302</v>
      </c>
      <c r="L806">
        <v>33200.800000000003</v>
      </c>
      <c r="M806">
        <v>13200.9</v>
      </c>
      <c r="N806">
        <v>765</v>
      </c>
      <c r="O806">
        <v>78000</v>
      </c>
      <c r="P806" t="s">
        <v>36</v>
      </c>
      <c r="Q806" t="s">
        <v>27</v>
      </c>
      <c r="R806">
        <v>0</v>
      </c>
      <c r="S806" t="s">
        <v>28</v>
      </c>
    </row>
    <row r="807" spans="1:19">
      <c r="A807" t="s">
        <v>516</v>
      </c>
      <c r="B807" t="s">
        <v>1915</v>
      </c>
      <c r="C807" t="s">
        <v>52</v>
      </c>
      <c r="D807" t="s">
        <v>277</v>
      </c>
      <c r="E807" t="s">
        <v>404</v>
      </c>
      <c r="F807">
        <v>62</v>
      </c>
      <c r="G807" t="s">
        <v>24</v>
      </c>
      <c r="H807" t="s">
        <v>1916</v>
      </c>
      <c r="I807">
        <f>20-122-321-987</f>
        <v>-1410</v>
      </c>
      <c r="J807" s="1">
        <v>44338</v>
      </c>
      <c r="K807" s="1">
        <v>45301</v>
      </c>
      <c r="L807">
        <v>66500.75</v>
      </c>
      <c r="M807">
        <v>39600.400000000001</v>
      </c>
      <c r="N807">
        <v>675</v>
      </c>
      <c r="O807">
        <v>118000</v>
      </c>
      <c r="P807" t="s">
        <v>26</v>
      </c>
      <c r="Q807" t="s">
        <v>27</v>
      </c>
      <c r="R807">
        <v>0</v>
      </c>
      <c r="S807" t="s">
        <v>28</v>
      </c>
    </row>
    <row r="808" spans="1:19">
      <c r="A808" t="s">
        <v>519</v>
      </c>
      <c r="B808" t="s">
        <v>1917</v>
      </c>
      <c r="C808" t="s">
        <v>84</v>
      </c>
      <c r="D808" t="s">
        <v>183</v>
      </c>
      <c r="E808" t="s">
        <v>184</v>
      </c>
      <c r="F808">
        <v>41</v>
      </c>
      <c r="G808" t="s">
        <v>34</v>
      </c>
      <c r="H808" t="s">
        <v>1918</v>
      </c>
      <c r="I808">
        <f>33-6-1234-5678</f>
        <v>-6885</v>
      </c>
      <c r="J808" s="1">
        <v>45424</v>
      </c>
      <c r="K808" s="1">
        <v>45304</v>
      </c>
      <c r="L808">
        <v>3900.25</v>
      </c>
      <c r="M808">
        <v>13800.6</v>
      </c>
      <c r="N808">
        <v>615</v>
      </c>
      <c r="O808">
        <v>38000</v>
      </c>
      <c r="P808" t="s">
        <v>76</v>
      </c>
      <c r="Q808" t="s">
        <v>43</v>
      </c>
      <c r="R808">
        <v>0</v>
      </c>
      <c r="S808" t="s">
        <v>28</v>
      </c>
    </row>
    <row r="809" spans="1:19">
      <c r="A809" t="s">
        <v>522</v>
      </c>
      <c r="B809" t="s">
        <v>1919</v>
      </c>
      <c r="C809" t="s">
        <v>39</v>
      </c>
      <c r="D809" t="s">
        <v>40</v>
      </c>
      <c r="E809" t="s">
        <v>94</v>
      </c>
      <c r="F809">
        <v>69</v>
      </c>
      <c r="G809" t="s">
        <v>24</v>
      </c>
      <c r="H809" t="s">
        <v>1920</v>
      </c>
      <c r="I809">
        <f>91-987-654-3210</f>
        <v>-4760</v>
      </c>
      <c r="J809" s="1">
        <v>43638</v>
      </c>
      <c r="K809" s="1">
        <v>45299</v>
      </c>
      <c r="L809">
        <v>215200.8</v>
      </c>
      <c r="M809">
        <v>112000.25</v>
      </c>
      <c r="N809">
        <v>660</v>
      </c>
      <c r="O809">
        <v>237000</v>
      </c>
      <c r="P809" t="s">
        <v>76</v>
      </c>
      <c r="Q809" t="s">
        <v>27</v>
      </c>
      <c r="R809">
        <v>0</v>
      </c>
      <c r="S809" t="s">
        <v>28</v>
      </c>
    </row>
    <row r="810" spans="1:19">
      <c r="A810" t="s">
        <v>306</v>
      </c>
      <c r="B810" t="s">
        <v>1921</v>
      </c>
      <c r="C810" t="s">
        <v>46</v>
      </c>
      <c r="D810" t="s">
        <v>209</v>
      </c>
      <c r="E810" t="s">
        <v>703</v>
      </c>
      <c r="F810">
        <v>56</v>
      </c>
      <c r="G810" t="s">
        <v>34</v>
      </c>
      <c r="H810" t="s">
        <v>1922</v>
      </c>
      <c r="I810">
        <f>52-81-2345-123</f>
        <v>-2497</v>
      </c>
      <c r="J810" s="1">
        <v>44491</v>
      </c>
      <c r="K810" s="1">
        <v>45302</v>
      </c>
      <c r="L810">
        <v>87600.9</v>
      </c>
      <c r="M810">
        <v>45400.75</v>
      </c>
      <c r="N810">
        <v>730</v>
      </c>
      <c r="O810">
        <v>141000</v>
      </c>
      <c r="P810" t="s">
        <v>26</v>
      </c>
      <c r="Q810" t="s">
        <v>27</v>
      </c>
      <c r="R810">
        <v>0</v>
      </c>
      <c r="S810" t="s">
        <v>28</v>
      </c>
    </row>
    <row r="811" spans="1:19">
      <c r="A811" t="s">
        <v>527</v>
      </c>
      <c r="B811" t="s">
        <v>1923</v>
      </c>
      <c r="C811" t="s">
        <v>31</v>
      </c>
      <c r="D811" t="s">
        <v>32</v>
      </c>
      <c r="E811" t="s">
        <v>90</v>
      </c>
      <c r="F811">
        <v>45</v>
      </c>
      <c r="G811" t="s">
        <v>34</v>
      </c>
      <c r="H811" t="s">
        <v>1924</v>
      </c>
      <c r="I811">
        <f>81-90-123-4567</f>
        <v>-4699</v>
      </c>
      <c r="J811" s="1">
        <v>45420</v>
      </c>
      <c r="K811" s="1">
        <v>45305</v>
      </c>
      <c r="L811">
        <v>15700.4</v>
      </c>
      <c r="M811">
        <v>8800.25</v>
      </c>
      <c r="N811">
        <v>705</v>
      </c>
      <c r="O811">
        <v>55000</v>
      </c>
      <c r="P811" t="s">
        <v>26</v>
      </c>
      <c r="Q811" t="s">
        <v>43</v>
      </c>
      <c r="R811">
        <v>0</v>
      </c>
      <c r="S811" t="s">
        <v>28</v>
      </c>
    </row>
    <row r="812" spans="1:19">
      <c r="A812" t="s">
        <v>530</v>
      </c>
      <c r="B812" t="s">
        <v>1925</v>
      </c>
      <c r="C812" t="s">
        <v>57</v>
      </c>
      <c r="D812" t="s">
        <v>219</v>
      </c>
      <c r="E812" t="s">
        <v>220</v>
      </c>
      <c r="F812">
        <v>50</v>
      </c>
      <c r="G812" t="s">
        <v>24</v>
      </c>
      <c r="H812" t="s">
        <v>1926</v>
      </c>
      <c r="I812">
        <f>233-72-345-6789</f>
        <v>-6973</v>
      </c>
      <c r="J812" s="1">
        <v>45038</v>
      </c>
      <c r="K812" s="1">
        <v>45303</v>
      </c>
      <c r="L812">
        <v>32100.6</v>
      </c>
      <c r="M812">
        <v>12600.8</v>
      </c>
      <c r="N812">
        <v>710</v>
      </c>
      <c r="O812">
        <v>71000</v>
      </c>
      <c r="P812" t="s">
        <v>36</v>
      </c>
      <c r="Q812" t="s">
        <v>27</v>
      </c>
      <c r="R812">
        <v>0</v>
      </c>
      <c r="S812" t="s">
        <v>28</v>
      </c>
    </row>
    <row r="813" spans="1:19">
      <c r="A813" t="s">
        <v>533</v>
      </c>
      <c r="B813" t="s">
        <v>1927</v>
      </c>
      <c r="C813" t="s">
        <v>52</v>
      </c>
      <c r="D813" t="s">
        <v>204</v>
      </c>
      <c r="E813" t="s">
        <v>259</v>
      </c>
      <c r="F813">
        <v>57</v>
      </c>
      <c r="G813" t="s">
        <v>34</v>
      </c>
      <c r="H813" t="s">
        <v>1928</v>
      </c>
      <c r="I813">
        <f>7-921-98-76-54</f>
        <v>-1142</v>
      </c>
      <c r="J813" s="1">
        <v>44338</v>
      </c>
      <c r="K813" s="1">
        <v>45301</v>
      </c>
      <c r="L813">
        <v>63400.25</v>
      </c>
      <c r="M813">
        <v>36500.9</v>
      </c>
      <c r="N813">
        <v>695</v>
      </c>
      <c r="O813">
        <v>106000</v>
      </c>
      <c r="P813" t="s">
        <v>26</v>
      </c>
      <c r="Q813" t="s">
        <v>27</v>
      </c>
      <c r="R813">
        <v>0</v>
      </c>
      <c r="S813" t="s">
        <v>28</v>
      </c>
    </row>
    <row r="814" spans="1:19">
      <c r="A814" t="s">
        <v>536</v>
      </c>
      <c r="B814" t="s">
        <v>1929</v>
      </c>
      <c r="C814" t="s">
        <v>39</v>
      </c>
      <c r="D814" t="s">
        <v>195</v>
      </c>
      <c r="E814" t="s">
        <v>196</v>
      </c>
      <c r="F814">
        <v>65</v>
      </c>
      <c r="G814" t="s">
        <v>24</v>
      </c>
      <c r="H814" t="s">
        <v>1930</v>
      </c>
      <c r="I814">
        <f>353-4-234-5678</f>
        <v>-5563</v>
      </c>
      <c r="J814" s="1">
        <v>43791</v>
      </c>
      <c r="K814" s="1">
        <v>45300</v>
      </c>
      <c r="L814">
        <v>147400.4</v>
      </c>
      <c r="M814">
        <v>86000.6</v>
      </c>
      <c r="N814">
        <v>670</v>
      </c>
      <c r="O814">
        <v>173000</v>
      </c>
      <c r="P814" t="s">
        <v>76</v>
      </c>
      <c r="Q814" t="s">
        <v>27</v>
      </c>
      <c r="R814">
        <v>0</v>
      </c>
      <c r="S814" t="s">
        <v>28</v>
      </c>
    </row>
    <row r="815" spans="1:19">
      <c r="A815" t="s">
        <v>539</v>
      </c>
      <c r="B815" t="s">
        <v>1931</v>
      </c>
      <c r="C815" t="s">
        <v>21</v>
      </c>
      <c r="D815" t="s">
        <v>58</v>
      </c>
      <c r="E815" t="s">
        <v>59</v>
      </c>
      <c r="F815">
        <v>73</v>
      </c>
      <c r="G815" t="s">
        <v>34</v>
      </c>
      <c r="H815" t="s">
        <v>1932</v>
      </c>
      <c r="I815">
        <f>86-139-1234-5678</f>
        <v>-6965</v>
      </c>
      <c r="J815" s="1">
        <v>43365</v>
      </c>
      <c r="K815" s="1">
        <v>45299</v>
      </c>
      <c r="L815">
        <v>314300.75</v>
      </c>
      <c r="M815">
        <v>103000.8</v>
      </c>
      <c r="N815">
        <v>835</v>
      </c>
      <c r="O815">
        <v>318000</v>
      </c>
      <c r="P815" t="s">
        <v>36</v>
      </c>
      <c r="Q815" t="s">
        <v>27</v>
      </c>
      <c r="R815">
        <v>0</v>
      </c>
      <c r="S815" t="s">
        <v>28</v>
      </c>
    </row>
    <row r="816" spans="1:19">
      <c r="A816" t="s">
        <v>542</v>
      </c>
      <c r="B816" t="s">
        <v>1933</v>
      </c>
      <c r="C816" t="s">
        <v>52</v>
      </c>
      <c r="D816" t="s">
        <v>68</v>
      </c>
      <c r="E816" t="s">
        <v>69</v>
      </c>
      <c r="F816">
        <v>60</v>
      </c>
      <c r="G816" t="s">
        <v>34</v>
      </c>
      <c r="H816" t="s">
        <v>1934</v>
      </c>
      <c r="I816">
        <f>234-832-345-6789</f>
        <v>-7732</v>
      </c>
      <c r="J816" s="1">
        <v>44308</v>
      </c>
      <c r="K816" s="1">
        <v>45302</v>
      </c>
      <c r="L816">
        <v>72100.600000000006</v>
      </c>
      <c r="M816">
        <v>42100.25</v>
      </c>
      <c r="N816">
        <v>665</v>
      </c>
      <c r="O816">
        <v>126000</v>
      </c>
      <c r="P816" t="s">
        <v>26</v>
      </c>
      <c r="Q816" t="s">
        <v>27</v>
      </c>
      <c r="R816">
        <v>0</v>
      </c>
      <c r="S816" t="s">
        <v>28</v>
      </c>
    </row>
    <row r="817" spans="1:19">
      <c r="A817" t="s">
        <v>545</v>
      </c>
      <c r="B817" t="s">
        <v>1935</v>
      </c>
      <c r="C817" t="s">
        <v>46</v>
      </c>
      <c r="D817" t="s">
        <v>241</v>
      </c>
      <c r="E817" t="s">
        <v>242</v>
      </c>
      <c r="F817">
        <v>52</v>
      </c>
      <c r="G817" t="s">
        <v>24</v>
      </c>
      <c r="H817" t="s">
        <v>1936</v>
      </c>
      <c r="I817">
        <f>39-366-12-3456</f>
        <v>-3795</v>
      </c>
      <c r="J817" s="1">
        <v>44948</v>
      </c>
      <c r="K817" s="1">
        <v>45303</v>
      </c>
      <c r="L817">
        <v>95400.8</v>
      </c>
      <c r="M817">
        <v>49600.4</v>
      </c>
      <c r="N817">
        <v>750</v>
      </c>
      <c r="O817">
        <v>152000</v>
      </c>
      <c r="P817" t="s">
        <v>26</v>
      </c>
      <c r="Q817" t="s">
        <v>27</v>
      </c>
      <c r="R817">
        <v>0</v>
      </c>
      <c r="S817" t="s">
        <v>28</v>
      </c>
    </row>
    <row r="818" spans="1:19">
      <c r="A818" t="s">
        <v>548</v>
      </c>
      <c r="B818" t="s">
        <v>1937</v>
      </c>
      <c r="C818" t="s">
        <v>57</v>
      </c>
      <c r="D818" t="s">
        <v>22</v>
      </c>
      <c r="E818" t="s">
        <v>118</v>
      </c>
      <c r="F818">
        <v>48</v>
      </c>
      <c r="G818" t="s">
        <v>34</v>
      </c>
      <c r="H818" t="s">
        <v>1938</v>
      </c>
      <c r="I818">
        <f>1-310-555-194</f>
        <v>-1058</v>
      </c>
      <c r="J818" s="1">
        <v>45129</v>
      </c>
      <c r="K818" s="1">
        <v>45305</v>
      </c>
      <c r="L818">
        <v>34300.9</v>
      </c>
      <c r="M818">
        <v>13600.75</v>
      </c>
      <c r="N818">
        <v>770</v>
      </c>
      <c r="O818">
        <v>83000</v>
      </c>
      <c r="P818" t="s">
        <v>36</v>
      </c>
      <c r="Q818" t="s">
        <v>27</v>
      </c>
      <c r="R818">
        <v>0</v>
      </c>
      <c r="S818" t="s">
        <v>28</v>
      </c>
    </row>
    <row r="819" spans="1:19">
      <c r="A819" t="s">
        <v>551</v>
      </c>
      <c r="B819" t="s">
        <v>1939</v>
      </c>
      <c r="C819" t="s">
        <v>39</v>
      </c>
      <c r="D819" t="s">
        <v>313</v>
      </c>
      <c r="E819" t="s">
        <v>314</v>
      </c>
      <c r="F819">
        <v>71</v>
      </c>
      <c r="G819" t="s">
        <v>24</v>
      </c>
      <c r="H819" t="s">
        <v>1940</v>
      </c>
      <c r="I819">
        <f>92-318-1098765</f>
        <v>-1098991</v>
      </c>
      <c r="J819" s="1">
        <v>43546</v>
      </c>
      <c r="K819" s="1">
        <v>45299</v>
      </c>
      <c r="L819">
        <v>200500.25</v>
      </c>
      <c r="M819">
        <v>107000.8</v>
      </c>
      <c r="N819">
        <v>645</v>
      </c>
      <c r="O819">
        <v>223000</v>
      </c>
      <c r="P819" t="s">
        <v>76</v>
      </c>
      <c r="Q819" t="s">
        <v>27</v>
      </c>
      <c r="R819">
        <v>0</v>
      </c>
      <c r="S819" t="s">
        <v>28</v>
      </c>
    </row>
    <row r="820" spans="1:19">
      <c r="A820" t="s">
        <v>554</v>
      </c>
      <c r="B820" t="s">
        <v>1941</v>
      </c>
      <c r="C820" t="s">
        <v>31</v>
      </c>
      <c r="D820" t="s">
        <v>214</v>
      </c>
      <c r="E820" t="s">
        <v>724</v>
      </c>
      <c r="F820">
        <v>44</v>
      </c>
      <c r="G820" t="s">
        <v>34</v>
      </c>
      <c r="H820" t="s">
        <v>1942</v>
      </c>
      <c r="I820">
        <f>34-641-234-567</f>
        <v>-1408</v>
      </c>
      <c r="J820" s="1">
        <v>45424</v>
      </c>
      <c r="K820" s="1">
        <v>45306</v>
      </c>
      <c r="L820">
        <v>28200.5</v>
      </c>
      <c r="M820">
        <v>13200.4</v>
      </c>
      <c r="N820">
        <v>720</v>
      </c>
      <c r="O820">
        <v>60000</v>
      </c>
      <c r="P820" t="s">
        <v>36</v>
      </c>
      <c r="Q820" t="s">
        <v>27</v>
      </c>
      <c r="R820">
        <v>0</v>
      </c>
      <c r="S820" t="s">
        <v>28</v>
      </c>
    </row>
    <row r="821" spans="1:19">
      <c r="A821" t="s">
        <v>108</v>
      </c>
      <c r="B821" t="s">
        <v>1943</v>
      </c>
      <c r="C821" t="s">
        <v>84</v>
      </c>
      <c r="D821" t="s">
        <v>32</v>
      </c>
      <c r="E821" t="s">
        <v>33</v>
      </c>
      <c r="F821">
        <v>40</v>
      </c>
      <c r="G821" t="s">
        <v>24</v>
      </c>
      <c r="H821" t="s">
        <v>1944</v>
      </c>
      <c r="I821">
        <f>81-90-3456-7890</f>
        <v>-11355</v>
      </c>
      <c r="J821" s="1">
        <v>45427</v>
      </c>
      <c r="K821" s="1">
        <v>45304</v>
      </c>
      <c r="L821">
        <v>3650.8</v>
      </c>
      <c r="M821">
        <v>12200.25</v>
      </c>
      <c r="N821">
        <v>605</v>
      </c>
      <c r="O821">
        <v>36000</v>
      </c>
      <c r="P821" t="s">
        <v>76</v>
      </c>
      <c r="Q821" t="s">
        <v>43</v>
      </c>
      <c r="R821">
        <v>0</v>
      </c>
      <c r="S821" t="s">
        <v>28</v>
      </c>
    </row>
    <row r="822" spans="1:19">
      <c r="A822" t="s">
        <v>559</v>
      </c>
      <c r="B822" t="s">
        <v>1945</v>
      </c>
      <c r="C822" t="s">
        <v>46</v>
      </c>
      <c r="D822" t="s">
        <v>254</v>
      </c>
      <c r="E822" t="s">
        <v>255</v>
      </c>
      <c r="F822">
        <v>54</v>
      </c>
      <c r="G822" t="s">
        <v>34</v>
      </c>
      <c r="H822" t="s">
        <v>1946</v>
      </c>
      <c r="I822">
        <f>221-96-12-3456</f>
        <v>-3343</v>
      </c>
      <c r="J822" s="1">
        <v>44826</v>
      </c>
      <c r="K822" s="1">
        <v>45302</v>
      </c>
      <c r="L822">
        <v>82100.399999999994</v>
      </c>
      <c r="M822">
        <v>44300.75</v>
      </c>
      <c r="N822">
        <v>710</v>
      </c>
      <c r="O822">
        <v>134000</v>
      </c>
      <c r="P822" t="s">
        <v>26</v>
      </c>
      <c r="Q822" t="s">
        <v>27</v>
      </c>
      <c r="R822">
        <v>0</v>
      </c>
      <c r="S822" t="s">
        <v>28</v>
      </c>
    </row>
    <row r="823" spans="1:19">
      <c r="A823" t="s">
        <v>562</v>
      </c>
      <c r="B823" t="s">
        <v>1947</v>
      </c>
      <c r="C823" t="s">
        <v>39</v>
      </c>
      <c r="D823" t="s">
        <v>47</v>
      </c>
      <c r="E823" t="s">
        <v>98</v>
      </c>
      <c r="F823">
        <v>68</v>
      </c>
      <c r="G823" t="s">
        <v>24</v>
      </c>
      <c r="H823" t="s">
        <v>1948</v>
      </c>
      <c r="I823">
        <f>44-79-3456-7890</f>
        <v>-11381</v>
      </c>
      <c r="J823" s="1">
        <v>43699</v>
      </c>
      <c r="K823" s="1">
        <v>45300</v>
      </c>
      <c r="L823">
        <v>180700.6</v>
      </c>
      <c r="M823">
        <v>100000.25</v>
      </c>
      <c r="N823">
        <v>675</v>
      </c>
      <c r="O823">
        <v>203000</v>
      </c>
      <c r="P823" t="s">
        <v>76</v>
      </c>
      <c r="Q823" t="s">
        <v>27</v>
      </c>
      <c r="R823">
        <v>0</v>
      </c>
      <c r="S823" t="s">
        <v>28</v>
      </c>
    </row>
    <row r="824" spans="1:19">
      <c r="A824" t="s">
        <v>565</v>
      </c>
      <c r="B824" t="s">
        <v>1949</v>
      </c>
      <c r="C824" t="s">
        <v>52</v>
      </c>
      <c r="D824" t="s">
        <v>233</v>
      </c>
      <c r="E824" t="s">
        <v>234</v>
      </c>
      <c r="F824">
        <v>53</v>
      </c>
      <c r="G824" t="s">
        <v>34</v>
      </c>
      <c r="H824" t="s">
        <v>1950</v>
      </c>
      <c r="I824">
        <f>82-10-2345-6789</f>
        <v>-9062</v>
      </c>
      <c r="J824" s="1">
        <v>44614</v>
      </c>
      <c r="K824" s="1">
        <v>45301</v>
      </c>
      <c r="L824">
        <v>58500.75</v>
      </c>
      <c r="M824">
        <v>35400.800000000003</v>
      </c>
      <c r="N824">
        <v>725</v>
      </c>
      <c r="O824">
        <v>100000</v>
      </c>
      <c r="P824" t="s">
        <v>26</v>
      </c>
      <c r="Q824" t="s">
        <v>27</v>
      </c>
      <c r="R824">
        <v>0</v>
      </c>
      <c r="S824" t="s">
        <v>28</v>
      </c>
    </row>
    <row r="825" spans="1:19">
      <c r="A825" t="s">
        <v>568</v>
      </c>
      <c r="B825" t="s">
        <v>1951</v>
      </c>
      <c r="C825" t="s">
        <v>57</v>
      </c>
      <c r="D825" t="s">
        <v>79</v>
      </c>
      <c r="E825" t="s">
        <v>80</v>
      </c>
      <c r="F825">
        <v>51</v>
      </c>
      <c r="G825" t="s">
        <v>24</v>
      </c>
      <c r="H825" t="s">
        <v>1952</v>
      </c>
      <c r="I825">
        <f>971-50-456-7890</f>
        <v>-7425</v>
      </c>
      <c r="J825" s="1">
        <v>45068</v>
      </c>
      <c r="K825" s="1">
        <v>45303</v>
      </c>
      <c r="L825">
        <v>36500.400000000001</v>
      </c>
      <c r="M825">
        <v>14400.9</v>
      </c>
      <c r="N825">
        <v>740</v>
      </c>
      <c r="O825">
        <v>86000</v>
      </c>
      <c r="P825" t="s">
        <v>36</v>
      </c>
      <c r="Q825" t="s">
        <v>27</v>
      </c>
      <c r="R825">
        <v>0</v>
      </c>
      <c r="S825" t="s">
        <v>28</v>
      </c>
    </row>
    <row r="826" spans="1:19">
      <c r="A826" t="s">
        <v>571</v>
      </c>
      <c r="B826" t="s">
        <v>1953</v>
      </c>
      <c r="C826" t="s">
        <v>21</v>
      </c>
      <c r="D826" t="s">
        <v>63</v>
      </c>
      <c r="E826" t="s">
        <v>64</v>
      </c>
      <c r="F826">
        <v>74</v>
      </c>
      <c r="G826" t="s">
        <v>34</v>
      </c>
      <c r="H826" t="s">
        <v>1954</v>
      </c>
      <c r="I826">
        <f>55-11-99956-7890</f>
        <v>-107802</v>
      </c>
      <c r="J826" s="1">
        <v>43242</v>
      </c>
      <c r="K826" s="1">
        <v>45299</v>
      </c>
      <c r="L826">
        <v>269600.90000000002</v>
      </c>
      <c r="M826">
        <v>90000.6</v>
      </c>
      <c r="N826">
        <v>830</v>
      </c>
      <c r="O826">
        <v>298000</v>
      </c>
      <c r="P826" t="s">
        <v>36</v>
      </c>
      <c r="Q826" t="s">
        <v>27</v>
      </c>
      <c r="R826">
        <v>0</v>
      </c>
      <c r="S826" t="s">
        <v>28</v>
      </c>
    </row>
    <row r="827" spans="1:19">
      <c r="A827" t="s">
        <v>574</v>
      </c>
      <c r="B827" t="s">
        <v>1955</v>
      </c>
      <c r="C827" t="s">
        <v>39</v>
      </c>
      <c r="D827" t="s">
        <v>68</v>
      </c>
      <c r="E827" t="s">
        <v>114</v>
      </c>
      <c r="F827">
        <v>66</v>
      </c>
      <c r="G827" t="s">
        <v>24</v>
      </c>
      <c r="H827" t="s">
        <v>1956</v>
      </c>
      <c r="I827">
        <f>234-833-456-7890</f>
        <v>-8945</v>
      </c>
      <c r="J827" s="1">
        <v>43842</v>
      </c>
      <c r="K827" s="1">
        <v>45300</v>
      </c>
      <c r="L827">
        <v>158500.25</v>
      </c>
      <c r="M827">
        <v>92000.4</v>
      </c>
      <c r="N827">
        <v>655</v>
      </c>
      <c r="O827">
        <v>188000</v>
      </c>
      <c r="P827" t="s">
        <v>76</v>
      </c>
      <c r="Q827" t="s">
        <v>27</v>
      </c>
      <c r="R827">
        <v>0</v>
      </c>
      <c r="S827" t="s">
        <v>28</v>
      </c>
    </row>
    <row r="828" spans="1:19">
      <c r="A828" t="s">
        <v>577</v>
      </c>
      <c r="B828" t="s">
        <v>1957</v>
      </c>
      <c r="C828" t="s">
        <v>46</v>
      </c>
      <c r="D828" t="s">
        <v>85</v>
      </c>
      <c r="E828" t="s">
        <v>162</v>
      </c>
      <c r="F828">
        <v>55</v>
      </c>
      <c r="G828" t="s">
        <v>34</v>
      </c>
      <c r="H828" t="s">
        <v>1958</v>
      </c>
      <c r="I828">
        <f>1-514-555-194</f>
        <v>-1262</v>
      </c>
      <c r="J828" s="1">
        <v>44734</v>
      </c>
      <c r="K828" s="1">
        <v>45302</v>
      </c>
      <c r="L828">
        <v>101000.6</v>
      </c>
      <c r="M828">
        <v>52300.75</v>
      </c>
      <c r="N828">
        <v>760</v>
      </c>
      <c r="O828">
        <v>157000</v>
      </c>
      <c r="P828" t="s">
        <v>26</v>
      </c>
      <c r="Q828" t="s">
        <v>27</v>
      </c>
      <c r="R828">
        <v>0</v>
      </c>
      <c r="S828" t="s">
        <v>28</v>
      </c>
    </row>
    <row r="829" spans="1:19">
      <c r="A829" t="s">
        <v>458</v>
      </c>
      <c r="B829" t="s">
        <v>1959</v>
      </c>
      <c r="C829" t="s">
        <v>31</v>
      </c>
      <c r="D829" t="s">
        <v>460</v>
      </c>
      <c r="E829" t="s">
        <v>663</v>
      </c>
      <c r="F829">
        <v>46</v>
      </c>
      <c r="G829" t="s">
        <v>24</v>
      </c>
      <c r="H829" t="s">
        <v>1960</v>
      </c>
      <c r="I829">
        <f>62-830-1234-5678</f>
        <v>-7680</v>
      </c>
      <c r="J829" s="1">
        <v>45420</v>
      </c>
      <c r="K829" s="1">
        <v>45306</v>
      </c>
      <c r="L829">
        <v>17400.25</v>
      </c>
      <c r="M829">
        <v>10300.799999999999</v>
      </c>
      <c r="N829">
        <v>695</v>
      </c>
      <c r="O829">
        <v>57000</v>
      </c>
      <c r="P829" t="s">
        <v>26</v>
      </c>
      <c r="Q829" t="s">
        <v>43</v>
      </c>
      <c r="R829">
        <v>0</v>
      </c>
      <c r="S829" t="s">
        <v>28</v>
      </c>
    </row>
    <row r="830" spans="1:19">
      <c r="A830" t="s">
        <v>582</v>
      </c>
      <c r="B830" t="s">
        <v>1961</v>
      </c>
      <c r="C830" t="s">
        <v>57</v>
      </c>
      <c r="D830" t="s">
        <v>22</v>
      </c>
      <c r="E830" t="s">
        <v>23</v>
      </c>
      <c r="F830">
        <v>49</v>
      </c>
      <c r="G830" t="s">
        <v>34</v>
      </c>
      <c r="H830" t="s">
        <v>1962</v>
      </c>
      <c r="I830">
        <f>1-646-555-198</f>
        <v>-1398</v>
      </c>
      <c r="J830" s="1">
        <v>45007</v>
      </c>
      <c r="K830" s="1">
        <v>45303</v>
      </c>
      <c r="L830">
        <v>35400.9</v>
      </c>
      <c r="M830">
        <v>14000.25</v>
      </c>
      <c r="N830">
        <v>755</v>
      </c>
      <c r="O830">
        <v>79000</v>
      </c>
      <c r="P830" t="s">
        <v>36</v>
      </c>
      <c r="Q830" t="s">
        <v>27</v>
      </c>
      <c r="R830">
        <v>0</v>
      </c>
      <c r="S830" t="s">
        <v>28</v>
      </c>
    </row>
    <row r="831" spans="1:19">
      <c r="A831" t="s">
        <v>55</v>
      </c>
      <c r="B831" t="s">
        <v>1963</v>
      </c>
      <c r="C831" t="s">
        <v>39</v>
      </c>
      <c r="D831" t="s">
        <v>58</v>
      </c>
      <c r="E831" t="s">
        <v>122</v>
      </c>
      <c r="F831">
        <v>67</v>
      </c>
      <c r="G831" t="s">
        <v>24</v>
      </c>
      <c r="H831" t="s">
        <v>1964</v>
      </c>
      <c r="I831">
        <f>86-138-5678-9012</f>
        <v>-14742</v>
      </c>
      <c r="J831" s="1">
        <v>43760</v>
      </c>
      <c r="K831" s="1">
        <v>45300</v>
      </c>
      <c r="L831">
        <v>191400.4</v>
      </c>
      <c r="M831">
        <v>105000.75</v>
      </c>
      <c r="N831">
        <v>685</v>
      </c>
      <c r="O831">
        <v>213000</v>
      </c>
      <c r="P831" t="s">
        <v>76</v>
      </c>
      <c r="Q831" t="s">
        <v>27</v>
      </c>
      <c r="R831">
        <v>0</v>
      </c>
      <c r="S831" t="s">
        <v>28</v>
      </c>
    </row>
    <row r="832" spans="1:19">
      <c r="A832" t="s">
        <v>469</v>
      </c>
      <c r="B832" t="s">
        <v>1965</v>
      </c>
      <c r="C832" t="s">
        <v>52</v>
      </c>
      <c r="D832" t="s">
        <v>471</v>
      </c>
      <c r="E832" t="s">
        <v>472</v>
      </c>
      <c r="F832">
        <v>58</v>
      </c>
      <c r="G832" t="s">
        <v>34</v>
      </c>
      <c r="H832" t="s">
        <v>1966</v>
      </c>
      <c r="I832">
        <f>48-718-12-345</f>
        <v>-1027</v>
      </c>
      <c r="J832" s="1">
        <v>44399</v>
      </c>
      <c r="K832" s="1">
        <v>45301</v>
      </c>
      <c r="L832">
        <v>65400.800000000003</v>
      </c>
      <c r="M832">
        <v>38500.6</v>
      </c>
      <c r="N832">
        <v>715</v>
      </c>
      <c r="O832">
        <v>112000</v>
      </c>
      <c r="P832" t="s">
        <v>26</v>
      </c>
      <c r="Q832" t="s">
        <v>27</v>
      </c>
      <c r="R832">
        <v>0</v>
      </c>
      <c r="S832" t="s">
        <v>28</v>
      </c>
    </row>
    <row r="833" spans="1:19">
      <c r="A833" t="s">
        <v>474</v>
      </c>
      <c r="B833" t="s">
        <v>1967</v>
      </c>
      <c r="C833" t="s">
        <v>46</v>
      </c>
      <c r="D833" t="s">
        <v>345</v>
      </c>
      <c r="E833" t="s">
        <v>346</v>
      </c>
      <c r="F833">
        <v>61</v>
      </c>
      <c r="G833" t="s">
        <v>24</v>
      </c>
      <c r="H833" t="s">
        <v>1968</v>
      </c>
      <c r="I833">
        <f>880-1812-234567</f>
        <v>-235499</v>
      </c>
      <c r="J833" s="1">
        <v>44308</v>
      </c>
      <c r="K833" s="1">
        <v>45302</v>
      </c>
      <c r="L833">
        <v>93200.25</v>
      </c>
      <c r="M833">
        <v>48500.4</v>
      </c>
      <c r="N833">
        <v>680</v>
      </c>
      <c r="O833">
        <v>141000</v>
      </c>
      <c r="P833" t="s">
        <v>26</v>
      </c>
      <c r="Q833" t="s">
        <v>27</v>
      </c>
      <c r="R833">
        <v>0</v>
      </c>
      <c r="S833" t="s">
        <v>28</v>
      </c>
    </row>
    <row r="834" spans="1:19">
      <c r="A834" t="s">
        <v>592</v>
      </c>
      <c r="B834" t="s">
        <v>1969</v>
      </c>
      <c r="C834" t="s">
        <v>84</v>
      </c>
      <c r="D834" t="s">
        <v>32</v>
      </c>
      <c r="E834" t="s">
        <v>90</v>
      </c>
      <c r="F834">
        <v>41</v>
      </c>
      <c r="G834" t="s">
        <v>34</v>
      </c>
      <c r="H834" t="s">
        <v>1970</v>
      </c>
      <c r="I834">
        <f>81-90-4567-8901</f>
        <v>-13477</v>
      </c>
      <c r="J834" s="1">
        <v>45434</v>
      </c>
      <c r="K834" s="1">
        <v>45304</v>
      </c>
      <c r="L834">
        <v>3750.4</v>
      </c>
      <c r="M834">
        <v>12800.75</v>
      </c>
      <c r="N834">
        <v>610</v>
      </c>
      <c r="O834">
        <v>37000</v>
      </c>
      <c r="P834" t="s">
        <v>76</v>
      </c>
      <c r="Q834" t="s">
        <v>43</v>
      </c>
      <c r="R834">
        <v>0</v>
      </c>
      <c r="S834" t="s">
        <v>28</v>
      </c>
    </row>
    <row r="835" spans="1:19">
      <c r="A835" t="s">
        <v>595</v>
      </c>
      <c r="B835" t="s">
        <v>1971</v>
      </c>
      <c r="C835" t="s">
        <v>21</v>
      </c>
      <c r="D835" t="s">
        <v>209</v>
      </c>
      <c r="E835" t="s">
        <v>210</v>
      </c>
      <c r="F835">
        <v>73</v>
      </c>
      <c r="G835" t="s">
        <v>24</v>
      </c>
      <c r="H835" t="s">
        <v>1972</v>
      </c>
      <c r="I835">
        <f>52-55-2345-123</f>
        <v>-2471</v>
      </c>
      <c r="J835" s="1">
        <v>43456</v>
      </c>
      <c r="K835" s="1">
        <v>45299</v>
      </c>
      <c r="L835">
        <v>289400.8</v>
      </c>
      <c r="M835">
        <v>96000.25</v>
      </c>
      <c r="N835">
        <v>825</v>
      </c>
      <c r="O835">
        <v>293000</v>
      </c>
      <c r="P835" t="s">
        <v>36</v>
      </c>
      <c r="Q835" t="s">
        <v>27</v>
      </c>
      <c r="R835">
        <v>0</v>
      </c>
      <c r="S835" t="s">
        <v>28</v>
      </c>
    </row>
    <row r="836" spans="1:19">
      <c r="A836" t="s">
        <v>226</v>
      </c>
      <c r="B836" t="s">
        <v>1973</v>
      </c>
      <c r="C836" t="s">
        <v>57</v>
      </c>
      <c r="D836" t="s">
        <v>228</v>
      </c>
      <c r="E836" t="s">
        <v>229</v>
      </c>
      <c r="F836">
        <v>48</v>
      </c>
      <c r="G836" t="s">
        <v>34</v>
      </c>
      <c r="H836" t="s">
        <v>1974</v>
      </c>
      <c r="I836">
        <f>254-742-345-678</f>
        <v>-1511</v>
      </c>
      <c r="J836" s="1">
        <v>45191</v>
      </c>
      <c r="K836" s="1">
        <v>45305</v>
      </c>
      <c r="L836">
        <v>32100.75</v>
      </c>
      <c r="M836">
        <v>12400.4</v>
      </c>
      <c r="N836">
        <v>725</v>
      </c>
      <c r="O836">
        <v>69000</v>
      </c>
      <c r="P836" t="s">
        <v>36</v>
      </c>
      <c r="Q836" t="s">
        <v>27</v>
      </c>
      <c r="R836">
        <v>0</v>
      </c>
      <c r="S836" t="s">
        <v>28</v>
      </c>
    </row>
    <row r="837" spans="1:19">
      <c r="A837" t="s">
        <v>488</v>
      </c>
      <c r="B837" t="s">
        <v>1975</v>
      </c>
      <c r="C837" t="s">
        <v>39</v>
      </c>
      <c r="D837" t="s">
        <v>304</v>
      </c>
      <c r="E837" t="s">
        <v>304</v>
      </c>
      <c r="F837">
        <v>65</v>
      </c>
      <c r="G837" t="s">
        <v>24</v>
      </c>
      <c r="H837" t="s">
        <v>1976</v>
      </c>
      <c r="I837">
        <f>65-190-1234</f>
        <v>-1359</v>
      </c>
      <c r="J837" s="1">
        <v>43933</v>
      </c>
      <c r="K837" s="1">
        <v>45300</v>
      </c>
      <c r="L837">
        <v>169600.6</v>
      </c>
      <c r="M837">
        <v>96000.9</v>
      </c>
      <c r="N837">
        <v>675</v>
      </c>
      <c r="O837">
        <v>193000</v>
      </c>
      <c r="P837" t="s">
        <v>76</v>
      </c>
      <c r="Q837" t="s">
        <v>27</v>
      </c>
      <c r="R837">
        <v>0</v>
      </c>
      <c r="S837" t="s">
        <v>28</v>
      </c>
    </row>
    <row r="838" spans="1:19">
      <c r="A838" t="s">
        <v>491</v>
      </c>
      <c r="B838" t="s">
        <v>1977</v>
      </c>
      <c r="C838" t="s">
        <v>52</v>
      </c>
      <c r="D838" t="s">
        <v>493</v>
      </c>
      <c r="E838" t="s">
        <v>494</v>
      </c>
      <c r="F838">
        <v>56</v>
      </c>
      <c r="G838" t="s">
        <v>34</v>
      </c>
      <c r="H838" t="s">
        <v>1978</v>
      </c>
      <c r="I838">
        <f>30-710-123-4567</f>
        <v>-5370</v>
      </c>
      <c r="J838" s="1">
        <v>44703</v>
      </c>
      <c r="K838" s="1">
        <v>45302</v>
      </c>
      <c r="L838">
        <v>59600.4</v>
      </c>
      <c r="M838">
        <v>34300.25</v>
      </c>
      <c r="N838">
        <v>705</v>
      </c>
      <c r="O838">
        <v>101000</v>
      </c>
      <c r="P838" t="s">
        <v>26</v>
      </c>
      <c r="Q838" t="s">
        <v>27</v>
      </c>
      <c r="R838">
        <v>0</v>
      </c>
      <c r="S838" t="s">
        <v>28</v>
      </c>
    </row>
    <row r="839" spans="1:19">
      <c r="A839" t="s">
        <v>496</v>
      </c>
      <c r="B839" t="s">
        <v>1979</v>
      </c>
      <c r="C839" t="s">
        <v>46</v>
      </c>
      <c r="D839" t="s">
        <v>321</v>
      </c>
      <c r="E839" t="s">
        <v>498</v>
      </c>
      <c r="F839">
        <v>59</v>
      </c>
      <c r="G839" t="s">
        <v>24</v>
      </c>
      <c r="H839" t="s">
        <v>1980</v>
      </c>
      <c r="I839">
        <f>61-442-345-678</f>
        <v>-1404</v>
      </c>
      <c r="J839" s="1">
        <v>44187</v>
      </c>
      <c r="K839" s="1">
        <v>45301</v>
      </c>
      <c r="L839">
        <v>106100.75</v>
      </c>
      <c r="M839">
        <v>55400.800000000003</v>
      </c>
      <c r="N839">
        <v>730</v>
      </c>
      <c r="O839">
        <v>167000</v>
      </c>
      <c r="P839" t="s">
        <v>26</v>
      </c>
      <c r="Q839" t="s">
        <v>27</v>
      </c>
      <c r="R839">
        <v>0</v>
      </c>
      <c r="S839" t="s">
        <v>28</v>
      </c>
    </row>
    <row r="840" spans="1:19">
      <c r="A840" t="s">
        <v>324</v>
      </c>
      <c r="B840" t="s">
        <v>1981</v>
      </c>
      <c r="C840" t="s">
        <v>31</v>
      </c>
      <c r="D840" t="s">
        <v>313</v>
      </c>
      <c r="E840" t="s">
        <v>385</v>
      </c>
      <c r="F840">
        <v>44</v>
      </c>
      <c r="G840" t="s">
        <v>34</v>
      </c>
      <c r="H840" t="s">
        <v>1982</v>
      </c>
      <c r="I840">
        <f>92-340-987654</f>
        <v>-987902</v>
      </c>
      <c r="J840" s="1">
        <v>45427</v>
      </c>
      <c r="K840" s="1">
        <v>45306</v>
      </c>
      <c r="L840">
        <v>15000.9</v>
      </c>
      <c r="M840">
        <v>8900.75</v>
      </c>
      <c r="N840">
        <v>685</v>
      </c>
      <c r="O840">
        <v>54000</v>
      </c>
      <c r="P840" t="s">
        <v>26</v>
      </c>
      <c r="Q840" t="s">
        <v>43</v>
      </c>
      <c r="R840">
        <v>0</v>
      </c>
      <c r="S840" t="s">
        <v>28</v>
      </c>
    </row>
    <row r="841" spans="1:19">
      <c r="A841" t="s">
        <v>503</v>
      </c>
      <c r="B841" t="s">
        <v>1983</v>
      </c>
      <c r="C841" t="s">
        <v>21</v>
      </c>
      <c r="D841" t="s">
        <v>32</v>
      </c>
      <c r="E841" t="s">
        <v>33</v>
      </c>
      <c r="F841">
        <v>76</v>
      </c>
      <c r="G841" t="s">
        <v>24</v>
      </c>
      <c r="H841" t="s">
        <v>1984</v>
      </c>
      <c r="I841">
        <f>81-80-123-4567</f>
        <v>-4689</v>
      </c>
      <c r="J841" s="1">
        <v>43181</v>
      </c>
      <c r="K841" s="1">
        <v>45299</v>
      </c>
      <c r="L841">
        <v>300300.25</v>
      </c>
      <c r="M841">
        <v>100000.4</v>
      </c>
      <c r="N841">
        <v>840</v>
      </c>
      <c r="O841">
        <v>308000</v>
      </c>
      <c r="P841" t="s">
        <v>36</v>
      </c>
      <c r="Q841" t="s">
        <v>27</v>
      </c>
      <c r="R841">
        <v>0</v>
      </c>
      <c r="S841" t="s">
        <v>28</v>
      </c>
    </row>
    <row r="842" spans="1:19">
      <c r="A842" t="s">
        <v>506</v>
      </c>
      <c r="B842" t="s">
        <v>1985</v>
      </c>
      <c r="C842" t="s">
        <v>39</v>
      </c>
      <c r="D842" t="s">
        <v>68</v>
      </c>
      <c r="E842" t="s">
        <v>69</v>
      </c>
      <c r="F842">
        <v>68</v>
      </c>
      <c r="G842" t="s">
        <v>34</v>
      </c>
      <c r="H842" t="s">
        <v>1986</v>
      </c>
      <c r="I842">
        <f>234-832-345-6789</f>
        <v>-7732</v>
      </c>
      <c r="J842" s="1">
        <v>43699</v>
      </c>
      <c r="K842" s="1">
        <v>45300</v>
      </c>
      <c r="L842">
        <v>180700.4</v>
      </c>
      <c r="M842">
        <v>100000.75</v>
      </c>
      <c r="N842">
        <v>650</v>
      </c>
      <c r="O842">
        <v>203000</v>
      </c>
      <c r="P842" t="s">
        <v>76</v>
      </c>
      <c r="Q842" t="s">
        <v>27</v>
      </c>
      <c r="R842">
        <v>0</v>
      </c>
      <c r="S842" t="s">
        <v>28</v>
      </c>
    </row>
    <row r="843" spans="1:19">
      <c r="A843" t="s">
        <v>509</v>
      </c>
      <c r="B843" t="s">
        <v>1987</v>
      </c>
      <c r="C843" t="s">
        <v>46</v>
      </c>
      <c r="D843" t="s">
        <v>73</v>
      </c>
      <c r="E843" t="s">
        <v>74</v>
      </c>
      <c r="F843">
        <v>55</v>
      </c>
      <c r="G843" t="s">
        <v>24</v>
      </c>
      <c r="H843" t="s">
        <v>1988</v>
      </c>
      <c r="I843">
        <f>49-194-5678901</f>
        <v>-5679046</v>
      </c>
      <c r="J843" s="1">
        <v>44917</v>
      </c>
      <c r="K843" s="1">
        <v>45303</v>
      </c>
      <c r="L843">
        <v>94300.4</v>
      </c>
      <c r="M843">
        <v>49600.25</v>
      </c>
      <c r="N843">
        <v>745</v>
      </c>
      <c r="O843">
        <v>147000</v>
      </c>
      <c r="P843" t="s">
        <v>26</v>
      </c>
      <c r="Q843" t="s">
        <v>27</v>
      </c>
      <c r="R843">
        <v>0</v>
      </c>
      <c r="S843" t="s">
        <v>28</v>
      </c>
    </row>
    <row r="844" spans="1:19">
      <c r="A844" t="s">
        <v>513</v>
      </c>
      <c r="B844" t="s">
        <v>1989</v>
      </c>
      <c r="C844" t="s">
        <v>57</v>
      </c>
      <c r="D844" t="s">
        <v>58</v>
      </c>
      <c r="E844" t="s">
        <v>122</v>
      </c>
      <c r="F844">
        <v>50</v>
      </c>
      <c r="G844" t="s">
        <v>34</v>
      </c>
      <c r="H844" t="s">
        <v>1990</v>
      </c>
      <c r="I844">
        <f>86-137-5678-9012</f>
        <v>-14741</v>
      </c>
      <c r="J844" s="1">
        <v>45099</v>
      </c>
      <c r="K844" s="1">
        <v>45302</v>
      </c>
      <c r="L844">
        <v>34300.800000000003</v>
      </c>
      <c r="M844">
        <v>13600.9</v>
      </c>
      <c r="N844">
        <v>765</v>
      </c>
      <c r="O844">
        <v>79000</v>
      </c>
      <c r="P844" t="s">
        <v>36</v>
      </c>
      <c r="Q844" t="s">
        <v>27</v>
      </c>
      <c r="R844">
        <v>0</v>
      </c>
      <c r="S844" t="s">
        <v>28</v>
      </c>
    </row>
    <row r="845" spans="1:19">
      <c r="A845" t="s">
        <v>516</v>
      </c>
      <c r="B845" t="s">
        <v>1991</v>
      </c>
      <c r="C845" t="s">
        <v>52</v>
      </c>
      <c r="D845" t="s">
        <v>277</v>
      </c>
      <c r="E845" t="s">
        <v>404</v>
      </c>
      <c r="F845">
        <v>63</v>
      </c>
      <c r="G845" t="s">
        <v>24</v>
      </c>
      <c r="H845" t="s">
        <v>1992</v>
      </c>
      <c r="I845">
        <f>20-122-210-9876</f>
        <v>-10188</v>
      </c>
      <c r="J845" s="1">
        <v>44369</v>
      </c>
      <c r="K845" s="1">
        <v>45301</v>
      </c>
      <c r="L845">
        <v>67600.75</v>
      </c>
      <c r="M845">
        <v>40700.400000000001</v>
      </c>
      <c r="N845">
        <v>675</v>
      </c>
      <c r="O845">
        <v>119000</v>
      </c>
      <c r="P845" t="s">
        <v>26</v>
      </c>
      <c r="Q845" t="s">
        <v>27</v>
      </c>
      <c r="R845">
        <v>0</v>
      </c>
      <c r="S845" t="s">
        <v>28</v>
      </c>
    </row>
    <row r="846" spans="1:19">
      <c r="A846" t="s">
        <v>519</v>
      </c>
      <c r="B846" t="s">
        <v>1993</v>
      </c>
      <c r="C846" t="s">
        <v>84</v>
      </c>
      <c r="D846" t="s">
        <v>183</v>
      </c>
      <c r="E846" t="s">
        <v>184</v>
      </c>
      <c r="F846">
        <v>42</v>
      </c>
      <c r="G846" t="s">
        <v>34</v>
      </c>
      <c r="H846" t="s">
        <v>1994</v>
      </c>
      <c r="I846">
        <f>33-6-2345-6789</f>
        <v>-9107</v>
      </c>
      <c r="J846" s="1">
        <v>45440</v>
      </c>
      <c r="K846" s="1">
        <v>45304</v>
      </c>
      <c r="L846">
        <v>4000.25</v>
      </c>
      <c r="M846">
        <v>14000.6</v>
      </c>
      <c r="N846">
        <v>615</v>
      </c>
      <c r="O846">
        <v>39000</v>
      </c>
      <c r="P846" t="s">
        <v>76</v>
      </c>
      <c r="Q846" t="s">
        <v>43</v>
      </c>
      <c r="R846">
        <v>0</v>
      </c>
      <c r="S846" t="s">
        <v>28</v>
      </c>
    </row>
    <row r="847" spans="1:19">
      <c r="A847" t="s">
        <v>522</v>
      </c>
      <c r="B847" t="s">
        <v>1995</v>
      </c>
      <c r="C847" t="s">
        <v>39</v>
      </c>
      <c r="D847" t="s">
        <v>40</v>
      </c>
      <c r="E847" t="s">
        <v>41</v>
      </c>
      <c r="F847">
        <v>70</v>
      </c>
      <c r="G847" t="s">
        <v>24</v>
      </c>
      <c r="H847" t="s">
        <v>1996</v>
      </c>
      <c r="I847">
        <f>91-987-654-3210</f>
        <v>-4760</v>
      </c>
      <c r="J847" s="1">
        <v>43668</v>
      </c>
      <c r="K847" s="1">
        <v>45299</v>
      </c>
      <c r="L847">
        <v>215300.8</v>
      </c>
      <c r="M847">
        <v>113000.25</v>
      </c>
      <c r="N847">
        <v>660</v>
      </c>
      <c r="O847">
        <v>238000</v>
      </c>
      <c r="P847" t="s">
        <v>76</v>
      </c>
      <c r="Q847" t="s">
        <v>27</v>
      </c>
      <c r="R847">
        <v>0</v>
      </c>
      <c r="S847" t="s">
        <v>28</v>
      </c>
    </row>
    <row r="848" spans="1:19">
      <c r="A848" t="s">
        <v>306</v>
      </c>
      <c r="B848" t="s">
        <v>1997</v>
      </c>
      <c r="C848" t="s">
        <v>46</v>
      </c>
      <c r="D848" t="s">
        <v>209</v>
      </c>
      <c r="E848" t="s">
        <v>447</v>
      </c>
      <c r="F848">
        <v>57</v>
      </c>
      <c r="G848" t="s">
        <v>34</v>
      </c>
      <c r="H848" t="s">
        <v>1998</v>
      </c>
      <c r="I848">
        <f>52-33-3456-123</f>
        <v>-3560</v>
      </c>
      <c r="J848" s="1">
        <v>44522</v>
      </c>
      <c r="K848" s="1">
        <v>45302</v>
      </c>
      <c r="L848">
        <v>88700.9</v>
      </c>
      <c r="M848">
        <v>46500.75</v>
      </c>
      <c r="N848">
        <v>730</v>
      </c>
      <c r="O848">
        <v>142000</v>
      </c>
      <c r="P848" t="s">
        <v>26</v>
      </c>
      <c r="Q848" t="s">
        <v>27</v>
      </c>
      <c r="R848">
        <v>0</v>
      </c>
      <c r="S848" t="s">
        <v>28</v>
      </c>
    </row>
    <row r="849" spans="1:19">
      <c r="A849" t="s">
        <v>527</v>
      </c>
      <c r="B849" t="s">
        <v>1999</v>
      </c>
      <c r="C849" t="s">
        <v>31</v>
      </c>
      <c r="D849" t="s">
        <v>32</v>
      </c>
      <c r="E849" t="s">
        <v>90</v>
      </c>
      <c r="F849">
        <v>46</v>
      </c>
      <c r="G849" t="s">
        <v>34</v>
      </c>
      <c r="H849" t="s">
        <v>2000</v>
      </c>
      <c r="I849">
        <f>81-90-1234-5678</f>
        <v>-6921</v>
      </c>
      <c r="J849" s="1">
        <v>45434</v>
      </c>
      <c r="K849" s="1">
        <v>45305</v>
      </c>
      <c r="L849">
        <v>16100.4</v>
      </c>
      <c r="M849">
        <v>9000.25</v>
      </c>
      <c r="N849">
        <v>705</v>
      </c>
      <c r="O849">
        <v>56000</v>
      </c>
      <c r="P849" t="s">
        <v>26</v>
      </c>
      <c r="Q849" t="s">
        <v>43</v>
      </c>
      <c r="R849">
        <v>0</v>
      </c>
      <c r="S849" t="s">
        <v>28</v>
      </c>
    </row>
    <row r="850" spans="1:19">
      <c r="A850" t="s">
        <v>530</v>
      </c>
      <c r="B850" t="s">
        <v>2001</v>
      </c>
      <c r="C850" t="s">
        <v>57</v>
      </c>
      <c r="D850" t="s">
        <v>219</v>
      </c>
      <c r="E850" t="s">
        <v>220</v>
      </c>
      <c r="F850">
        <v>51</v>
      </c>
      <c r="G850" t="s">
        <v>24</v>
      </c>
      <c r="H850" t="s">
        <v>2002</v>
      </c>
      <c r="I850">
        <f>233-73-456-7890</f>
        <v>-8186</v>
      </c>
      <c r="J850" s="1">
        <v>45068</v>
      </c>
      <c r="K850" s="1">
        <v>45303</v>
      </c>
      <c r="L850">
        <v>33200.6</v>
      </c>
      <c r="M850">
        <v>13000.8</v>
      </c>
      <c r="N850">
        <v>710</v>
      </c>
      <c r="O850">
        <v>72000</v>
      </c>
      <c r="P850" t="s">
        <v>36</v>
      </c>
      <c r="Q850" t="s">
        <v>27</v>
      </c>
      <c r="R850">
        <v>0</v>
      </c>
      <c r="S850" t="s">
        <v>28</v>
      </c>
    </row>
    <row r="851" spans="1:19">
      <c r="A851" t="s">
        <v>533</v>
      </c>
      <c r="B851" t="s">
        <v>2003</v>
      </c>
      <c r="C851" t="s">
        <v>52</v>
      </c>
      <c r="D851" t="s">
        <v>204</v>
      </c>
      <c r="E851" t="s">
        <v>259</v>
      </c>
      <c r="F851">
        <v>58</v>
      </c>
      <c r="G851" t="s">
        <v>34</v>
      </c>
      <c r="H851" t="s">
        <v>2004</v>
      </c>
      <c r="I851">
        <f>7-921-987-65-43</f>
        <v>-2009</v>
      </c>
      <c r="J851" s="1">
        <v>44369</v>
      </c>
      <c r="K851" s="1">
        <v>45301</v>
      </c>
      <c r="L851">
        <v>64500.25</v>
      </c>
      <c r="M851">
        <v>37600.9</v>
      </c>
      <c r="N851">
        <v>695</v>
      </c>
      <c r="O851">
        <v>107000</v>
      </c>
      <c r="P851" t="s">
        <v>26</v>
      </c>
      <c r="Q851" t="s">
        <v>27</v>
      </c>
      <c r="R851">
        <v>0</v>
      </c>
      <c r="S851" t="s">
        <v>28</v>
      </c>
    </row>
    <row r="852" spans="1:19">
      <c r="A852" t="s">
        <v>536</v>
      </c>
      <c r="B852" t="s">
        <v>2005</v>
      </c>
      <c r="C852" t="s">
        <v>39</v>
      </c>
      <c r="D852" t="s">
        <v>195</v>
      </c>
      <c r="E852" t="s">
        <v>300</v>
      </c>
      <c r="F852">
        <v>66</v>
      </c>
      <c r="G852" t="s">
        <v>24</v>
      </c>
      <c r="H852" t="s">
        <v>2006</v>
      </c>
      <c r="I852">
        <f>353-5-345-6789</f>
        <v>-6786</v>
      </c>
      <c r="J852" s="1">
        <v>43821</v>
      </c>
      <c r="K852" s="1">
        <v>45300</v>
      </c>
      <c r="L852">
        <v>147500.4</v>
      </c>
      <c r="M852">
        <v>87000.6</v>
      </c>
      <c r="N852">
        <v>670</v>
      </c>
      <c r="O852">
        <v>174000</v>
      </c>
      <c r="P852" t="s">
        <v>76</v>
      </c>
      <c r="Q852" t="s">
        <v>27</v>
      </c>
      <c r="R852">
        <v>0</v>
      </c>
      <c r="S852" t="s">
        <v>28</v>
      </c>
    </row>
    <row r="853" spans="1:19">
      <c r="A853" t="s">
        <v>539</v>
      </c>
      <c r="B853" t="s">
        <v>2007</v>
      </c>
      <c r="C853" t="s">
        <v>21</v>
      </c>
      <c r="D853" t="s">
        <v>58</v>
      </c>
      <c r="E853" t="s">
        <v>59</v>
      </c>
      <c r="F853">
        <v>74</v>
      </c>
      <c r="G853" t="s">
        <v>34</v>
      </c>
      <c r="H853" t="s">
        <v>2008</v>
      </c>
      <c r="I853">
        <f>86-139-2345-6789</f>
        <v>-9187</v>
      </c>
      <c r="J853" s="1">
        <v>43395</v>
      </c>
      <c r="K853" s="1">
        <v>45299</v>
      </c>
      <c r="L853">
        <v>314400.75</v>
      </c>
      <c r="M853">
        <v>104000.8</v>
      </c>
      <c r="N853">
        <v>835</v>
      </c>
      <c r="O853">
        <v>319000</v>
      </c>
      <c r="P853" t="s">
        <v>36</v>
      </c>
      <c r="Q853" t="s">
        <v>27</v>
      </c>
      <c r="R853">
        <v>0</v>
      </c>
      <c r="S853" t="s">
        <v>28</v>
      </c>
    </row>
    <row r="854" spans="1:19">
      <c r="A854" t="s">
        <v>542</v>
      </c>
      <c r="B854" t="s">
        <v>2009</v>
      </c>
      <c r="C854" t="s">
        <v>52</v>
      </c>
      <c r="D854" t="s">
        <v>68</v>
      </c>
      <c r="E854" t="s">
        <v>179</v>
      </c>
      <c r="F854">
        <v>61</v>
      </c>
      <c r="G854" t="s">
        <v>34</v>
      </c>
      <c r="H854" t="s">
        <v>2010</v>
      </c>
      <c r="I854">
        <f>234-833-456-7890</f>
        <v>-8945</v>
      </c>
      <c r="J854" s="1">
        <v>44338</v>
      </c>
      <c r="K854" s="1">
        <v>45302</v>
      </c>
      <c r="L854">
        <v>73200.600000000006</v>
      </c>
      <c r="M854">
        <v>43200.25</v>
      </c>
      <c r="N854">
        <v>665</v>
      </c>
      <c r="O854">
        <v>127000</v>
      </c>
      <c r="P854" t="s">
        <v>26</v>
      </c>
      <c r="Q854" t="s">
        <v>27</v>
      </c>
      <c r="R854">
        <v>0</v>
      </c>
      <c r="S854" t="s">
        <v>28</v>
      </c>
    </row>
    <row r="855" spans="1:19">
      <c r="A855" t="s">
        <v>545</v>
      </c>
      <c r="B855" t="s">
        <v>2011</v>
      </c>
      <c r="C855" t="s">
        <v>46</v>
      </c>
      <c r="D855" t="s">
        <v>241</v>
      </c>
      <c r="E855" t="s">
        <v>389</v>
      </c>
      <c r="F855">
        <v>53</v>
      </c>
      <c r="G855" t="s">
        <v>24</v>
      </c>
      <c r="H855" t="s">
        <v>2012</v>
      </c>
      <c r="I855">
        <f>39-367-123-4567</f>
        <v>-5018</v>
      </c>
      <c r="J855" s="1">
        <v>44979</v>
      </c>
      <c r="K855" s="1">
        <v>45303</v>
      </c>
      <c r="L855">
        <v>96500.800000000003</v>
      </c>
      <c r="M855">
        <v>50700.4</v>
      </c>
      <c r="N855">
        <v>750</v>
      </c>
      <c r="O855">
        <v>153000</v>
      </c>
      <c r="P855" t="s">
        <v>26</v>
      </c>
      <c r="Q855" t="s">
        <v>27</v>
      </c>
      <c r="R855">
        <v>0</v>
      </c>
      <c r="S855" t="s">
        <v>28</v>
      </c>
    </row>
    <row r="856" spans="1:19">
      <c r="A856" t="s">
        <v>548</v>
      </c>
      <c r="B856" t="s">
        <v>2013</v>
      </c>
      <c r="C856" t="s">
        <v>57</v>
      </c>
      <c r="D856" t="s">
        <v>22</v>
      </c>
      <c r="E856" t="s">
        <v>381</v>
      </c>
      <c r="F856">
        <v>49</v>
      </c>
      <c r="G856" t="s">
        <v>34</v>
      </c>
      <c r="H856" t="s">
        <v>2014</v>
      </c>
      <c r="I856">
        <f>1-415-555-198</f>
        <v>-1167</v>
      </c>
      <c r="J856" s="1">
        <v>45160</v>
      </c>
      <c r="K856" s="1">
        <v>45305</v>
      </c>
      <c r="L856">
        <v>35400.9</v>
      </c>
      <c r="M856">
        <v>14000.75</v>
      </c>
      <c r="N856">
        <v>770</v>
      </c>
      <c r="O856">
        <v>84000</v>
      </c>
      <c r="P856" t="s">
        <v>36</v>
      </c>
      <c r="Q856" t="s">
        <v>27</v>
      </c>
      <c r="R856">
        <v>0</v>
      </c>
      <c r="S856" t="s">
        <v>28</v>
      </c>
    </row>
    <row r="857" spans="1:19">
      <c r="A857" t="s">
        <v>551</v>
      </c>
      <c r="B857" t="s">
        <v>2015</v>
      </c>
      <c r="C857" t="s">
        <v>39</v>
      </c>
      <c r="D857" t="s">
        <v>313</v>
      </c>
      <c r="E857" t="s">
        <v>501</v>
      </c>
      <c r="F857">
        <v>72</v>
      </c>
      <c r="G857" t="s">
        <v>24</v>
      </c>
      <c r="H857" t="s">
        <v>2016</v>
      </c>
      <c r="I857">
        <f>92-319-987654</f>
        <v>-987881</v>
      </c>
      <c r="J857" s="1">
        <v>43577</v>
      </c>
      <c r="K857" s="1">
        <v>45299</v>
      </c>
      <c r="L857">
        <v>200600.25</v>
      </c>
      <c r="M857">
        <v>108000.8</v>
      </c>
      <c r="N857">
        <v>645</v>
      </c>
      <c r="O857">
        <v>224000</v>
      </c>
      <c r="P857" t="s">
        <v>76</v>
      </c>
      <c r="Q857" t="s">
        <v>27</v>
      </c>
      <c r="R857">
        <v>0</v>
      </c>
      <c r="S857" t="s">
        <v>28</v>
      </c>
    </row>
    <row r="858" spans="1:19">
      <c r="A858" t="s">
        <v>554</v>
      </c>
      <c r="B858" t="s">
        <v>2017</v>
      </c>
      <c r="C858" t="s">
        <v>31</v>
      </c>
      <c r="D858" t="s">
        <v>214</v>
      </c>
      <c r="E858" t="s">
        <v>483</v>
      </c>
      <c r="F858">
        <v>45</v>
      </c>
      <c r="G858" t="s">
        <v>34</v>
      </c>
      <c r="H858" t="s">
        <v>2018</v>
      </c>
      <c r="I858">
        <f>34-642-345-678</f>
        <v>-1631</v>
      </c>
      <c r="J858" s="1">
        <v>45440</v>
      </c>
      <c r="K858" s="1">
        <v>45306</v>
      </c>
      <c r="L858">
        <v>29200.5</v>
      </c>
      <c r="M858">
        <v>13600.4</v>
      </c>
      <c r="N858">
        <v>720</v>
      </c>
      <c r="O858">
        <v>61000</v>
      </c>
      <c r="P858" t="s">
        <v>36</v>
      </c>
      <c r="Q858" t="s">
        <v>27</v>
      </c>
      <c r="R858">
        <v>0</v>
      </c>
      <c r="S858" t="s">
        <v>28</v>
      </c>
    </row>
    <row r="859" spans="1:19">
      <c r="A859" t="s">
        <v>108</v>
      </c>
      <c r="B859" t="s">
        <v>2019</v>
      </c>
      <c r="C859" t="s">
        <v>84</v>
      </c>
      <c r="D859" t="s">
        <v>32</v>
      </c>
      <c r="E859" t="s">
        <v>33</v>
      </c>
      <c r="F859">
        <v>41</v>
      </c>
      <c r="G859" t="s">
        <v>24</v>
      </c>
      <c r="H859" t="s">
        <v>2020</v>
      </c>
      <c r="I859">
        <f>81-90-4567-8901</f>
        <v>-13477</v>
      </c>
      <c r="J859" s="1">
        <v>45440</v>
      </c>
      <c r="K859" s="1">
        <v>45304</v>
      </c>
      <c r="L859">
        <v>3750.8</v>
      </c>
      <c r="M859">
        <v>12400.25</v>
      </c>
      <c r="N859">
        <v>605</v>
      </c>
      <c r="O859">
        <v>37000</v>
      </c>
      <c r="P859" t="s">
        <v>76</v>
      </c>
      <c r="Q859" t="s">
        <v>43</v>
      </c>
      <c r="R859">
        <v>0</v>
      </c>
      <c r="S859" t="s">
        <v>28</v>
      </c>
    </row>
    <row r="860" spans="1:19">
      <c r="A860" t="s">
        <v>559</v>
      </c>
      <c r="B860" t="s">
        <v>2021</v>
      </c>
      <c r="C860" t="s">
        <v>46</v>
      </c>
      <c r="D860" t="s">
        <v>254</v>
      </c>
      <c r="E860" t="s">
        <v>255</v>
      </c>
      <c r="F860">
        <v>55</v>
      </c>
      <c r="G860" t="s">
        <v>34</v>
      </c>
      <c r="H860" t="s">
        <v>2022</v>
      </c>
      <c r="I860">
        <f>221-97-123-4567</f>
        <v>-4566</v>
      </c>
      <c r="J860" s="1">
        <v>44856</v>
      </c>
      <c r="K860" s="1">
        <v>45302</v>
      </c>
      <c r="L860">
        <v>83200.399999999994</v>
      </c>
      <c r="M860">
        <v>45400.75</v>
      </c>
      <c r="N860">
        <v>710</v>
      </c>
      <c r="O860">
        <v>135000</v>
      </c>
      <c r="P860" t="s">
        <v>26</v>
      </c>
      <c r="Q860" t="s">
        <v>27</v>
      </c>
      <c r="R860">
        <v>0</v>
      </c>
      <c r="S860" t="s">
        <v>28</v>
      </c>
    </row>
    <row r="861" spans="1:19">
      <c r="A861" t="s">
        <v>562</v>
      </c>
      <c r="B861" t="s">
        <v>2023</v>
      </c>
      <c r="C861" t="s">
        <v>39</v>
      </c>
      <c r="D861" t="s">
        <v>47</v>
      </c>
      <c r="E861" t="s">
        <v>48</v>
      </c>
      <c r="F861">
        <v>69</v>
      </c>
      <c r="G861" t="s">
        <v>24</v>
      </c>
      <c r="H861" t="s">
        <v>2024</v>
      </c>
      <c r="I861">
        <f>44-79-4567-8901</f>
        <v>-13503</v>
      </c>
      <c r="J861" s="1">
        <v>43730</v>
      </c>
      <c r="K861" s="1">
        <v>45300</v>
      </c>
      <c r="L861">
        <v>180800.6</v>
      </c>
      <c r="M861">
        <v>101000.25</v>
      </c>
      <c r="N861">
        <v>675</v>
      </c>
      <c r="O861">
        <v>204000</v>
      </c>
      <c r="P861" t="s">
        <v>76</v>
      </c>
      <c r="Q861" t="s">
        <v>27</v>
      </c>
      <c r="R861">
        <v>0</v>
      </c>
      <c r="S861" t="s">
        <v>28</v>
      </c>
    </row>
    <row r="862" spans="1:19">
      <c r="A862" t="s">
        <v>565</v>
      </c>
      <c r="B862" t="s">
        <v>2025</v>
      </c>
      <c r="C862" t="s">
        <v>52</v>
      </c>
      <c r="D862" t="s">
        <v>233</v>
      </c>
      <c r="E862" t="s">
        <v>296</v>
      </c>
      <c r="F862">
        <v>54</v>
      </c>
      <c r="G862" t="s">
        <v>34</v>
      </c>
      <c r="H862" t="s">
        <v>2026</v>
      </c>
      <c r="I862">
        <f>82-10-3456-7890</f>
        <v>-11274</v>
      </c>
      <c r="J862" s="1">
        <v>44642</v>
      </c>
      <c r="K862" s="1">
        <v>45301</v>
      </c>
      <c r="L862">
        <v>59600.75</v>
      </c>
      <c r="M862">
        <v>36500.800000000003</v>
      </c>
      <c r="N862">
        <v>725</v>
      </c>
      <c r="O862">
        <v>101000</v>
      </c>
      <c r="P862" t="s">
        <v>26</v>
      </c>
      <c r="Q862" t="s">
        <v>27</v>
      </c>
      <c r="R862">
        <v>0</v>
      </c>
      <c r="S862" t="s">
        <v>28</v>
      </c>
    </row>
    <row r="863" spans="1:19">
      <c r="A863" t="s">
        <v>568</v>
      </c>
      <c r="B863" t="s">
        <v>2027</v>
      </c>
      <c r="C863" t="s">
        <v>57</v>
      </c>
      <c r="D863" t="s">
        <v>79</v>
      </c>
      <c r="E863" t="s">
        <v>102</v>
      </c>
      <c r="F863">
        <v>52</v>
      </c>
      <c r="G863" t="s">
        <v>24</v>
      </c>
      <c r="H863" t="s">
        <v>2028</v>
      </c>
      <c r="I863">
        <f>971-50-567-8901</f>
        <v>-8547</v>
      </c>
      <c r="J863" s="1">
        <v>45099</v>
      </c>
      <c r="K863" s="1">
        <v>45303</v>
      </c>
      <c r="L863">
        <v>37600.400000000001</v>
      </c>
      <c r="M863">
        <v>14800.9</v>
      </c>
      <c r="N863">
        <v>740</v>
      </c>
      <c r="O863">
        <v>87000</v>
      </c>
      <c r="P863" t="s">
        <v>36</v>
      </c>
      <c r="Q863" t="s">
        <v>27</v>
      </c>
      <c r="R863">
        <v>0</v>
      </c>
      <c r="S863" t="s">
        <v>28</v>
      </c>
    </row>
    <row r="864" spans="1:19">
      <c r="A864" t="s">
        <v>571</v>
      </c>
      <c r="B864" t="s">
        <v>2029</v>
      </c>
      <c r="C864" t="s">
        <v>21</v>
      </c>
      <c r="D864" t="s">
        <v>63</v>
      </c>
      <c r="E864" t="s">
        <v>106</v>
      </c>
      <c r="F864">
        <v>75</v>
      </c>
      <c r="G864" t="s">
        <v>34</v>
      </c>
      <c r="H864" t="s">
        <v>2030</v>
      </c>
      <c r="I864">
        <f>55-21-99967-8901</f>
        <v>-108834</v>
      </c>
      <c r="J864" s="1">
        <v>43273</v>
      </c>
      <c r="K864" s="1">
        <v>45299</v>
      </c>
      <c r="L864">
        <v>269700.90000000002</v>
      </c>
      <c r="M864">
        <v>91000.6</v>
      </c>
      <c r="N864">
        <v>830</v>
      </c>
      <c r="O864">
        <v>299000</v>
      </c>
      <c r="P864" t="s">
        <v>36</v>
      </c>
      <c r="Q864" t="s">
        <v>27</v>
      </c>
      <c r="R864">
        <v>0</v>
      </c>
      <c r="S864" t="s">
        <v>28</v>
      </c>
    </row>
    <row r="865" spans="1:19">
      <c r="A865" t="s">
        <v>574</v>
      </c>
      <c r="B865" t="s">
        <v>2031</v>
      </c>
      <c r="C865" t="s">
        <v>39</v>
      </c>
      <c r="D865" t="s">
        <v>68</v>
      </c>
      <c r="E865" t="s">
        <v>114</v>
      </c>
      <c r="F865">
        <v>67</v>
      </c>
      <c r="G865" t="s">
        <v>24</v>
      </c>
      <c r="H865" t="s">
        <v>2032</v>
      </c>
      <c r="I865">
        <f>234-834-567-8901</f>
        <v>-10068</v>
      </c>
      <c r="J865" s="1">
        <v>43873</v>
      </c>
      <c r="K865" s="1">
        <v>45300</v>
      </c>
      <c r="L865">
        <v>158600.25</v>
      </c>
      <c r="M865">
        <v>93000.4</v>
      </c>
      <c r="N865">
        <v>655</v>
      </c>
      <c r="O865">
        <v>189000</v>
      </c>
      <c r="P865" t="s">
        <v>76</v>
      </c>
      <c r="Q865" t="s">
        <v>27</v>
      </c>
      <c r="R865">
        <v>0</v>
      </c>
      <c r="S865" t="s">
        <v>28</v>
      </c>
    </row>
    <row r="866" spans="1:19">
      <c r="A866" t="s">
        <v>577</v>
      </c>
      <c r="B866" t="s">
        <v>2033</v>
      </c>
      <c r="C866" t="s">
        <v>46</v>
      </c>
      <c r="D866" t="s">
        <v>85</v>
      </c>
      <c r="E866" t="s">
        <v>130</v>
      </c>
      <c r="F866">
        <v>56</v>
      </c>
      <c r="G866" t="s">
        <v>34</v>
      </c>
      <c r="H866" t="s">
        <v>2034</v>
      </c>
      <c r="I866">
        <f>1-604-555-194</f>
        <v>-1352</v>
      </c>
      <c r="J866" s="1">
        <v>44764</v>
      </c>
      <c r="K866" s="1">
        <v>45302</v>
      </c>
      <c r="L866">
        <v>102100.6</v>
      </c>
      <c r="M866">
        <v>53400.75</v>
      </c>
      <c r="N866">
        <v>760</v>
      </c>
      <c r="O866">
        <v>158000</v>
      </c>
      <c r="P866" t="s">
        <v>26</v>
      </c>
      <c r="Q866" t="s">
        <v>27</v>
      </c>
      <c r="R866">
        <v>0</v>
      </c>
      <c r="S866" t="s">
        <v>28</v>
      </c>
    </row>
    <row r="867" spans="1:19">
      <c r="A867" t="s">
        <v>458</v>
      </c>
      <c r="B867" t="s">
        <v>2035</v>
      </c>
      <c r="C867" t="s">
        <v>31</v>
      </c>
      <c r="D867" t="s">
        <v>460</v>
      </c>
      <c r="E867" t="s">
        <v>461</v>
      </c>
      <c r="F867">
        <v>47</v>
      </c>
      <c r="G867" t="s">
        <v>24</v>
      </c>
      <c r="H867" t="s">
        <v>2036</v>
      </c>
      <c r="I867">
        <f>62-831-2345-6789</f>
        <v>-9903</v>
      </c>
      <c r="J867" s="1">
        <v>45440</v>
      </c>
      <c r="K867" s="1">
        <v>45306</v>
      </c>
      <c r="L867">
        <v>17900.25</v>
      </c>
      <c r="M867">
        <v>10600.8</v>
      </c>
      <c r="N867">
        <v>695</v>
      </c>
      <c r="O867">
        <v>58000</v>
      </c>
      <c r="P867" t="s">
        <v>26</v>
      </c>
      <c r="Q867" t="s">
        <v>43</v>
      </c>
      <c r="R867">
        <v>0</v>
      </c>
      <c r="S867" t="s">
        <v>28</v>
      </c>
    </row>
    <row r="868" spans="1:19">
      <c r="A868" t="s">
        <v>582</v>
      </c>
      <c r="B868" t="s">
        <v>2037</v>
      </c>
      <c r="C868" t="s">
        <v>57</v>
      </c>
      <c r="D868" t="s">
        <v>22</v>
      </c>
      <c r="E868" t="s">
        <v>53</v>
      </c>
      <c r="F868">
        <v>50</v>
      </c>
      <c r="G868" t="s">
        <v>34</v>
      </c>
      <c r="H868" t="s">
        <v>2038</v>
      </c>
      <c r="I868">
        <f>1-773-555-198</f>
        <v>-1525</v>
      </c>
      <c r="J868" s="1">
        <v>45038</v>
      </c>
      <c r="K868" s="1">
        <v>45303</v>
      </c>
      <c r="L868">
        <v>36500.9</v>
      </c>
      <c r="M868">
        <v>14400.25</v>
      </c>
      <c r="N868">
        <v>755</v>
      </c>
      <c r="O868">
        <v>80000</v>
      </c>
      <c r="P868" t="s">
        <v>36</v>
      </c>
      <c r="Q868" t="s">
        <v>27</v>
      </c>
      <c r="R868">
        <v>0</v>
      </c>
      <c r="S868" t="s">
        <v>28</v>
      </c>
    </row>
    <row r="869" spans="1:19">
      <c r="A869" t="s">
        <v>55</v>
      </c>
      <c r="B869" t="s">
        <v>2039</v>
      </c>
      <c r="C869" t="s">
        <v>39</v>
      </c>
      <c r="D869" t="s">
        <v>58</v>
      </c>
      <c r="E869" t="s">
        <v>122</v>
      </c>
      <c r="F869">
        <v>68</v>
      </c>
      <c r="G869" t="s">
        <v>24</v>
      </c>
      <c r="H869" t="s">
        <v>2040</v>
      </c>
      <c r="I869">
        <f>86-138-6789-123</f>
        <v>-6964</v>
      </c>
      <c r="J869" s="1">
        <v>43791</v>
      </c>
      <c r="K869" s="1">
        <v>45300</v>
      </c>
      <c r="L869">
        <v>191500.4</v>
      </c>
      <c r="M869">
        <v>106000.75</v>
      </c>
      <c r="N869">
        <v>685</v>
      </c>
      <c r="O869">
        <v>214000</v>
      </c>
      <c r="P869" t="s">
        <v>76</v>
      </c>
      <c r="Q869" t="s">
        <v>27</v>
      </c>
      <c r="R869">
        <v>0</v>
      </c>
      <c r="S869" t="s">
        <v>28</v>
      </c>
    </row>
    <row r="870" spans="1:19">
      <c r="A870" t="s">
        <v>469</v>
      </c>
      <c r="B870" t="s">
        <v>2041</v>
      </c>
      <c r="C870" t="s">
        <v>52</v>
      </c>
      <c r="D870" t="s">
        <v>471</v>
      </c>
      <c r="E870" t="s">
        <v>472</v>
      </c>
      <c r="F870">
        <v>59</v>
      </c>
      <c r="G870" t="s">
        <v>34</v>
      </c>
      <c r="H870" t="s">
        <v>2042</v>
      </c>
      <c r="I870">
        <f>48-719-123-456</f>
        <v>-1250</v>
      </c>
      <c r="J870" s="1">
        <v>44430</v>
      </c>
      <c r="K870" s="1">
        <v>45301</v>
      </c>
      <c r="L870">
        <v>66500.800000000003</v>
      </c>
      <c r="M870">
        <v>39600.6</v>
      </c>
      <c r="N870">
        <v>715</v>
      </c>
      <c r="O870">
        <v>113000</v>
      </c>
      <c r="P870" t="s">
        <v>26</v>
      </c>
      <c r="Q870" t="s">
        <v>27</v>
      </c>
      <c r="R870">
        <v>0</v>
      </c>
      <c r="S870" t="s">
        <v>28</v>
      </c>
    </row>
    <row r="871" spans="1:19">
      <c r="A871" t="s">
        <v>474</v>
      </c>
      <c r="B871" t="s">
        <v>2043</v>
      </c>
      <c r="C871" t="s">
        <v>46</v>
      </c>
      <c r="D871" t="s">
        <v>345</v>
      </c>
      <c r="E871" t="s">
        <v>476</v>
      </c>
      <c r="F871">
        <v>62</v>
      </c>
      <c r="G871" t="s">
        <v>24</v>
      </c>
      <c r="H871" t="s">
        <v>2044</v>
      </c>
      <c r="I871">
        <f>880-1812-345678</f>
        <v>-346610</v>
      </c>
      <c r="J871" s="1">
        <v>44338</v>
      </c>
      <c r="K871" s="1">
        <v>45302</v>
      </c>
      <c r="L871">
        <v>94300.25</v>
      </c>
      <c r="M871">
        <v>49600.4</v>
      </c>
      <c r="N871">
        <v>680</v>
      </c>
      <c r="O871">
        <v>142000</v>
      </c>
      <c r="P871" t="s">
        <v>26</v>
      </c>
      <c r="Q871" t="s">
        <v>27</v>
      </c>
      <c r="R871">
        <v>0</v>
      </c>
      <c r="S871" t="s">
        <v>28</v>
      </c>
    </row>
    <row r="872" spans="1:19">
      <c r="A872" t="s">
        <v>592</v>
      </c>
      <c r="B872" t="s">
        <v>2045</v>
      </c>
      <c r="C872" t="s">
        <v>84</v>
      </c>
      <c r="D872" t="s">
        <v>32</v>
      </c>
      <c r="E872" t="s">
        <v>90</v>
      </c>
      <c r="F872">
        <v>42</v>
      </c>
      <c r="G872" t="s">
        <v>34</v>
      </c>
      <c r="H872" t="s">
        <v>2046</v>
      </c>
      <c r="I872">
        <f>81-90-5678-9012</f>
        <v>-14699</v>
      </c>
      <c r="J872" s="1">
        <v>45448</v>
      </c>
      <c r="K872" s="1">
        <v>45304</v>
      </c>
      <c r="L872">
        <v>3850.4</v>
      </c>
      <c r="M872">
        <v>13000.75</v>
      </c>
      <c r="N872">
        <v>610</v>
      </c>
      <c r="O872">
        <v>38000</v>
      </c>
      <c r="P872" t="s">
        <v>76</v>
      </c>
      <c r="Q872" t="s">
        <v>43</v>
      </c>
      <c r="R872">
        <v>0</v>
      </c>
      <c r="S872" t="s">
        <v>28</v>
      </c>
    </row>
    <row r="873" spans="1:19">
      <c r="A873" t="s">
        <v>595</v>
      </c>
      <c r="B873" t="s">
        <v>2047</v>
      </c>
      <c r="C873" t="s">
        <v>21</v>
      </c>
      <c r="D873" t="s">
        <v>209</v>
      </c>
      <c r="E873" t="s">
        <v>210</v>
      </c>
      <c r="F873">
        <v>74</v>
      </c>
      <c r="G873" t="s">
        <v>24</v>
      </c>
      <c r="H873" t="s">
        <v>2048</v>
      </c>
      <c r="I873">
        <f>52-55-3456-123</f>
        <v>-3582</v>
      </c>
      <c r="J873" s="1">
        <v>43487</v>
      </c>
      <c r="K873" s="1">
        <v>45299</v>
      </c>
      <c r="L873">
        <v>289500.79999999999</v>
      </c>
      <c r="M873">
        <v>97000.25</v>
      </c>
      <c r="N873">
        <v>825</v>
      </c>
      <c r="O873">
        <v>294000</v>
      </c>
      <c r="P873" t="s">
        <v>36</v>
      </c>
      <c r="Q873" t="s">
        <v>27</v>
      </c>
      <c r="R873">
        <v>0</v>
      </c>
      <c r="S873" t="s">
        <v>28</v>
      </c>
    </row>
    <row r="874" spans="1:19">
      <c r="A874" t="s">
        <v>226</v>
      </c>
      <c r="B874" t="s">
        <v>2049</v>
      </c>
      <c r="C874" t="s">
        <v>57</v>
      </c>
      <c r="D874" t="s">
        <v>228</v>
      </c>
      <c r="E874" t="s">
        <v>678</v>
      </c>
      <c r="F874">
        <v>49</v>
      </c>
      <c r="G874" t="s">
        <v>34</v>
      </c>
      <c r="H874" t="s">
        <v>2050</v>
      </c>
      <c r="I874">
        <f>254-743-456-789</f>
        <v>-1734</v>
      </c>
      <c r="J874" s="1">
        <v>45221</v>
      </c>
      <c r="K874" s="1">
        <v>45305</v>
      </c>
      <c r="L874">
        <v>33200.75</v>
      </c>
      <c r="M874">
        <v>12800.4</v>
      </c>
      <c r="N874">
        <v>725</v>
      </c>
      <c r="O874">
        <v>70000</v>
      </c>
      <c r="P874" t="s">
        <v>36</v>
      </c>
      <c r="Q874" t="s">
        <v>27</v>
      </c>
      <c r="R874">
        <v>0</v>
      </c>
      <c r="S874" t="s">
        <v>28</v>
      </c>
    </row>
    <row r="875" spans="1:19">
      <c r="A875" t="s">
        <v>488</v>
      </c>
      <c r="B875" t="s">
        <v>2051</v>
      </c>
      <c r="C875" t="s">
        <v>39</v>
      </c>
      <c r="D875" t="s">
        <v>304</v>
      </c>
      <c r="E875" t="s">
        <v>304</v>
      </c>
      <c r="F875">
        <v>66</v>
      </c>
      <c r="G875" t="s">
        <v>24</v>
      </c>
      <c r="H875" t="s">
        <v>2052</v>
      </c>
      <c r="I875">
        <f>65-290-1234</f>
        <v>-1459</v>
      </c>
      <c r="J875" s="1">
        <v>43963</v>
      </c>
      <c r="K875" s="1">
        <v>45300</v>
      </c>
      <c r="L875">
        <v>169700.6</v>
      </c>
      <c r="M875">
        <v>97000.9</v>
      </c>
      <c r="N875">
        <v>675</v>
      </c>
      <c r="O875">
        <v>194000</v>
      </c>
      <c r="P875" t="s">
        <v>76</v>
      </c>
      <c r="Q875" t="s">
        <v>27</v>
      </c>
      <c r="R875">
        <v>0</v>
      </c>
      <c r="S875" t="s">
        <v>28</v>
      </c>
    </row>
    <row r="876" spans="1:19">
      <c r="A876" t="s">
        <v>491</v>
      </c>
      <c r="B876" t="s">
        <v>2053</v>
      </c>
      <c r="C876" t="s">
        <v>52</v>
      </c>
      <c r="D876" t="s">
        <v>493</v>
      </c>
      <c r="E876" t="s">
        <v>494</v>
      </c>
      <c r="F876">
        <v>57</v>
      </c>
      <c r="G876" t="s">
        <v>34</v>
      </c>
      <c r="H876" t="s">
        <v>2054</v>
      </c>
      <c r="I876">
        <f>30-711-234-5678</f>
        <v>-6593</v>
      </c>
      <c r="J876" s="1">
        <v>44734</v>
      </c>
      <c r="K876" s="1">
        <v>45302</v>
      </c>
      <c r="L876">
        <v>60700.4</v>
      </c>
      <c r="M876">
        <v>35400.25</v>
      </c>
      <c r="N876">
        <v>705</v>
      </c>
      <c r="O876">
        <v>102000</v>
      </c>
      <c r="P876" t="s">
        <v>26</v>
      </c>
      <c r="Q876" t="s">
        <v>27</v>
      </c>
      <c r="R876">
        <v>0</v>
      </c>
      <c r="S876" t="s">
        <v>28</v>
      </c>
    </row>
    <row r="877" spans="1:19">
      <c r="A877" t="s">
        <v>496</v>
      </c>
      <c r="B877" t="s">
        <v>2055</v>
      </c>
      <c r="C877" t="s">
        <v>46</v>
      </c>
      <c r="D877" t="s">
        <v>321</v>
      </c>
      <c r="E877" t="s">
        <v>498</v>
      </c>
      <c r="F877">
        <v>60</v>
      </c>
      <c r="G877" t="s">
        <v>24</v>
      </c>
      <c r="H877" t="s">
        <v>2056</v>
      </c>
      <c r="I877">
        <f>61-443-456-789</f>
        <v>-1627</v>
      </c>
      <c r="J877" s="1">
        <v>44218</v>
      </c>
      <c r="K877" s="1">
        <v>45301</v>
      </c>
      <c r="L877">
        <v>107100.75</v>
      </c>
      <c r="M877">
        <v>56500.800000000003</v>
      </c>
      <c r="N877">
        <v>730</v>
      </c>
      <c r="O877">
        <v>168000</v>
      </c>
      <c r="P877" t="s">
        <v>26</v>
      </c>
      <c r="Q877" t="s">
        <v>27</v>
      </c>
      <c r="R877">
        <v>0</v>
      </c>
      <c r="S877" t="s">
        <v>28</v>
      </c>
    </row>
    <row r="878" spans="1:19">
      <c r="A878" t="s">
        <v>324</v>
      </c>
      <c r="B878" t="s">
        <v>2057</v>
      </c>
      <c r="C878" t="s">
        <v>31</v>
      </c>
      <c r="D878" t="s">
        <v>313</v>
      </c>
      <c r="E878" t="s">
        <v>314</v>
      </c>
      <c r="F878">
        <v>45</v>
      </c>
      <c r="G878" t="s">
        <v>34</v>
      </c>
      <c r="H878" t="s">
        <v>2058</v>
      </c>
      <c r="I878">
        <f>92-341-9876543</f>
        <v>-9876792</v>
      </c>
      <c r="J878" s="1">
        <v>45440</v>
      </c>
      <c r="K878" s="1">
        <v>45306</v>
      </c>
      <c r="L878">
        <v>15400.9</v>
      </c>
      <c r="M878">
        <v>9100.75</v>
      </c>
      <c r="N878">
        <v>685</v>
      </c>
      <c r="O878">
        <v>55000</v>
      </c>
      <c r="P878" t="s">
        <v>26</v>
      </c>
      <c r="Q878" t="s">
        <v>43</v>
      </c>
      <c r="R878">
        <v>0</v>
      </c>
      <c r="S878" t="s">
        <v>28</v>
      </c>
    </row>
    <row r="879" spans="1:19">
      <c r="A879" t="s">
        <v>503</v>
      </c>
      <c r="B879" t="s">
        <v>2059</v>
      </c>
      <c r="C879" t="s">
        <v>21</v>
      </c>
      <c r="D879" t="s">
        <v>32</v>
      </c>
      <c r="E879" t="s">
        <v>33</v>
      </c>
      <c r="F879">
        <v>77</v>
      </c>
      <c r="G879" t="s">
        <v>24</v>
      </c>
      <c r="H879" t="s">
        <v>2060</v>
      </c>
      <c r="I879">
        <f>81-80-1234-5678</f>
        <v>-6911</v>
      </c>
      <c r="J879" s="1">
        <v>43212</v>
      </c>
      <c r="K879" s="1">
        <v>45299</v>
      </c>
      <c r="L879">
        <v>300400.25</v>
      </c>
      <c r="M879">
        <v>101000.4</v>
      </c>
      <c r="N879">
        <v>840</v>
      </c>
      <c r="O879">
        <v>309000</v>
      </c>
      <c r="P879" t="s">
        <v>36</v>
      </c>
      <c r="Q879" t="s">
        <v>27</v>
      </c>
      <c r="R879">
        <v>0</v>
      </c>
      <c r="S879" t="s">
        <v>28</v>
      </c>
    </row>
    <row r="880" spans="1:19">
      <c r="A880" t="s">
        <v>506</v>
      </c>
      <c r="B880" t="s">
        <v>2061</v>
      </c>
      <c r="C880" t="s">
        <v>39</v>
      </c>
      <c r="D880" t="s">
        <v>68</v>
      </c>
      <c r="E880" t="s">
        <v>69</v>
      </c>
      <c r="F880">
        <v>69</v>
      </c>
      <c r="G880" t="s">
        <v>34</v>
      </c>
      <c r="H880" t="s">
        <v>2062</v>
      </c>
      <c r="I880">
        <f>234-833-456-7890</f>
        <v>-8945</v>
      </c>
      <c r="J880" s="1">
        <v>43730</v>
      </c>
      <c r="K880" s="1">
        <v>45300</v>
      </c>
      <c r="L880">
        <v>180800.4</v>
      </c>
      <c r="M880">
        <v>101000.75</v>
      </c>
      <c r="N880">
        <v>650</v>
      </c>
      <c r="O880">
        <v>204000</v>
      </c>
      <c r="P880" t="s">
        <v>76</v>
      </c>
      <c r="Q880" t="s">
        <v>27</v>
      </c>
      <c r="R880">
        <v>0</v>
      </c>
      <c r="S880" t="s">
        <v>28</v>
      </c>
    </row>
    <row r="881" spans="1:19">
      <c r="A881" t="s">
        <v>509</v>
      </c>
      <c r="B881" t="s">
        <v>2063</v>
      </c>
      <c r="C881" t="s">
        <v>46</v>
      </c>
      <c r="D881" t="s">
        <v>73</v>
      </c>
      <c r="E881" t="s">
        <v>126</v>
      </c>
      <c r="F881">
        <v>56</v>
      </c>
      <c r="G881" t="s">
        <v>24</v>
      </c>
      <c r="H881" t="s">
        <v>2064</v>
      </c>
      <c r="I881">
        <f>49-195-6789012</f>
        <v>-6789158</v>
      </c>
      <c r="J881" s="1">
        <v>44948</v>
      </c>
      <c r="K881" s="1">
        <v>45303</v>
      </c>
      <c r="L881">
        <v>95400.4</v>
      </c>
      <c r="M881">
        <v>50700.25</v>
      </c>
      <c r="N881">
        <v>745</v>
      </c>
      <c r="O881">
        <v>148000</v>
      </c>
      <c r="P881" t="s">
        <v>26</v>
      </c>
      <c r="Q881" t="s">
        <v>27</v>
      </c>
      <c r="R881">
        <v>0</v>
      </c>
      <c r="S881" t="s">
        <v>28</v>
      </c>
    </row>
    <row r="882" spans="1:19">
      <c r="A882" t="s">
        <v>513</v>
      </c>
      <c r="B882" t="s">
        <v>2065</v>
      </c>
      <c r="C882" t="s">
        <v>57</v>
      </c>
      <c r="D882" t="s">
        <v>58</v>
      </c>
      <c r="E882" t="s">
        <v>59</v>
      </c>
      <c r="F882">
        <v>51</v>
      </c>
      <c r="G882" t="s">
        <v>34</v>
      </c>
      <c r="H882" t="s">
        <v>2066</v>
      </c>
      <c r="I882">
        <f>86-137-6789-123</f>
        <v>-6963</v>
      </c>
      <c r="J882" s="1">
        <v>45129</v>
      </c>
      <c r="K882" s="1">
        <v>45302</v>
      </c>
      <c r="L882">
        <v>35400.800000000003</v>
      </c>
      <c r="M882">
        <v>14000.9</v>
      </c>
      <c r="N882">
        <v>765</v>
      </c>
      <c r="O882">
        <v>80000</v>
      </c>
      <c r="P882" t="s">
        <v>36</v>
      </c>
      <c r="Q882" t="s">
        <v>27</v>
      </c>
      <c r="R882">
        <v>0</v>
      </c>
      <c r="S882" t="s">
        <v>28</v>
      </c>
    </row>
    <row r="883" spans="1:19">
      <c r="A883" t="s">
        <v>516</v>
      </c>
      <c r="B883" t="s">
        <v>2067</v>
      </c>
      <c r="C883" t="s">
        <v>52</v>
      </c>
      <c r="D883" t="s">
        <v>277</v>
      </c>
      <c r="E883" t="s">
        <v>278</v>
      </c>
      <c r="F883">
        <v>64</v>
      </c>
      <c r="G883" t="s">
        <v>24</v>
      </c>
      <c r="H883" t="s">
        <v>2068</v>
      </c>
      <c r="I883">
        <f>20-122-98-7654</f>
        <v>-7854</v>
      </c>
      <c r="J883" s="1">
        <v>44399</v>
      </c>
      <c r="K883" s="1">
        <v>45301</v>
      </c>
      <c r="L883">
        <v>68700.75</v>
      </c>
      <c r="M883">
        <v>41800.400000000001</v>
      </c>
      <c r="N883">
        <v>675</v>
      </c>
      <c r="O883">
        <v>120000</v>
      </c>
      <c r="P883" t="s">
        <v>26</v>
      </c>
      <c r="Q883" t="s">
        <v>27</v>
      </c>
      <c r="R883">
        <v>0</v>
      </c>
      <c r="S883" t="s">
        <v>28</v>
      </c>
    </row>
    <row r="884" spans="1:19">
      <c r="A884" t="s">
        <v>519</v>
      </c>
      <c r="B884" t="s">
        <v>2069</v>
      </c>
      <c r="C884" t="s">
        <v>84</v>
      </c>
      <c r="D884" t="s">
        <v>183</v>
      </c>
      <c r="E884" t="s">
        <v>273</v>
      </c>
      <c r="F884">
        <v>43</v>
      </c>
      <c r="G884" t="s">
        <v>34</v>
      </c>
      <c r="H884" t="s">
        <v>2070</v>
      </c>
      <c r="I884">
        <f>33-6-3456-7890</f>
        <v>-11319</v>
      </c>
      <c r="J884" s="1">
        <v>45455</v>
      </c>
      <c r="K884" s="1">
        <v>45304</v>
      </c>
      <c r="L884">
        <v>4100.25</v>
      </c>
      <c r="M884">
        <v>14200.6</v>
      </c>
      <c r="N884">
        <v>615</v>
      </c>
      <c r="O884">
        <v>40000</v>
      </c>
      <c r="P884" t="s">
        <v>76</v>
      </c>
      <c r="Q884" t="s">
        <v>43</v>
      </c>
      <c r="R884">
        <v>0</v>
      </c>
      <c r="S884" t="s">
        <v>28</v>
      </c>
    </row>
    <row r="885" spans="1:19">
      <c r="A885" t="s">
        <v>522</v>
      </c>
      <c r="B885" t="s">
        <v>2071</v>
      </c>
      <c r="C885" t="s">
        <v>39</v>
      </c>
      <c r="D885" t="s">
        <v>40</v>
      </c>
      <c r="E885" t="s">
        <v>94</v>
      </c>
      <c r="F885">
        <v>71</v>
      </c>
      <c r="G885" t="s">
        <v>24</v>
      </c>
      <c r="H885" t="s">
        <v>2072</v>
      </c>
      <c r="I885">
        <f>91-987-654-3210</f>
        <v>-4760</v>
      </c>
      <c r="J885" s="1">
        <v>43699</v>
      </c>
      <c r="K885" s="1">
        <v>45299</v>
      </c>
      <c r="L885">
        <v>215400.8</v>
      </c>
      <c r="M885">
        <v>114000.25</v>
      </c>
      <c r="N885">
        <v>660</v>
      </c>
      <c r="O885">
        <v>239000</v>
      </c>
      <c r="P885" t="s">
        <v>76</v>
      </c>
      <c r="Q885" t="s">
        <v>27</v>
      </c>
      <c r="R885">
        <v>0</v>
      </c>
      <c r="S885" t="s">
        <v>28</v>
      </c>
    </row>
    <row r="886" spans="1:19">
      <c r="A886" t="s">
        <v>306</v>
      </c>
      <c r="B886" t="s">
        <v>2073</v>
      </c>
      <c r="C886" t="s">
        <v>46</v>
      </c>
      <c r="D886" t="s">
        <v>209</v>
      </c>
      <c r="E886" t="s">
        <v>210</v>
      </c>
      <c r="F886">
        <v>58</v>
      </c>
      <c r="G886" t="s">
        <v>34</v>
      </c>
      <c r="H886" t="s">
        <v>2074</v>
      </c>
      <c r="I886">
        <f>52-55-4567-123</f>
        <v>-4693</v>
      </c>
      <c r="J886" s="1">
        <v>44552</v>
      </c>
      <c r="K886" s="1">
        <v>45302</v>
      </c>
      <c r="L886">
        <v>89800.9</v>
      </c>
      <c r="M886">
        <v>47600.75</v>
      </c>
      <c r="N886">
        <v>730</v>
      </c>
      <c r="O886">
        <v>143000</v>
      </c>
      <c r="P886" t="s">
        <v>26</v>
      </c>
      <c r="Q886" t="s">
        <v>27</v>
      </c>
      <c r="R886">
        <v>0</v>
      </c>
      <c r="S886" t="s">
        <v>28</v>
      </c>
    </row>
    <row r="887" spans="1:19">
      <c r="A887" t="s">
        <v>527</v>
      </c>
      <c r="B887" t="s">
        <v>2075</v>
      </c>
      <c r="C887" t="s">
        <v>31</v>
      </c>
      <c r="D887" t="s">
        <v>32</v>
      </c>
      <c r="E887" t="s">
        <v>90</v>
      </c>
      <c r="F887">
        <v>47</v>
      </c>
      <c r="G887" t="s">
        <v>34</v>
      </c>
      <c r="H887" t="s">
        <v>2076</v>
      </c>
      <c r="I887">
        <f>81-90-2345-6789</f>
        <v>-9143</v>
      </c>
      <c r="J887" s="1">
        <v>45451</v>
      </c>
      <c r="K887" s="1">
        <v>45305</v>
      </c>
      <c r="L887">
        <v>16500.400000000001</v>
      </c>
      <c r="M887">
        <v>9200.25</v>
      </c>
      <c r="N887">
        <v>705</v>
      </c>
      <c r="O887">
        <v>57000</v>
      </c>
      <c r="P887" t="s">
        <v>26</v>
      </c>
      <c r="Q887" t="s">
        <v>43</v>
      </c>
      <c r="R887">
        <v>0</v>
      </c>
      <c r="S887" t="s">
        <v>28</v>
      </c>
    </row>
    <row r="888" spans="1:19">
      <c r="A888" t="s">
        <v>530</v>
      </c>
      <c r="B888" t="s">
        <v>2077</v>
      </c>
      <c r="C888" t="s">
        <v>57</v>
      </c>
      <c r="D888" t="s">
        <v>219</v>
      </c>
      <c r="E888" t="s">
        <v>220</v>
      </c>
      <c r="F888">
        <v>52</v>
      </c>
      <c r="G888" t="s">
        <v>24</v>
      </c>
      <c r="H888" t="s">
        <v>2078</v>
      </c>
      <c r="I888">
        <f>233-74-567-8901</f>
        <v>-9309</v>
      </c>
      <c r="J888" s="1">
        <v>45099</v>
      </c>
      <c r="K888" s="1">
        <v>45303</v>
      </c>
      <c r="L888">
        <v>34300.6</v>
      </c>
      <c r="M888">
        <v>13400.8</v>
      </c>
      <c r="N888">
        <v>710</v>
      </c>
      <c r="O888">
        <v>73000</v>
      </c>
      <c r="P888" t="s">
        <v>36</v>
      </c>
      <c r="Q888" t="s">
        <v>27</v>
      </c>
      <c r="R888">
        <v>0</v>
      </c>
      <c r="S888" t="s">
        <v>28</v>
      </c>
    </row>
    <row r="889" spans="1:19">
      <c r="A889" t="s">
        <v>533</v>
      </c>
      <c r="B889" t="s">
        <v>2079</v>
      </c>
      <c r="C889" t="s">
        <v>52</v>
      </c>
      <c r="D889" t="s">
        <v>204</v>
      </c>
      <c r="E889" t="s">
        <v>205</v>
      </c>
      <c r="F889">
        <v>59</v>
      </c>
      <c r="G889" t="s">
        <v>34</v>
      </c>
      <c r="H889" t="s">
        <v>2080</v>
      </c>
      <c r="I889">
        <f>7-921-876-54-32</f>
        <v>-1876</v>
      </c>
      <c r="J889" s="1">
        <v>44399</v>
      </c>
      <c r="K889" s="1">
        <v>45301</v>
      </c>
      <c r="L889">
        <v>65600.25</v>
      </c>
      <c r="M889">
        <v>38700.9</v>
      </c>
      <c r="N889">
        <v>695</v>
      </c>
      <c r="O889">
        <v>108000</v>
      </c>
      <c r="P889" t="s">
        <v>26</v>
      </c>
      <c r="Q889" t="s">
        <v>27</v>
      </c>
      <c r="R889">
        <v>0</v>
      </c>
      <c r="S889" t="s">
        <v>28</v>
      </c>
    </row>
    <row r="890" spans="1:19">
      <c r="A890" t="s">
        <v>536</v>
      </c>
      <c r="B890" t="s">
        <v>2081</v>
      </c>
      <c r="C890" t="s">
        <v>39</v>
      </c>
      <c r="D890" t="s">
        <v>195</v>
      </c>
      <c r="E890" t="s">
        <v>196</v>
      </c>
      <c r="F890">
        <v>67</v>
      </c>
      <c r="G890" t="s">
        <v>24</v>
      </c>
      <c r="H890" t="s">
        <v>2082</v>
      </c>
      <c r="I890">
        <f>353-6-456-7890</f>
        <v>-7999</v>
      </c>
      <c r="J890" s="1">
        <v>43852</v>
      </c>
      <c r="K890" s="1">
        <v>45300</v>
      </c>
      <c r="L890">
        <v>147600.4</v>
      </c>
      <c r="M890">
        <v>88000.6</v>
      </c>
      <c r="N890">
        <v>670</v>
      </c>
      <c r="O890">
        <v>175000</v>
      </c>
      <c r="P890" t="s">
        <v>76</v>
      </c>
      <c r="Q890" t="s">
        <v>27</v>
      </c>
      <c r="R890">
        <v>0</v>
      </c>
      <c r="S890" t="s">
        <v>28</v>
      </c>
    </row>
    <row r="891" spans="1:19">
      <c r="A891" t="s">
        <v>539</v>
      </c>
      <c r="B891" t="s">
        <v>2083</v>
      </c>
      <c r="C891" t="s">
        <v>21</v>
      </c>
      <c r="D891" t="s">
        <v>58</v>
      </c>
      <c r="E891" t="s">
        <v>122</v>
      </c>
      <c r="F891">
        <v>75</v>
      </c>
      <c r="G891" t="s">
        <v>34</v>
      </c>
      <c r="H891" t="s">
        <v>2084</v>
      </c>
      <c r="I891">
        <f>86-139-3456-7890</f>
        <v>-11399</v>
      </c>
      <c r="J891" s="1">
        <v>43426</v>
      </c>
      <c r="K891" s="1">
        <v>45299</v>
      </c>
      <c r="L891">
        <v>314500.75</v>
      </c>
      <c r="M891">
        <v>105000.8</v>
      </c>
      <c r="N891">
        <v>835</v>
      </c>
      <c r="O891">
        <v>320000</v>
      </c>
      <c r="P891" t="s">
        <v>36</v>
      </c>
      <c r="Q891" t="s">
        <v>27</v>
      </c>
      <c r="R891">
        <v>0</v>
      </c>
      <c r="S891" t="s">
        <v>28</v>
      </c>
    </row>
    <row r="892" spans="1:19">
      <c r="A892" t="s">
        <v>542</v>
      </c>
      <c r="B892" t="s">
        <v>2085</v>
      </c>
      <c r="C892" t="s">
        <v>52</v>
      </c>
      <c r="D892" t="s">
        <v>68</v>
      </c>
      <c r="E892" t="s">
        <v>114</v>
      </c>
      <c r="F892">
        <v>62</v>
      </c>
      <c r="G892" t="s">
        <v>34</v>
      </c>
      <c r="H892" t="s">
        <v>2086</v>
      </c>
      <c r="I892">
        <f>234-834-567-8901</f>
        <v>-10068</v>
      </c>
      <c r="J892" s="1">
        <v>44369</v>
      </c>
      <c r="K892" s="1">
        <v>45302</v>
      </c>
      <c r="L892">
        <v>74300.600000000006</v>
      </c>
      <c r="M892">
        <v>44300.25</v>
      </c>
      <c r="N892">
        <v>665</v>
      </c>
      <c r="O892">
        <v>128000</v>
      </c>
      <c r="P892" t="s">
        <v>26</v>
      </c>
      <c r="Q892" t="s">
        <v>27</v>
      </c>
      <c r="R892">
        <v>0</v>
      </c>
      <c r="S892" t="s">
        <v>28</v>
      </c>
    </row>
    <row r="893" spans="1:19">
      <c r="A893" t="s">
        <v>545</v>
      </c>
      <c r="B893" t="s">
        <v>2087</v>
      </c>
      <c r="C893" t="s">
        <v>46</v>
      </c>
      <c r="D893" t="s">
        <v>241</v>
      </c>
      <c r="E893" t="s">
        <v>242</v>
      </c>
      <c r="F893">
        <v>54</v>
      </c>
      <c r="G893" t="s">
        <v>24</v>
      </c>
      <c r="H893" t="s">
        <v>2088</v>
      </c>
      <c r="I893">
        <f>39-368-234-5678</f>
        <v>-6241</v>
      </c>
      <c r="J893" s="1">
        <v>45007</v>
      </c>
      <c r="K893" s="1">
        <v>45303</v>
      </c>
      <c r="L893">
        <v>97600.8</v>
      </c>
      <c r="M893">
        <v>51800.4</v>
      </c>
      <c r="N893">
        <v>750</v>
      </c>
      <c r="O893">
        <v>154000</v>
      </c>
      <c r="P893" t="s">
        <v>26</v>
      </c>
      <c r="Q893" t="s">
        <v>27</v>
      </c>
      <c r="R893">
        <v>0</v>
      </c>
      <c r="S893" t="s">
        <v>28</v>
      </c>
    </row>
    <row r="894" spans="1:19">
      <c r="A894" t="s">
        <v>548</v>
      </c>
      <c r="B894" t="s">
        <v>2089</v>
      </c>
      <c r="C894" t="s">
        <v>57</v>
      </c>
      <c r="D894" t="s">
        <v>22</v>
      </c>
      <c r="E894" t="s">
        <v>282</v>
      </c>
      <c r="F894">
        <v>50</v>
      </c>
      <c r="G894" t="s">
        <v>34</v>
      </c>
      <c r="H894" t="s">
        <v>2090</v>
      </c>
      <c r="I894">
        <f>1-206-555-194</f>
        <v>-954</v>
      </c>
      <c r="J894" s="1">
        <v>45191</v>
      </c>
      <c r="K894" s="1">
        <v>45305</v>
      </c>
      <c r="L894">
        <v>36500.9</v>
      </c>
      <c r="M894">
        <v>14400.75</v>
      </c>
      <c r="N894">
        <v>770</v>
      </c>
      <c r="O894">
        <v>85000</v>
      </c>
      <c r="P894" t="s">
        <v>36</v>
      </c>
      <c r="Q894" t="s">
        <v>27</v>
      </c>
      <c r="R894">
        <v>0</v>
      </c>
      <c r="S894" t="s">
        <v>28</v>
      </c>
    </row>
    <row r="895" spans="1:19">
      <c r="A895" t="s">
        <v>551</v>
      </c>
      <c r="B895" t="s">
        <v>2091</v>
      </c>
      <c r="C895" t="s">
        <v>39</v>
      </c>
      <c r="D895" t="s">
        <v>313</v>
      </c>
      <c r="E895" t="s">
        <v>385</v>
      </c>
      <c r="F895">
        <v>73</v>
      </c>
      <c r="G895" t="s">
        <v>24</v>
      </c>
      <c r="H895" t="s">
        <v>2092</v>
      </c>
      <c r="I895">
        <f>92-320-9876543</f>
        <v>-9876771</v>
      </c>
      <c r="J895" s="1">
        <v>43607</v>
      </c>
      <c r="K895" s="1">
        <v>45299</v>
      </c>
      <c r="L895">
        <v>200700.25</v>
      </c>
      <c r="M895">
        <v>109000.8</v>
      </c>
      <c r="N895">
        <v>645</v>
      </c>
      <c r="O895">
        <v>225000</v>
      </c>
      <c r="P895" t="s">
        <v>76</v>
      </c>
      <c r="Q895" t="s">
        <v>27</v>
      </c>
      <c r="R895">
        <v>0</v>
      </c>
      <c r="S895" t="s">
        <v>28</v>
      </c>
    </row>
    <row r="896" spans="1:19">
      <c r="A896" t="s">
        <v>554</v>
      </c>
      <c r="B896" t="s">
        <v>2093</v>
      </c>
      <c r="C896" t="s">
        <v>31</v>
      </c>
      <c r="D896" t="s">
        <v>214</v>
      </c>
      <c r="E896" t="s">
        <v>215</v>
      </c>
      <c r="F896">
        <v>46</v>
      </c>
      <c r="G896" t="s">
        <v>34</v>
      </c>
      <c r="H896" t="s">
        <v>2094</v>
      </c>
      <c r="I896">
        <f>34-643-456-789</f>
        <v>-1854</v>
      </c>
      <c r="J896" s="1">
        <v>45455</v>
      </c>
      <c r="K896" s="1">
        <v>45306</v>
      </c>
      <c r="L896">
        <v>30200.5</v>
      </c>
      <c r="M896">
        <v>14000.4</v>
      </c>
      <c r="N896">
        <v>720</v>
      </c>
      <c r="O896">
        <v>62000</v>
      </c>
      <c r="P896" t="s">
        <v>36</v>
      </c>
      <c r="Q896" t="s">
        <v>27</v>
      </c>
      <c r="R896">
        <v>0</v>
      </c>
      <c r="S896" t="s">
        <v>28</v>
      </c>
    </row>
    <row r="897" spans="1:19">
      <c r="A897" t="s">
        <v>108</v>
      </c>
      <c r="B897" t="s">
        <v>2095</v>
      </c>
      <c r="C897" t="s">
        <v>84</v>
      </c>
      <c r="D897" t="s">
        <v>32</v>
      </c>
      <c r="E897" t="s">
        <v>33</v>
      </c>
      <c r="F897">
        <v>42</v>
      </c>
      <c r="G897" t="s">
        <v>24</v>
      </c>
      <c r="H897" t="s">
        <v>2096</v>
      </c>
      <c r="I897">
        <f>81-90-5678-9012</f>
        <v>-14699</v>
      </c>
      <c r="J897" s="1">
        <v>45458</v>
      </c>
      <c r="K897" s="1">
        <v>45304</v>
      </c>
      <c r="L897">
        <v>3850.8</v>
      </c>
      <c r="M897">
        <v>12600.25</v>
      </c>
      <c r="N897">
        <v>605</v>
      </c>
      <c r="O897">
        <v>38000</v>
      </c>
      <c r="P897" t="s">
        <v>76</v>
      </c>
      <c r="Q897" t="s">
        <v>43</v>
      </c>
      <c r="R897">
        <v>0</v>
      </c>
      <c r="S897" t="s">
        <v>28</v>
      </c>
    </row>
    <row r="898" spans="1:19">
      <c r="A898" t="s">
        <v>559</v>
      </c>
      <c r="B898" t="s">
        <v>2097</v>
      </c>
      <c r="C898" t="s">
        <v>46</v>
      </c>
      <c r="D898" t="s">
        <v>254</v>
      </c>
      <c r="E898" t="s">
        <v>255</v>
      </c>
      <c r="F898">
        <v>56</v>
      </c>
      <c r="G898" t="s">
        <v>34</v>
      </c>
      <c r="H898" t="s">
        <v>2098</v>
      </c>
      <c r="I898">
        <f>221-98-234-5678</f>
        <v>-5789</v>
      </c>
      <c r="J898" s="1">
        <v>44887</v>
      </c>
      <c r="K898" s="1">
        <v>45302</v>
      </c>
      <c r="L898">
        <v>84300.4</v>
      </c>
      <c r="M898">
        <v>46500.75</v>
      </c>
      <c r="N898">
        <v>710</v>
      </c>
      <c r="O898">
        <v>136000</v>
      </c>
      <c r="P898" t="s">
        <v>26</v>
      </c>
      <c r="Q898" t="s">
        <v>27</v>
      </c>
      <c r="R898">
        <v>0</v>
      </c>
      <c r="S898" t="s">
        <v>28</v>
      </c>
    </row>
    <row r="899" spans="1:19">
      <c r="A899" t="s">
        <v>562</v>
      </c>
      <c r="B899" t="s">
        <v>2099</v>
      </c>
      <c r="C899" t="s">
        <v>39</v>
      </c>
      <c r="D899" t="s">
        <v>47</v>
      </c>
      <c r="E899" t="s">
        <v>98</v>
      </c>
      <c r="F899">
        <v>70</v>
      </c>
      <c r="G899" t="s">
        <v>24</v>
      </c>
      <c r="H899" t="s">
        <v>2100</v>
      </c>
      <c r="I899">
        <f>44-79-5678-9012</f>
        <v>-14725</v>
      </c>
      <c r="J899" s="1">
        <v>43760</v>
      </c>
      <c r="K899" s="1">
        <v>45300</v>
      </c>
      <c r="L899">
        <v>180900.6</v>
      </c>
      <c r="M899">
        <v>102000.25</v>
      </c>
      <c r="N899">
        <v>675</v>
      </c>
      <c r="O899">
        <v>205000</v>
      </c>
      <c r="P899" t="s">
        <v>76</v>
      </c>
      <c r="Q899" t="s">
        <v>27</v>
      </c>
      <c r="R899">
        <v>0</v>
      </c>
      <c r="S899" t="s">
        <v>28</v>
      </c>
    </row>
    <row r="900" spans="1:19">
      <c r="A900" t="s">
        <v>565</v>
      </c>
      <c r="B900" t="s">
        <v>2101</v>
      </c>
      <c r="C900" t="s">
        <v>52</v>
      </c>
      <c r="D900" t="s">
        <v>233</v>
      </c>
      <c r="E900" t="s">
        <v>234</v>
      </c>
      <c r="F900">
        <v>55</v>
      </c>
      <c r="G900" t="s">
        <v>34</v>
      </c>
      <c r="H900" t="s">
        <v>2102</v>
      </c>
      <c r="I900">
        <f>82-10-4567-8901</f>
        <v>-13396</v>
      </c>
      <c r="J900" s="1">
        <v>44673</v>
      </c>
      <c r="K900" s="1">
        <v>45301</v>
      </c>
      <c r="L900">
        <v>60700.75</v>
      </c>
      <c r="M900">
        <v>37600.800000000003</v>
      </c>
      <c r="N900">
        <v>725</v>
      </c>
      <c r="O900">
        <v>102000</v>
      </c>
      <c r="P900" t="s">
        <v>26</v>
      </c>
      <c r="Q900" t="s">
        <v>27</v>
      </c>
      <c r="R900">
        <v>0</v>
      </c>
      <c r="S900" t="s">
        <v>28</v>
      </c>
    </row>
    <row r="901" spans="1:19">
      <c r="A901" t="s">
        <v>568</v>
      </c>
      <c r="B901" t="s">
        <v>2103</v>
      </c>
      <c r="C901" t="s">
        <v>57</v>
      </c>
      <c r="D901" t="s">
        <v>79</v>
      </c>
      <c r="E901" t="s">
        <v>80</v>
      </c>
      <c r="F901">
        <v>53</v>
      </c>
      <c r="G901" t="s">
        <v>24</v>
      </c>
      <c r="H901" t="s">
        <v>2104</v>
      </c>
      <c r="I901">
        <f>971-50-678-9012</f>
        <v>-8769</v>
      </c>
      <c r="J901" s="1">
        <v>45129</v>
      </c>
      <c r="K901" s="1">
        <v>45303</v>
      </c>
      <c r="L901">
        <v>38700.400000000001</v>
      </c>
      <c r="M901">
        <v>15200.9</v>
      </c>
      <c r="N901">
        <v>740</v>
      </c>
      <c r="O901">
        <v>88000</v>
      </c>
      <c r="P901" t="s">
        <v>36</v>
      </c>
      <c r="Q901" t="s">
        <v>27</v>
      </c>
      <c r="R901">
        <v>0</v>
      </c>
      <c r="S901" t="s">
        <v>28</v>
      </c>
    </row>
    <row r="902" spans="1:19">
      <c r="A902" t="s">
        <v>571</v>
      </c>
      <c r="B902" t="s">
        <v>2105</v>
      </c>
      <c r="C902" t="s">
        <v>21</v>
      </c>
      <c r="D902" t="s">
        <v>63</v>
      </c>
      <c r="E902" t="s">
        <v>64</v>
      </c>
      <c r="F902">
        <v>76</v>
      </c>
      <c r="G902" t="s">
        <v>34</v>
      </c>
      <c r="H902" t="s">
        <v>2106</v>
      </c>
      <c r="I902">
        <f>55-11-99978-9012</f>
        <v>-108946</v>
      </c>
      <c r="J902" s="1">
        <v>43303</v>
      </c>
      <c r="K902" s="1">
        <v>45299</v>
      </c>
      <c r="L902">
        <v>269800.90000000002</v>
      </c>
      <c r="M902">
        <v>92000.6</v>
      </c>
      <c r="N902">
        <v>830</v>
      </c>
      <c r="O902">
        <v>300000</v>
      </c>
      <c r="P902" t="s">
        <v>36</v>
      </c>
      <c r="Q902" t="s">
        <v>27</v>
      </c>
      <c r="R902">
        <v>0</v>
      </c>
      <c r="S902" t="s">
        <v>28</v>
      </c>
    </row>
    <row r="903" spans="1:19">
      <c r="A903" t="s">
        <v>574</v>
      </c>
      <c r="B903" t="s">
        <v>2107</v>
      </c>
      <c r="C903" t="s">
        <v>39</v>
      </c>
      <c r="D903" t="s">
        <v>68</v>
      </c>
      <c r="E903" t="s">
        <v>179</v>
      </c>
      <c r="F903">
        <v>68</v>
      </c>
      <c r="G903" t="s">
        <v>24</v>
      </c>
      <c r="H903" t="s">
        <v>2108</v>
      </c>
      <c r="I903">
        <f>234-835-678-9012</f>
        <v>-10291</v>
      </c>
      <c r="J903" s="1">
        <v>43902</v>
      </c>
      <c r="K903" s="1">
        <v>45300</v>
      </c>
      <c r="L903">
        <v>158700.25</v>
      </c>
      <c r="M903">
        <v>94000.4</v>
      </c>
      <c r="N903">
        <v>655</v>
      </c>
      <c r="O903">
        <v>190000</v>
      </c>
      <c r="P903" t="s">
        <v>76</v>
      </c>
      <c r="Q903" t="s">
        <v>27</v>
      </c>
      <c r="R903">
        <v>0</v>
      </c>
      <c r="S903" t="s">
        <v>28</v>
      </c>
    </row>
    <row r="904" spans="1:19">
      <c r="A904" t="s">
        <v>577</v>
      </c>
      <c r="B904" t="s">
        <v>2109</v>
      </c>
      <c r="C904" t="s">
        <v>46</v>
      </c>
      <c r="D904" t="s">
        <v>85</v>
      </c>
      <c r="E904" t="s">
        <v>86</v>
      </c>
      <c r="F904">
        <v>57</v>
      </c>
      <c r="G904" t="s">
        <v>34</v>
      </c>
      <c r="H904" t="s">
        <v>2110</v>
      </c>
      <c r="I904">
        <f>1-647-555-198</f>
        <v>-1399</v>
      </c>
      <c r="J904" s="1">
        <v>44795</v>
      </c>
      <c r="K904" s="1">
        <v>45302</v>
      </c>
      <c r="L904">
        <v>103200.6</v>
      </c>
      <c r="M904">
        <v>54500.75</v>
      </c>
      <c r="N904">
        <v>760</v>
      </c>
      <c r="O904">
        <v>159000</v>
      </c>
      <c r="P904" t="s">
        <v>26</v>
      </c>
      <c r="Q904" t="s">
        <v>27</v>
      </c>
      <c r="R904">
        <v>0</v>
      </c>
      <c r="S904" t="s">
        <v>28</v>
      </c>
    </row>
    <row r="905" spans="1:19">
      <c r="A905" t="s">
        <v>458</v>
      </c>
      <c r="B905" t="s">
        <v>2111</v>
      </c>
      <c r="C905" t="s">
        <v>31</v>
      </c>
      <c r="D905" t="s">
        <v>460</v>
      </c>
      <c r="E905" t="s">
        <v>663</v>
      </c>
      <c r="F905">
        <v>48</v>
      </c>
      <c r="G905" t="s">
        <v>24</v>
      </c>
      <c r="H905" t="s">
        <v>2112</v>
      </c>
      <c r="I905">
        <f>62-832-3456-7890</f>
        <v>-12116</v>
      </c>
      <c r="J905" s="1">
        <v>45451</v>
      </c>
      <c r="K905" s="1">
        <v>45306</v>
      </c>
      <c r="L905">
        <v>18400.25</v>
      </c>
      <c r="M905">
        <v>10900.8</v>
      </c>
      <c r="N905">
        <v>695</v>
      </c>
      <c r="O905">
        <v>59000</v>
      </c>
      <c r="P905" t="s">
        <v>26</v>
      </c>
      <c r="Q905" t="s">
        <v>43</v>
      </c>
      <c r="R905">
        <v>0</v>
      </c>
      <c r="S905" t="s">
        <v>28</v>
      </c>
    </row>
    <row r="906" spans="1:19">
      <c r="A906" t="s">
        <v>582</v>
      </c>
      <c r="B906" t="s">
        <v>2113</v>
      </c>
      <c r="C906" t="s">
        <v>57</v>
      </c>
      <c r="D906" t="s">
        <v>22</v>
      </c>
      <c r="E906" t="s">
        <v>23</v>
      </c>
      <c r="F906">
        <v>51</v>
      </c>
      <c r="G906" t="s">
        <v>34</v>
      </c>
      <c r="H906" t="s">
        <v>2114</v>
      </c>
      <c r="I906">
        <f>1-646-555-194</f>
        <v>-1394</v>
      </c>
      <c r="J906" s="1">
        <v>45068</v>
      </c>
      <c r="K906" s="1">
        <v>45303</v>
      </c>
      <c r="L906">
        <v>37600.9</v>
      </c>
      <c r="M906">
        <v>14800.25</v>
      </c>
      <c r="N906">
        <v>755</v>
      </c>
      <c r="O906">
        <v>81000</v>
      </c>
      <c r="P906" t="s">
        <v>36</v>
      </c>
      <c r="Q906" t="s">
        <v>27</v>
      </c>
      <c r="R906">
        <v>0</v>
      </c>
      <c r="S906" t="s">
        <v>28</v>
      </c>
    </row>
    <row r="907" spans="1:19">
      <c r="A907" t="s">
        <v>55</v>
      </c>
      <c r="B907" t="s">
        <v>2115</v>
      </c>
      <c r="C907" t="s">
        <v>39</v>
      </c>
      <c r="D907" t="s">
        <v>58</v>
      </c>
      <c r="E907" t="s">
        <v>122</v>
      </c>
      <c r="F907">
        <v>69</v>
      </c>
      <c r="G907" t="s">
        <v>24</v>
      </c>
      <c r="H907" t="s">
        <v>2116</v>
      </c>
      <c r="I907">
        <f>86-138-7890-1234</f>
        <v>-9176</v>
      </c>
      <c r="J907" s="1">
        <v>43821</v>
      </c>
      <c r="K907" s="1">
        <v>45300</v>
      </c>
      <c r="L907">
        <v>191600.4</v>
      </c>
      <c r="M907">
        <v>107000.75</v>
      </c>
      <c r="N907">
        <v>685</v>
      </c>
      <c r="O907">
        <v>215000</v>
      </c>
      <c r="P907" t="s">
        <v>76</v>
      </c>
      <c r="Q907" t="s">
        <v>27</v>
      </c>
      <c r="R907">
        <v>0</v>
      </c>
      <c r="S907" t="s">
        <v>28</v>
      </c>
    </row>
    <row r="908" spans="1:19">
      <c r="A908" t="s">
        <v>469</v>
      </c>
      <c r="B908" t="s">
        <v>2117</v>
      </c>
      <c r="C908" t="s">
        <v>52</v>
      </c>
      <c r="D908" t="s">
        <v>471</v>
      </c>
      <c r="E908" t="s">
        <v>472</v>
      </c>
      <c r="F908">
        <v>60</v>
      </c>
      <c r="G908" t="s">
        <v>34</v>
      </c>
      <c r="H908" t="s">
        <v>2118</v>
      </c>
      <c r="I908">
        <f>48-720-234-567</f>
        <v>-1473</v>
      </c>
      <c r="J908" s="1">
        <v>44461</v>
      </c>
      <c r="K908" s="1">
        <v>45301</v>
      </c>
      <c r="L908">
        <v>67600.800000000003</v>
      </c>
      <c r="M908">
        <v>40700.6</v>
      </c>
      <c r="N908">
        <v>715</v>
      </c>
      <c r="O908">
        <v>114000</v>
      </c>
      <c r="P908" t="s">
        <v>26</v>
      </c>
      <c r="Q908" t="s">
        <v>27</v>
      </c>
      <c r="R908">
        <v>0</v>
      </c>
      <c r="S908" t="s">
        <v>28</v>
      </c>
    </row>
    <row r="909" spans="1:19">
      <c r="A909" t="s">
        <v>474</v>
      </c>
      <c r="B909" t="s">
        <v>2119</v>
      </c>
      <c r="C909" t="s">
        <v>46</v>
      </c>
      <c r="D909" t="s">
        <v>345</v>
      </c>
      <c r="E909" t="s">
        <v>476</v>
      </c>
      <c r="F909">
        <v>63</v>
      </c>
      <c r="G909" t="s">
        <v>24</v>
      </c>
      <c r="H909" t="s">
        <v>2120</v>
      </c>
      <c r="I909">
        <f>880-1812-456789</f>
        <v>-457721</v>
      </c>
      <c r="J909" s="1">
        <v>44369</v>
      </c>
      <c r="K909" s="1">
        <v>45302</v>
      </c>
      <c r="L909">
        <v>95400.25</v>
      </c>
      <c r="M909">
        <v>50700.4</v>
      </c>
      <c r="N909">
        <v>680</v>
      </c>
      <c r="O909">
        <v>143000</v>
      </c>
      <c r="P909" t="s">
        <v>26</v>
      </c>
      <c r="Q909" t="s">
        <v>27</v>
      </c>
      <c r="R909">
        <v>0</v>
      </c>
      <c r="S909" t="s">
        <v>28</v>
      </c>
    </row>
    <row r="910" spans="1:19">
      <c r="A910" t="s">
        <v>592</v>
      </c>
      <c r="B910" t="s">
        <v>2121</v>
      </c>
      <c r="C910" t="s">
        <v>84</v>
      </c>
      <c r="D910" t="s">
        <v>32</v>
      </c>
      <c r="E910" t="s">
        <v>90</v>
      </c>
      <c r="F910">
        <v>43</v>
      </c>
      <c r="G910" t="s">
        <v>34</v>
      </c>
      <c r="H910" t="s">
        <v>2122</v>
      </c>
      <c r="I910">
        <f>81-90-6789-123</f>
        <v>-6921</v>
      </c>
      <c r="J910" s="1">
        <v>45465</v>
      </c>
      <c r="K910" s="1">
        <v>45304</v>
      </c>
      <c r="L910">
        <v>3950.4</v>
      </c>
      <c r="M910">
        <v>13200.75</v>
      </c>
      <c r="N910">
        <v>610</v>
      </c>
      <c r="O910">
        <v>39000</v>
      </c>
      <c r="P910" t="s">
        <v>76</v>
      </c>
      <c r="Q910" t="s">
        <v>43</v>
      </c>
      <c r="R910">
        <v>0</v>
      </c>
      <c r="S910" t="s">
        <v>28</v>
      </c>
    </row>
    <row r="911" spans="1:19">
      <c r="A911" t="s">
        <v>595</v>
      </c>
      <c r="B911" t="s">
        <v>2123</v>
      </c>
      <c r="C911" t="s">
        <v>21</v>
      </c>
      <c r="D911" t="s">
        <v>209</v>
      </c>
      <c r="E911" t="s">
        <v>210</v>
      </c>
      <c r="F911">
        <v>75</v>
      </c>
      <c r="G911" t="s">
        <v>24</v>
      </c>
      <c r="H911" t="s">
        <v>2124</v>
      </c>
      <c r="I911">
        <f>52-55-4567-123</f>
        <v>-4693</v>
      </c>
      <c r="J911" s="1">
        <v>43518</v>
      </c>
      <c r="K911" s="1">
        <v>45299</v>
      </c>
      <c r="L911">
        <v>289600.8</v>
      </c>
      <c r="M911">
        <v>98000.25</v>
      </c>
      <c r="N911">
        <v>825</v>
      </c>
      <c r="O911">
        <v>295000</v>
      </c>
      <c r="P911" t="s">
        <v>36</v>
      </c>
      <c r="Q911" t="s">
        <v>27</v>
      </c>
      <c r="R911">
        <v>0</v>
      </c>
      <c r="S911" t="s">
        <v>28</v>
      </c>
    </row>
    <row r="912" spans="1:19">
      <c r="A912" t="s">
        <v>226</v>
      </c>
      <c r="B912" t="s">
        <v>2125</v>
      </c>
      <c r="C912" t="s">
        <v>57</v>
      </c>
      <c r="D912" t="s">
        <v>228</v>
      </c>
      <c r="E912" t="s">
        <v>229</v>
      </c>
      <c r="F912">
        <v>50</v>
      </c>
      <c r="G912" t="s">
        <v>34</v>
      </c>
      <c r="H912" t="s">
        <v>2126</v>
      </c>
      <c r="I912">
        <f>254-744-567-890</f>
        <v>-1947</v>
      </c>
      <c r="J912" s="1">
        <v>45252</v>
      </c>
      <c r="K912" s="1">
        <v>45305</v>
      </c>
      <c r="L912">
        <v>34300.75</v>
      </c>
      <c r="M912">
        <v>13200.4</v>
      </c>
      <c r="N912">
        <v>725</v>
      </c>
      <c r="O912">
        <v>71000</v>
      </c>
      <c r="P912" t="s">
        <v>36</v>
      </c>
      <c r="Q912" t="s">
        <v>27</v>
      </c>
      <c r="R912">
        <v>0</v>
      </c>
      <c r="S912" t="s">
        <v>28</v>
      </c>
    </row>
    <row r="913" spans="1:19">
      <c r="A913" t="s">
        <v>488</v>
      </c>
      <c r="B913" t="s">
        <v>2127</v>
      </c>
      <c r="C913" t="s">
        <v>39</v>
      </c>
      <c r="D913" t="s">
        <v>304</v>
      </c>
      <c r="E913" t="s">
        <v>304</v>
      </c>
      <c r="F913">
        <v>67</v>
      </c>
      <c r="G913" t="s">
        <v>24</v>
      </c>
      <c r="H913" t="s">
        <v>2128</v>
      </c>
      <c r="I913">
        <f>65-390-1234</f>
        <v>-1559</v>
      </c>
      <c r="J913" s="1">
        <v>43994</v>
      </c>
      <c r="K913" s="1">
        <v>45300</v>
      </c>
      <c r="L913">
        <v>169800.6</v>
      </c>
      <c r="M913">
        <v>98000.9</v>
      </c>
      <c r="N913">
        <v>675</v>
      </c>
      <c r="O913">
        <v>195000</v>
      </c>
      <c r="P913" t="s">
        <v>76</v>
      </c>
      <c r="Q913" t="s">
        <v>27</v>
      </c>
      <c r="R913">
        <v>0</v>
      </c>
      <c r="S913" t="s">
        <v>28</v>
      </c>
    </row>
    <row r="914" spans="1:19">
      <c r="A914" t="s">
        <v>491</v>
      </c>
      <c r="B914" t="s">
        <v>2129</v>
      </c>
      <c r="C914" t="s">
        <v>52</v>
      </c>
      <c r="D914" t="s">
        <v>493</v>
      </c>
      <c r="E914" t="s">
        <v>494</v>
      </c>
      <c r="F914">
        <v>58</v>
      </c>
      <c r="G914" t="s">
        <v>34</v>
      </c>
      <c r="H914" t="s">
        <v>2130</v>
      </c>
      <c r="I914">
        <f>30-712-345-6789</f>
        <v>-7816</v>
      </c>
      <c r="J914" s="1">
        <v>44764</v>
      </c>
      <c r="K914" s="1">
        <v>45302</v>
      </c>
      <c r="L914">
        <v>61800.4</v>
      </c>
      <c r="M914">
        <v>36500.25</v>
      </c>
      <c r="N914">
        <v>705</v>
      </c>
      <c r="O914">
        <v>103000</v>
      </c>
      <c r="P914" t="s">
        <v>26</v>
      </c>
      <c r="Q914" t="s">
        <v>27</v>
      </c>
      <c r="R914">
        <v>0</v>
      </c>
      <c r="S914" t="s">
        <v>28</v>
      </c>
    </row>
    <row r="915" spans="1:19">
      <c r="A915" t="s">
        <v>496</v>
      </c>
      <c r="B915" t="s">
        <v>2131</v>
      </c>
      <c r="C915" t="s">
        <v>46</v>
      </c>
      <c r="D915" t="s">
        <v>321</v>
      </c>
      <c r="E915" t="s">
        <v>322</v>
      </c>
      <c r="F915">
        <v>61</v>
      </c>
      <c r="G915" t="s">
        <v>24</v>
      </c>
      <c r="H915" t="s">
        <v>2132</v>
      </c>
      <c r="I915">
        <f>61-444-567-890</f>
        <v>-1840</v>
      </c>
      <c r="J915" s="1">
        <v>44249</v>
      </c>
      <c r="K915" s="1">
        <v>45301</v>
      </c>
      <c r="L915">
        <v>108100.75</v>
      </c>
      <c r="M915">
        <v>57600.800000000003</v>
      </c>
      <c r="N915">
        <v>730</v>
      </c>
      <c r="O915">
        <v>169000</v>
      </c>
      <c r="P915" t="s">
        <v>26</v>
      </c>
      <c r="Q915" t="s">
        <v>27</v>
      </c>
      <c r="R915">
        <v>0</v>
      </c>
      <c r="S915" t="s">
        <v>28</v>
      </c>
    </row>
    <row r="916" spans="1:19">
      <c r="A916" t="s">
        <v>324</v>
      </c>
      <c r="B916" t="s">
        <v>2133</v>
      </c>
      <c r="C916" t="s">
        <v>31</v>
      </c>
      <c r="D916" t="s">
        <v>313</v>
      </c>
      <c r="E916" t="s">
        <v>501</v>
      </c>
      <c r="F916">
        <v>46</v>
      </c>
      <c r="G916" t="s">
        <v>34</v>
      </c>
      <c r="H916" t="s">
        <v>2134</v>
      </c>
      <c r="I916">
        <f>92-342-8765432</f>
        <v>-8765682</v>
      </c>
      <c r="J916" s="1">
        <v>45458</v>
      </c>
      <c r="K916" s="1">
        <v>45306</v>
      </c>
      <c r="L916">
        <v>15800.9</v>
      </c>
      <c r="M916">
        <v>9300.75</v>
      </c>
      <c r="N916">
        <v>685</v>
      </c>
      <c r="O916">
        <v>56000</v>
      </c>
      <c r="P916" t="s">
        <v>26</v>
      </c>
      <c r="Q916" t="s">
        <v>43</v>
      </c>
      <c r="R916">
        <v>0</v>
      </c>
      <c r="S916" t="s">
        <v>28</v>
      </c>
    </row>
    <row r="917" spans="1:19">
      <c r="A917" t="s">
        <v>503</v>
      </c>
      <c r="B917" t="s">
        <v>2135</v>
      </c>
      <c r="C917" t="s">
        <v>21</v>
      </c>
      <c r="D917" t="s">
        <v>32</v>
      </c>
      <c r="E917" t="s">
        <v>33</v>
      </c>
      <c r="F917">
        <v>78</v>
      </c>
      <c r="G917" t="s">
        <v>24</v>
      </c>
      <c r="H917" t="s">
        <v>2136</v>
      </c>
      <c r="I917">
        <f>81-80-2345-6789</f>
        <v>-9133</v>
      </c>
      <c r="J917" s="1">
        <v>43242</v>
      </c>
      <c r="K917" s="1">
        <v>45299</v>
      </c>
      <c r="L917">
        <v>300500.25</v>
      </c>
      <c r="M917">
        <v>102000.4</v>
      </c>
      <c r="N917">
        <v>840</v>
      </c>
      <c r="O917">
        <v>310000</v>
      </c>
      <c r="P917" t="s">
        <v>36</v>
      </c>
      <c r="Q917" t="s">
        <v>27</v>
      </c>
      <c r="R917">
        <v>0</v>
      </c>
      <c r="S917" t="s">
        <v>28</v>
      </c>
    </row>
    <row r="918" spans="1:19">
      <c r="A918" t="s">
        <v>506</v>
      </c>
      <c r="B918" t="s">
        <v>2137</v>
      </c>
      <c r="C918" t="s">
        <v>39</v>
      </c>
      <c r="D918" t="s">
        <v>68</v>
      </c>
      <c r="E918" t="s">
        <v>69</v>
      </c>
      <c r="F918">
        <v>70</v>
      </c>
      <c r="G918" t="s">
        <v>34</v>
      </c>
      <c r="H918" t="s">
        <v>2138</v>
      </c>
      <c r="I918">
        <f>234-834-567-8901</f>
        <v>-10068</v>
      </c>
      <c r="J918" s="1">
        <v>43760</v>
      </c>
      <c r="K918" s="1">
        <v>45300</v>
      </c>
      <c r="L918">
        <v>180900.4</v>
      </c>
      <c r="M918">
        <v>102000.75</v>
      </c>
      <c r="N918">
        <v>650</v>
      </c>
      <c r="O918">
        <v>205000</v>
      </c>
      <c r="P918" t="s">
        <v>76</v>
      </c>
      <c r="Q918" t="s">
        <v>27</v>
      </c>
      <c r="R918">
        <v>0</v>
      </c>
      <c r="S918" t="s">
        <v>28</v>
      </c>
    </row>
    <row r="919" spans="1:19">
      <c r="A919" t="s">
        <v>509</v>
      </c>
      <c r="B919" t="s">
        <v>2139</v>
      </c>
      <c r="C919" t="s">
        <v>46</v>
      </c>
      <c r="D919" t="s">
        <v>73</v>
      </c>
      <c r="E919" t="s">
        <v>158</v>
      </c>
      <c r="F919">
        <v>57</v>
      </c>
      <c r="G919" t="s">
        <v>24</v>
      </c>
      <c r="H919" t="s">
        <v>2140</v>
      </c>
      <c r="I919">
        <f>49-196-7890123</f>
        <v>-7890270</v>
      </c>
      <c r="J919" s="1">
        <v>44979</v>
      </c>
      <c r="K919" s="1">
        <v>45303</v>
      </c>
      <c r="L919">
        <v>96500.4</v>
      </c>
      <c r="M919">
        <v>51800.25</v>
      </c>
      <c r="N919">
        <v>745</v>
      </c>
      <c r="O919">
        <v>149000</v>
      </c>
      <c r="P919" t="s">
        <v>26</v>
      </c>
      <c r="Q919" t="s">
        <v>27</v>
      </c>
      <c r="R919">
        <v>0</v>
      </c>
      <c r="S919" t="s">
        <v>28</v>
      </c>
    </row>
    <row r="920" spans="1:19">
      <c r="A920" t="s">
        <v>513</v>
      </c>
      <c r="B920" t="s">
        <v>2141</v>
      </c>
      <c r="C920" t="s">
        <v>57</v>
      </c>
      <c r="D920" t="s">
        <v>58</v>
      </c>
      <c r="E920" t="s">
        <v>122</v>
      </c>
      <c r="F920">
        <v>52</v>
      </c>
      <c r="G920" t="s">
        <v>34</v>
      </c>
      <c r="H920" t="s">
        <v>2142</v>
      </c>
      <c r="I920">
        <f>86-137-7890-1234</f>
        <v>-9175</v>
      </c>
      <c r="J920" s="1">
        <v>45160</v>
      </c>
      <c r="K920" s="1">
        <v>45302</v>
      </c>
      <c r="L920">
        <v>36500.800000000003</v>
      </c>
      <c r="M920">
        <v>14400.9</v>
      </c>
      <c r="N920">
        <v>765</v>
      </c>
      <c r="O920">
        <v>81000</v>
      </c>
      <c r="P920" t="s">
        <v>36</v>
      </c>
      <c r="Q920" t="s">
        <v>27</v>
      </c>
      <c r="R920">
        <v>0</v>
      </c>
      <c r="S920" t="s">
        <v>28</v>
      </c>
    </row>
    <row r="921" spans="1:19">
      <c r="A921" t="s">
        <v>516</v>
      </c>
      <c r="B921" t="s">
        <v>2143</v>
      </c>
      <c r="C921" t="s">
        <v>52</v>
      </c>
      <c r="D921" t="s">
        <v>277</v>
      </c>
      <c r="E921" t="s">
        <v>404</v>
      </c>
      <c r="F921">
        <v>65</v>
      </c>
      <c r="G921" t="s">
        <v>24</v>
      </c>
      <c r="H921" t="s">
        <v>2144</v>
      </c>
      <c r="I921">
        <f>20-122-987-6543</f>
        <v>-7632</v>
      </c>
      <c r="J921" s="1">
        <v>44430</v>
      </c>
      <c r="K921" s="1">
        <v>45301</v>
      </c>
      <c r="L921">
        <v>69800.75</v>
      </c>
      <c r="M921">
        <v>42900.4</v>
      </c>
      <c r="N921">
        <v>675</v>
      </c>
      <c r="O921">
        <v>121000</v>
      </c>
      <c r="P921" t="s">
        <v>26</v>
      </c>
      <c r="Q921" t="s">
        <v>27</v>
      </c>
      <c r="R921">
        <v>0</v>
      </c>
      <c r="S921" t="s">
        <v>28</v>
      </c>
    </row>
    <row r="922" spans="1:19">
      <c r="A922" t="s">
        <v>519</v>
      </c>
      <c r="B922" t="s">
        <v>2145</v>
      </c>
      <c r="C922" t="s">
        <v>84</v>
      </c>
      <c r="D922" t="s">
        <v>183</v>
      </c>
      <c r="E922" t="s">
        <v>184</v>
      </c>
      <c r="F922">
        <v>44</v>
      </c>
      <c r="G922" t="s">
        <v>34</v>
      </c>
      <c r="H922" t="s">
        <v>2146</v>
      </c>
      <c r="I922">
        <f>33-6-4567-8901</f>
        <v>-13441</v>
      </c>
      <c r="J922" s="1">
        <v>45471</v>
      </c>
      <c r="K922" s="1">
        <v>45304</v>
      </c>
      <c r="L922">
        <v>4200.25</v>
      </c>
      <c r="M922">
        <v>14400.6</v>
      </c>
      <c r="N922">
        <v>615</v>
      </c>
      <c r="O922">
        <v>41000</v>
      </c>
      <c r="P922" t="s">
        <v>76</v>
      </c>
      <c r="Q922" t="s">
        <v>43</v>
      </c>
      <c r="R922">
        <v>0</v>
      </c>
      <c r="S922" t="s">
        <v>28</v>
      </c>
    </row>
    <row r="923" spans="1:19">
      <c r="A923" t="s">
        <v>522</v>
      </c>
      <c r="B923" t="s">
        <v>2147</v>
      </c>
      <c r="C923" t="s">
        <v>39</v>
      </c>
      <c r="D923" t="s">
        <v>40</v>
      </c>
      <c r="E923" t="s">
        <v>94</v>
      </c>
      <c r="F923">
        <v>72</v>
      </c>
      <c r="G923" t="s">
        <v>24</v>
      </c>
      <c r="H923" t="s">
        <v>2148</v>
      </c>
      <c r="I923">
        <f>91-987-654-3210</f>
        <v>-4760</v>
      </c>
      <c r="J923" s="1">
        <v>43730</v>
      </c>
      <c r="K923" s="1">
        <v>45299</v>
      </c>
      <c r="L923">
        <v>215500.79999999999</v>
      </c>
      <c r="M923">
        <v>115000.25</v>
      </c>
      <c r="N923">
        <v>660</v>
      </c>
      <c r="O923">
        <v>240000</v>
      </c>
      <c r="P923" t="s">
        <v>76</v>
      </c>
      <c r="Q923" t="s">
        <v>27</v>
      </c>
      <c r="R923">
        <v>0</v>
      </c>
      <c r="S923" t="s">
        <v>28</v>
      </c>
    </row>
    <row r="924" spans="1:19">
      <c r="A924" t="s">
        <v>306</v>
      </c>
      <c r="B924" t="s">
        <v>2149</v>
      </c>
      <c r="C924" t="s">
        <v>46</v>
      </c>
      <c r="D924" t="s">
        <v>209</v>
      </c>
      <c r="E924" t="s">
        <v>703</v>
      </c>
      <c r="F924">
        <v>59</v>
      </c>
      <c r="G924" t="s">
        <v>34</v>
      </c>
      <c r="H924" t="s">
        <v>2150</v>
      </c>
      <c r="I924">
        <f>52-81-5678-123</f>
        <v>-5830</v>
      </c>
      <c r="J924" s="1">
        <v>44583</v>
      </c>
      <c r="K924" s="1">
        <v>45302</v>
      </c>
      <c r="L924">
        <v>90900.9</v>
      </c>
      <c r="M924">
        <v>48700.75</v>
      </c>
      <c r="N924">
        <v>730</v>
      </c>
      <c r="O924">
        <v>144000</v>
      </c>
      <c r="P924" t="s">
        <v>26</v>
      </c>
      <c r="Q924" t="s">
        <v>27</v>
      </c>
      <c r="R924">
        <v>0</v>
      </c>
      <c r="S924" t="s">
        <v>28</v>
      </c>
    </row>
    <row r="925" spans="1:19">
      <c r="A925" t="s">
        <v>527</v>
      </c>
      <c r="B925" t="s">
        <v>2151</v>
      </c>
      <c r="C925" t="s">
        <v>31</v>
      </c>
      <c r="D925" t="s">
        <v>32</v>
      </c>
      <c r="E925" t="s">
        <v>90</v>
      </c>
      <c r="F925">
        <v>48</v>
      </c>
      <c r="G925" t="s">
        <v>34</v>
      </c>
      <c r="H925" t="s">
        <v>2152</v>
      </c>
      <c r="I925">
        <f>81-90-3456-7890</f>
        <v>-11355</v>
      </c>
      <c r="J925" s="1">
        <v>45465</v>
      </c>
      <c r="K925" s="1">
        <v>45305</v>
      </c>
      <c r="L925">
        <v>16900.400000000001</v>
      </c>
      <c r="M925">
        <v>9400.25</v>
      </c>
      <c r="N925">
        <v>705</v>
      </c>
      <c r="O925">
        <v>58000</v>
      </c>
      <c r="P925" t="s">
        <v>26</v>
      </c>
      <c r="Q925" t="s">
        <v>43</v>
      </c>
      <c r="R925">
        <v>0</v>
      </c>
      <c r="S925" t="s">
        <v>28</v>
      </c>
    </row>
    <row r="926" spans="1:19">
      <c r="A926" t="s">
        <v>530</v>
      </c>
      <c r="B926" t="s">
        <v>2153</v>
      </c>
      <c r="C926" t="s">
        <v>57</v>
      </c>
      <c r="D926" t="s">
        <v>219</v>
      </c>
      <c r="E926" t="s">
        <v>220</v>
      </c>
      <c r="F926">
        <v>53</v>
      </c>
      <c r="G926" t="s">
        <v>24</v>
      </c>
      <c r="H926" t="s">
        <v>2154</v>
      </c>
      <c r="I926">
        <f>233-75-678-9012</f>
        <v>-9532</v>
      </c>
      <c r="J926" s="1">
        <v>45129</v>
      </c>
      <c r="K926" s="1">
        <v>45303</v>
      </c>
      <c r="L926">
        <v>35400.6</v>
      </c>
      <c r="M926">
        <v>13800.8</v>
      </c>
      <c r="N926">
        <v>710</v>
      </c>
      <c r="O926">
        <v>74000</v>
      </c>
      <c r="P926" t="s">
        <v>36</v>
      </c>
      <c r="Q926" t="s">
        <v>27</v>
      </c>
      <c r="R926">
        <v>0</v>
      </c>
      <c r="S926" t="s">
        <v>28</v>
      </c>
    </row>
    <row r="927" spans="1:19">
      <c r="A927" t="s">
        <v>533</v>
      </c>
      <c r="B927" t="s">
        <v>2155</v>
      </c>
      <c r="C927" t="s">
        <v>52</v>
      </c>
      <c r="D927" t="s">
        <v>204</v>
      </c>
      <c r="E927" t="s">
        <v>259</v>
      </c>
      <c r="F927">
        <v>60</v>
      </c>
      <c r="G927" t="s">
        <v>34</v>
      </c>
      <c r="H927" t="s">
        <v>2156</v>
      </c>
      <c r="I927">
        <f>7-921-765-43-21</f>
        <v>-1743</v>
      </c>
      <c r="J927" s="1">
        <v>44430</v>
      </c>
      <c r="K927" s="1">
        <v>45301</v>
      </c>
      <c r="L927">
        <v>66700.25</v>
      </c>
      <c r="M927">
        <v>39800.9</v>
      </c>
      <c r="N927">
        <v>695</v>
      </c>
      <c r="O927">
        <v>109000</v>
      </c>
      <c r="P927" t="s">
        <v>26</v>
      </c>
      <c r="Q927" t="s">
        <v>27</v>
      </c>
      <c r="R927">
        <v>0</v>
      </c>
      <c r="S927" t="s">
        <v>28</v>
      </c>
    </row>
    <row r="928" spans="1:19">
      <c r="A928" t="s">
        <v>536</v>
      </c>
      <c r="B928" t="s">
        <v>2157</v>
      </c>
      <c r="C928" t="s">
        <v>39</v>
      </c>
      <c r="D928" t="s">
        <v>195</v>
      </c>
      <c r="E928" t="s">
        <v>196</v>
      </c>
      <c r="F928">
        <v>68</v>
      </c>
      <c r="G928" t="s">
        <v>24</v>
      </c>
      <c r="H928" t="s">
        <v>2158</v>
      </c>
      <c r="I928">
        <f>353-7-567-8901</f>
        <v>-9122</v>
      </c>
      <c r="J928" s="1">
        <v>43883</v>
      </c>
      <c r="K928" s="1">
        <v>45300</v>
      </c>
      <c r="L928">
        <v>147700.4</v>
      </c>
      <c r="M928">
        <v>89000.6</v>
      </c>
      <c r="N928">
        <v>670</v>
      </c>
      <c r="O928">
        <v>176000</v>
      </c>
      <c r="P928" t="s">
        <v>76</v>
      </c>
      <c r="Q928" t="s">
        <v>27</v>
      </c>
      <c r="R928">
        <v>0</v>
      </c>
      <c r="S928" t="s">
        <v>28</v>
      </c>
    </row>
    <row r="929" spans="1:19">
      <c r="A929" t="s">
        <v>539</v>
      </c>
      <c r="B929" t="s">
        <v>2159</v>
      </c>
      <c r="C929" t="s">
        <v>21</v>
      </c>
      <c r="D929" t="s">
        <v>58</v>
      </c>
      <c r="E929" t="s">
        <v>59</v>
      </c>
      <c r="F929">
        <v>76</v>
      </c>
      <c r="G929" t="s">
        <v>34</v>
      </c>
      <c r="H929" t="s">
        <v>2160</v>
      </c>
      <c r="I929">
        <f>86-139-4567-8901</f>
        <v>-13521</v>
      </c>
      <c r="J929" s="1">
        <v>43456</v>
      </c>
      <c r="K929" s="1">
        <v>45299</v>
      </c>
      <c r="L929">
        <v>314600.75</v>
      </c>
      <c r="M929">
        <v>106000.8</v>
      </c>
      <c r="N929">
        <v>835</v>
      </c>
      <c r="O929">
        <v>321000</v>
      </c>
      <c r="P929" t="s">
        <v>36</v>
      </c>
      <c r="Q929" t="s">
        <v>27</v>
      </c>
      <c r="R929">
        <v>0</v>
      </c>
      <c r="S929" t="s">
        <v>28</v>
      </c>
    </row>
    <row r="930" spans="1:19">
      <c r="A930" t="s">
        <v>542</v>
      </c>
      <c r="B930" t="s">
        <v>2161</v>
      </c>
      <c r="C930" t="s">
        <v>52</v>
      </c>
      <c r="D930" t="s">
        <v>68</v>
      </c>
      <c r="E930" t="s">
        <v>69</v>
      </c>
      <c r="F930">
        <v>63</v>
      </c>
      <c r="G930" t="s">
        <v>34</v>
      </c>
      <c r="H930" t="s">
        <v>2162</v>
      </c>
      <c r="I930">
        <f>234-835-678-9012</f>
        <v>-10291</v>
      </c>
      <c r="J930" s="1">
        <v>44399</v>
      </c>
      <c r="K930" s="1">
        <v>45302</v>
      </c>
      <c r="L930">
        <v>75400.600000000006</v>
      </c>
      <c r="M930">
        <v>45400.25</v>
      </c>
      <c r="N930">
        <v>665</v>
      </c>
      <c r="O930">
        <v>129000</v>
      </c>
      <c r="P930" t="s">
        <v>26</v>
      </c>
      <c r="Q930" t="s">
        <v>27</v>
      </c>
      <c r="R930">
        <v>0</v>
      </c>
      <c r="S930" t="s">
        <v>28</v>
      </c>
    </row>
    <row r="931" spans="1:19">
      <c r="A931" t="s">
        <v>545</v>
      </c>
      <c r="B931" t="s">
        <v>2163</v>
      </c>
      <c r="C931" t="s">
        <v>46</v>
      </c>
      <c r="D931" t="s">
        <v>241</v>
      </c>
      <c r="E931" t="s">
        <v>389</v>
      </c>
      <c r="F931">
        <v>55</v>
      </c>
      <c r="G931" t="s">
        <v>24</v>
      </c>
      <c r="H931" t="s">
        <v>2164</v>
      </c>
      <c r="I931">
        <f>39-369-345-6789</f>
        <v>-7464</v>
      </c>
      <c r="J931" s="1">
        <v>45038</v>
      </c>
      <c r="K931" s="1">
        <v>45303</v>
      </c>
      <c r="L931">
        <v>98700.800000000003</v>
      </c>
      <c r="M931">
        <v>52900.4</v>
      </c>
      <c r="N931">
        <v>750</v>
      </c>
      <c r="O931">
        <v>155000</v>
      </c>
      <c r="P931" t="s">
        <v>26</v>
      </c>
      <c r="Q931" t="s">
        <v>27</v>
      </c>
      <c r="R931">
        <v>0</v>
      </c>
      <c r="S931" t="s">
        <v>28</v>
      </c>
    </row>
    <row r="932" spans="1:19">
      <c r="A932" t="s">
        <v>548</v>
      </c>
      <c r="B932" t="s">
        <v>2165</v>
      </c>
      <c r="C932" t="s">
        <v>57</v>
      </c>
      <c r="D932" t="s">
        <v>22</v>
      </c>
      <c r="E932" t="s">
        <v>118</v>
      </c>
      <c r="F932">
        <v>51</v>
      </c>
      <c r="G932" t="s">
        <v>34</v>
      </c>
      <c r="H932" t="s">
        <v>2166</v>
      </c>
      <c r="I932">
        <f>1-310-555-198</f>
        <v>-1062</v>
      </c>
      <c r="J932" s="1">
        <v>45221</v>
      </c>
      <c r="K932" s="1">
        <v>45305</v>
      </c>
      <c r="L932">
        <v>37600.9</v>
      </c>
      <c r="M932">
        <v>14800.75</v>
      </c>
      <c r="N932">
        <v>770</v>
      </c>
      <c r="O932">
        <v>86000</v>
      </c>
      <c r="P932" t="s">
        <v>36</v>
      </c>
      <c r="Q932" t="s">
        <v>27</v>
      </c>
      <c r="R932">
        <v>0</v>
      </c>
      <c r="S932" t="s">
        <v>28</v>
      </c>
    </row>
    <row r="933" spans="1:19">
      <c r="A933" t="s">
        <v>551</v>
      </c>
      <c r="B933" t="s">
        <v>2167</v>
      </c>
      <c r="C933" t="s">
        <v>39</v>
      </c>
      <c r="D933" t="s">
        <v>313</v>
      </c>
      <c r="E933" t="s">
        <v>314</v>
      </c>
      <c r="F933">
        <v>74</v>
      </c>
      <c r="G933" t="s">
        <v>24</v>
      </c>
      <c r="H933" t="s">
        <v>2168</v>
      </c>
      <c r="I933">
        <f>92-321-8765432</f>
        <v>-8765661</v>
      </c>
      <c r="J933" s="1">
        <v>43638</v>
      </c>
      <c r="K933" s="1">
        <v>45299</v>
      </c>
      <c r="L933">
        <v>200800.25</v>
      </c>
      <c r="M933">
        <v>110000.8</v>
      </c>
      <c r="N933">
        <v>645</v>
      </c>
      <c r="O933">
        <v>226000</v>
      </c>
      <c r="P933" t="s">
        <v>76</v>
      </c>
      <c r="Q933" t="s">
        <v>27</v>
      </c>
      <c r="R933">
        <v>0</v>
      </c>
      <c r="S933" t="s">
        <v>28</v>
      </c>
    </row>
    <row r="934" spans="1:19">
      <c r="A934" t="s">
        <v>554</v>
      </c>
      <c r="B934" t="s">
        <v>2169</v>
      </c>
      <c r="C934" t="s">
        <v>31</v>
      </c>
      <c r="D934" t="s">
        <v>214</v>
      </c>
      <c r="E934" t="s">
        <v>724</v>
      </c>
      <c r="F934">
        <v>47</v>
      </c>
      <c r="G934" t="s">
        <v>34</v>
      </c>
      <c r="H934" t="s">
        <v>2170</v>
      </c>
      <c r="I934">
        <f>34-644-567-890</f>
        <v>-2067</v>
      </c>
      <c r="J934" s="1">
        <v>45471</v>
      </c>
      <c r="K934" s="1">
        <v>45306</v>
      </c>
      <c r="L934">
        <v>31200.5</v>
      </c>
      <c r="M934">
        <v>14400.4</v>
      </c>
      <c r="N934">
        <v>720</v>
      </c>
      <c r="O934">
        <v>63000</v>
      </c>
      <c r="P934" t="s">
        <v>36</v>
      </c>
      <c r="Q934" t="s">
        <v>27</v>
      </c>
      <c r="R934">
        <v>0</v>
      </c>
      <c r="S934" t="s">
        <v>28</v>
      </c>
    </row>
    <row r="935" spans="1:19">
      <c r="A935" t="s">
        <v>108</v>
      </c>
      <c r="B935" t="s">
        <v>2171</v>
      </c>
      <c r="C935" t="s">
        <v>84</v>
      </c>
      <c r="D935" t="s">
        <v>32</v>
      </c>
      <c r="E935" t="s">
        <v>33</v>
      </c>
      <c r="F935">
        <v>43</v>
      </c>
      <c r="G935" t="s">
        <v>24</v>
      </c>
      <c r="H935" t="s">
        <v>2172</v>
      </c>
      <c r="I935">
        <f>81-90-6789-123</f>
        <v>-6921</v>
      </c>
      <c r="J935" s="1">
        <v>45471</v>
      </c>
      <c r="K935" s="1">
        <v>45304</v>
      </c>
      <c r="L935">
        <v>3950.8</v>
      </c>
      <c r="M935">
        <v>12800.25</v>
      </c>
      <c r="N935">
        <v>605</v>
      </c>
      <c r="O935">
        <v>39000</v>
      </c>
      <c r="P935" t="s">
        <v>76</v>
      </c>
      <c r="Q935" t="s">
        <v>43</v>
      </c>
      <c r="R935">
        <v>0</v>
      </c>
      <c r="S935" t="s">
        <v>28</v>
      </c>
    </row>
    <row r="936" spans="1:19">
      <c r="A936" t="s">
        <v>559</v>
      </c>
      <c r="B936" t="s">
        <v>2173</v>
      </c>
      <c r="C936" t="s">
        <v>46</v>
      </c>
      <c r="D936" t="s">
        <v>254</v>
      </c>
      <c r="E936" t="s">
        <v>255</v>
      </c>
      <c r="F936">
        <v>57</v>
      </c>
      <c r="G936" t="s">
        <v>34</v>
      </c>
      <c r="H936" t="s">
        <v>2174</v>
      </c>
      <c r="I936">
        <f>221-99-345-6789</f>
        <v>-7012</v>
      </c>
      <c r="J936" s="1">
        <v>44917</v>
      </c>
      <c r="K936" s="1">
        <v>45302</v>
      </c>
      <c r="L936">
        <v>85400.4</v>
      </c>
      <c r="M936">
        <v>47600.75</v>
      </c>
      <c r="N936">
        <v>710</v>
      </c>
      <c r="O936">
        <v>137000</v>
      </c>
      <c r="P936" t="s">
        <v>26</v>
      </c>
      <c r="Q936" t="s">
        <v>27</v>
      </c>
      <c r="R936">
        <v>0</v>
      </c>
      <c r="S936" t="s">
        <v>28</v>
      </c>
    </row>
    <row r="937" spans="1:19">
      <c r="A937" t="s">
        <v>562</v>
      </c>
      <c r="B937" t="s">
        <v>2175</v>
      </c>
      <c r="C937" t="s">
        <v>39</v>
      </c>
      <c r="D937" t="s">
        <v>47</v>
      </c>
      <c r="E937" t="s">
        <v>48</v>
      </c>
      <c r="F937">
        <v>71</v>
      </c>
      <c r="G937" t="s">
        <v>24</v>
      </c>
      <c r="H937" t="s">
        <v>2176</v>
      </c>
      <c r="I937">
        <f>44-79-6789-123</f>
        <v>-6947</v>
      </c>
      <c r="J937" s="1">
        <v>43791</v>
      </c>
      <c r="K937" s="1">
        <v>45300</v>
      </c>
      <c r="L937">
        <v>181000.6</v>
      </c>
      <c r="M937">
        <v>103000.25</v>
      </c>
      <c r="N937">
        <v>675</v>
      </c>
      <c r="O937">
        <v>206000</v>
      </c>
      <c r="P937" t="s">
        <v>76</v>
      </c>
      <c r="Q937" t="s">
        <v>27</v>
      </c>
      <c r="R937">
        <v>0</v>
      </c>
      <c r="S937" t="s">
        <v>28</v>
      </c>
    </row>
    <row r="938" spans="1:19">
      <c r="A938" t="s">
        <v>565</v>
      </c>
      <c r="B938" t="s">
        <v>2177</v>
      </c>
      <c r="C938" t="s">
        <v>52</v>
      </c>
      <c r="D938" t="s">
        <v>233</v>
      </c>
      <c r="E938" t="s">
        <v>234</v>
      </c>
      <c r="F938">
        <v>56</v>
      </c>
      <c r="G938" t="s">
        <v>34</v>
      </c>
      <c r="H938" t="s">
        <v>2178</v>
      </c>
      <c r="I938">
        <f>82-10-5678-9012</f>
        <v>-14618</v>
      </c>
      <c r="J938" s="1">
        <v>44703</v>
      </c>
      <c r="K938" s="1">
        <v>45301</v>
      </c>
      <c r="L938">
        <v>61800.75</v>
      </c>
      <c r="M938">
        <v>38700.800000000003</v>
      </c>
      <c r="N938">
        <v>725</v>
      </c>
      <c r="O938">
        <v>103000</v>
      </c>
      <c r="P938" t="s">
        <v>26</v>
      </c>
      <c r="Q938" t="s">
        <v>27</v>
      </c>
      <c r="R938">
        <v>0</v>
      </c>
      <c r="S938" t="s">
        <v>28</v>
      </c>
    </row>
    <row r="939" spans="1:19">
      <c r="A939" t="s">
        <v>568</v>
      </c>
      <c r="B939" t="s">
        <v>2179</v>
      </c>
      <c r="C939" t="s">
        <v>57</v>
      </c>
      <c r="D939" t="s">
        <v>79</v>
      </c>
      <c r="E939" t="s">
        <v>80</v>
      </c>
      <c r="F939">
        <v>54</v>
      </c>
      <c r="G939" t="s">
        <v>24</v>
      </c>
      <c r="H939" t="s">
        <v>2180</v>
      </c>
      <c r="I939">
        <f>971-50-789-123</f>
        <v>9</v>
      </c>
      <c r="J939" s="1">
        <v>45160</v>
      </c>
      <c r="K939" s="1">
        <v>45303</v>
      </c>
      <c r="L939">
        <v>39800.400000000001</v>
      </c>
      <c r="M939">
        <v>15600.9</v>
      </c>
      <c r="N939">
        <v>740</v>
      </c>
      <c r="O939">
        <v>89000</v>
      </c>
      <c r="P939" t="s">
        <v>36</v>
      </c>
      <c r="Q939" t="s">
        <v>27</v>
      </c>
      <c r="R939">
        <v>0</v>
      </c>
      <c r="S939" t="s">
        <v>28</v>
      </c>
    </row>
    <row r="940" spans="1:19">
      <c r="A940" t="s">
        <v>571</v>
      </c>
      <c r="B940" t="s">
        <v>2181</v>
      </c>
      <c r="C940" t="s">
        <v>21</v>
      </c>
      <c r="D940" t="s">
        <v>63</v>
      </c>
      <c r="E940" t="s">
        <v>64</v>
      </c>
      <c r="F940">
        <v>77</v>
      </c>
      <c r="G940" t="s">
        <v>34</v>
      </c>
      <c r="H940" t="s">
        <v>2182</v>
      </c>
      <c r="I940">
        <f>55-11-99989-123</f>
        <v>-100068</v>
      </c>
      <c r="J940" s="1">
        <v>43334</v>
      </c>
      <c r="K940" s="1">
        <v>45299</v>
      </c>
      <c r="L940">
        <v>269900.90000000002</v>
      </c>
      <c r="M940">
        <v>93000.6</v>
      </c>
      <c r="N940">
        <v>830</v>
      </c>
      <c r="O940">
        <v>301000</v>
      </c>
      <c r="P940" t="s">
        <v>36</v>
      </c>
      <c r="Q940" t="s">
        <v>27</v>
      </c>
      <c r="R940">
        <v>0</v>
      </c>
      <c r="S940" t="s">
        <v>28</v>
      </c>
    </row>
    <row r="941" spans="1:19">
      <c r="A941" t="s">
        <v>574</v>
      </c>
      <c r="B941" t="s">
        <v>2183</v>
      </c>
      <c r="C941" t="s">
        <v>39</v>
      </c>
      <c r="D941" t="s">
        <v>68</v>
      </c>
      <c r="E941" t="s">
        <v>114</v>
      </c>
      <c r="F941">
        <v>69</v>
      </c>
      <c r="G941" t="s">
        <v>24</v>
      </c>
      <c r="H941" t="s">
        <v>2184</v>
      </c>
      <c r="I941">
        <f>234-836-789-123</f>
        <v>-1514</v>
      </c>
      <c r="J941" s="1">
        <v>43933</v>
      </c>
      <c r="K941" s="1">
        <v>45300</v>
      </c>
      <c r="L941">
        <v>158800.25</v>
      </c>
      <c r="M941">
        <v>95000.4</v>
      </c>
      <c r="N941">
        <v>655</v>
      </c>
      <c r="O941">
        <v>191000</v>
      </c>
      <c r="P941" t="s">
        <v>76</v>
      </c>
      <c r="Q941" t="s">
        <v>27</v>
      </c>
      <c r="R941">
        <v>0</v>
      </c>
      <c r="S941" t="s">
        <v>28</v>
      </c>
    </row>
    <row r="942" spans="1:19">
      <c r="A942" t="s">
        <v>577</v>
      </c>
      <c r="B942" t="s">
        <v>2185</v>
      </c>
      <c r="C942" t="s">
        <v>46</v>
      </c>
      <c r="D942" t="s">
        <v>85</v>
      </c>
      <c r="E942" t="s">
        <v>162</v>
      </c>
      <c r="F942">
        <v>58</v>
      </c>
      <c r="G942" t="s">
        <v>34</v>
      </c>
      <c r="H942" t="s">
        <v>2186</v>
      </c>
      <c r="I942">
        <f>1-514-555-198</f>
        <v>-1266</v>
      </c>
      <c r="J942" s="1">
        <v>44826</v>
      </c>
      <c r="K942" s="1">
        <v>45302</v>
      </c>
      <c r="L942">
        <v>104300.6</v>
      </c>
      <c r="M942">
        <v>55600.75</v>
      </c>
      <c r="N942">
        <v>760</v>
      </c>
      <c r="O942">
        <v>160000</v>
      </c>
      <c r="P942" t="s">
        <v>26</v>
      </c>
      <c r="Q942" t="s">
        <v>27</v>
      </c>
      <c r="R942">
        <v>0</v>
      </c>
      <c r="S942" t="s">
        <v>28</v>
      </c>
    </row>
    <row r="943" spans="1:19">
      <c r="A943" t="s">
        <v>458</v>
      </c>
      <c r="B943" t="s">
        <v>2187</v>
      </c>
      <c r="C943" t="s">
        <v>31</v>
      </c>
      <c r="D943" t="s">
        <v>460</v>
      </c>
      <c r="E943" t="s">
        <v>461</v>
      </c>
      <c r="F943">
        <v>49</v>
      </c>
      <c r="G943" t="s">
        <v>24</v>
      </c>
      <c r="H943" t="s">
        <v>2188</v>
      </c>
      <c r="I943">
        <f>62-833-4567-8901</f>
        <v>-14239</v>
      </c>
      <c r="J943" s="1">
        <v>45471</v>
      </c>
      <c r="K943" s="1">
        <v>45306</v>
      </c>
      <c r="L943">
        <v>18900.25</v>
      </c>
      <c r="M943">
        <v>11200.8</v>
      </c>
      <c r="N943">
        <v>695</v>
      </c>
      <c r="O943">
        <v>60000</v>
      </c>
      <c r="P943" t="s">
        <v>26</v>
      </c>
      <c r="Q943" t="s">
        <v>43</v>
      </c>
      <c r="R943">
        <v>0</v>
      </c>
      <c r="S943" t="s">
        <v>28</v>
      </c>
    </row>
    <row r="944" spans="1:19">
      <c r="A944" t="s">
        <v>582</v>
      </c>
      <c r="B944" t="s">
        <v>2189</v>
      </c>
      <c r="C944" t="s">
        <v>57</v>
      </c>
      <c r="D944" t="s">
        <v>22</v>
      </c>
      <c r="E944" t="s">
        <v>53</v>
      </c>
      <c r="F944">
        <v>52</v>
      </c>
      <c r="G944" t="s">
        <v>34</v>
      </c>
      <c r="H944" t="s">
        <v>2190</v>
      </c>
      <c r="I944">
        <f>1-773-555-194</f>
        <v>-1521</v>
      </c>
      <c r="J944" s="1">
        <v>45099</v>
      </c>
      <c r="K944" s="1">
        <v>45303</v>
      </c>
      <c r="L944">
        <v>38700.9</v>
      </c>
      <c r="M944">
        <v>15200.25</v>
      </c>
      <c r="N944">
        <v>755</v>
      </c>
      <c r="O944">
        <v>82000</v>
      </c>
      <c r="P944" t="s">
        <v>36</v>
      </c>
      <c r="Q944" t="s">
        <v>27</v>
      </c>
      <c r="R944">
        <v>0</v>
      </c>
      <c r="S944" t="s">
        <v>28</v>
      </c>
    </row>
    <row r="945" spans="1:19">
      <c r="A945" t="s">
        <v>55</v>
      </c>
      <c r="B945" t="s">
        <v>2191</v>
      </c>
      <c r="C945" t="s">
        <v>39</v>
      </c>
      <c r="D945" t="s">
        <v>58</v>
      </c>
      <c r="E945" t="s">
        <v>122</v>
      </c>
      <c r="F945">
        <v>70</v>
      </c>
      <c r="G945" t="s">
        <v>24</v>
      </c>
      <c r="H945" t="s">
        <v>2192</v>
      </c>
      <c r="I945">
        <f>86-138-8901-2345</f>
        <v>-11298</v>
      </c>
      <c r="J945" s="1">
        <v>43852</v>
      </c>
      <c r="K945" s="1">
        <v>45300</v>
      </c>
      <c r="L945">
        <v>191700.4</v>
      </c>
      <c r="M945">
        <v>108000.75</v>
      </c>
      <c r="N945">
        <v>685</v>
      </c>
      <c r="O945">
        <v>216000</v>
      </c>
      <c r="P945" t="s">
        <v>76</v>
      </c>
      <c r="Q945" t="s">
        <v>27</v>
      </c>
      <c r="R945">
        <v>0</v>
      </c>
      <c r="S945" t="s">
        <v>28</v>
      </c>
    </row>
    <row r="946" spans="1:19">
      <c r="A946" t="s">
        <v>469</v>
      </c>
      <c r="B946" t="s">
        <v>2193</v>
      </c>
      <c r="C946" t="s">
        <v>52</v>
      </c>
      <c r="D946" t="s">
        <v>471</v>
      </c>
      <c r="E946" t="s">
        <v>472</v>
      </c>
      <c r="F946">
        <v>61</v>
      </c>
      <c r="G946" t="s">
        <v>34</v>
      </c>
      <c r="H946" t="s">
        <v>2194</v>
      </c>
      <c r="I946">
        <f>48-721-345-678</f>
        <v>-1696</v>
      </c>
      <c r="J946" s="1">
        <v>44491</v>
      </c>
      <c r="K946" s="1">
        <v>45301</v>
      </c>
      <c r="L946">
        <v>68700.800000000003</v>
      </c>
      <c r="M946">
        <v>41800.6</v>
      </c>
      <c r="N946">
        <v>715</v>
      </c>
      <c r="O946">
        <v>115000</v>
      </c>
      <c r="P946" t="s">
        <v>26</v>
      </c>
      <c r="Q946" t="s">
        <v>27</v>
      </c>
      <c r="R946">
        <v>0</v>
      </c>
      <c r="S946" t="s">
        <v>28</v>
      </c>
    </row>
    <row r="947" spans="1:19">
      <c r="A947" t="s">
        <v>474</v>
      </c>
      <c r="B947" t="s">
        <v>2195</v>
      </c>
      <c r="C947" t="s">
        <v>46</v>
      </c>
      <c r="D947" t="s">
        <v>345</v>
      </c>
      <c r="E947" t="s">
        <v>346</v>
      </c>
      <c r="F947">
        <v>64</v>
      </c>
      <c r="G947" t="s">
        <v>24</v>
      </c>
      <c r="H947" t="s">
        <v>2196</v>
      </c>
      <c r="I947">
        <f>880-1812-567890</f>
        <v>-568822</v>
      </c>
      <c r="J947" s="1">
        <v>44399</v>
      </c>
      <c r="K947" s="1">
        <v>45302</v>
      </c>
      <c r="L947">
        <v>96500.25</v>
      </c>
      <c r="M947">
        <v>51800.4</v>
      </c>
      <c r="N947">
        <v>680</v>
      </c>
      <c r="O947">
        <v>144000</v>
      </c>
      <c r="P947" t="s">
        <v>26</v>
      </c>
      <c r="Q947" t="s">
        <v>27</v>
      </c>
      <c r="R947">
        <v>0</v>
      </c>
      <c r="S947" t="s">
        <v>28</v>
      </c>
    </row>
    <row r="948" spans="1:19">
      <c r="A948" t="s">
        <v>592</v>
      </c>
      <c r="B948" t="s">
        <v>2197</v>
      </c>
      <c r="C948" t="s">
        <v>84</v>
      </c>
      <c r="D948" t="s">
        <v>32</v>
      </c>
      <c r="E948" t="s">
        <v>90</v>
      </c>
      <c r="F948">
        <v>44</v>
      </c>
      <c r="G948" t="s">
        <v>34</v>
      </c>
      <c r="H948" t="s">
        <v>2198</v>
      </c>
      <c r="I948">
        <f>81-90-7890-1234</f>
        <v>-9133</v>
      </c>
      <c r="J948" s="1">
        <v>45478</v>
      </c>
      <c r="K948" s="1">
        <v>45304</v>
      </c>
      <c r="L948">
        <v>4050.4</v>
      </c>
      <c r="M948">
        <v>13400.75</v>
      </c>
      <c r="N948">
        <v>610</v>
      </c>
      <c r="O948">
        <v>40000</v>
      </c>
      <c r="P948" t="s">
        <v>76</v>
      </c>
      <c r="Q948" t="s">
        <v>43</v>
      </c>
      <c r="R948">
        <v>0</v>
      </c>
      <c r="S948" t="s">
        <v>28</v>
      </c>
    </row>
    <row r="949" spans="1:19">
      <c r="A949" t="s">
        <v>595</v>
      </c>
      <c r="B949" t="s">
        <v>2199</v>
      </c>
      <c r="C949" t="s">
        <v>21</v>
      </c>
      <c r="D949" t="s">
        <v>209</v>
      </c>
      <c r="E949" t="s">
        <v>210</v>
      </c>
      <c r="F949">
        <v>76</v>
      </c>
      <c r="G949" t="s">
        <v>24</v>
      </c>
      <c r="H949" t="s">
        <v>2200</v>
      </c>
      <c r="I949">
        <f>52-55-5678-123</f>
        <v>-5804</v>
      </c>
      <c r="J949" s="1">
        <v>43546</v>
      </c>
      <c r="K949" s="1">
        <v>45299</v>
      </c>
      <c r="L949">
        <v>289700.8</v>
      </c>
      <c r="M949">
        <v>99000.25</v>
      </c>
      <c r="N949">
        <v>825</v>
      </c>
      <c r="O949">
        <v>296000</v>
      </c>
      <c r="P949" t="s">
        <v>36</v>
      </c>
      <c r="Q949" t="s">
        <v>27</v>
      </c>
      <c r="R949">
        <v>0</v>
      </c>
      <c r="S949" t="s">
        <v>28</v>
      </c>
    </row>
    <row r="950" spans="1:19">
      <c r="A950" t="s">
        <v>226</v>
      </c>
      <c r="B950" t="s">
        <v>2201</v>
      </c>
      <c r="C950" t="s">
        <v>57</v>
      </c>
      <c r="D950" t="s">
        <v>228</v>
      </c>
      <c r="E950" t="s">
        <v>229</v>
      </c>
      <c r="F950">
        <v>51</v>
      </c>
      <c r="G950" t="s">
        <v>34</v>
      </c>
      <c r="H950" t="s">
        <v>2202</v>
      </c>
      <c r="I950">
        <f>254-745-678-901</f>
        <v>-2070</v>
      </c>
      <c r="J950" s="1">
        <v>45282</v>
      </c>
      <c r="K950" s="1">
        <v>45305</v>
      </c>
      <c r="L950">
        <v>35400.75</v>
      </c>
      <c r="M950">
        <v>13600.4</v>
      </c>
      <c r="N950">
        <v>725</v>
      </c>
      <c r="O950">
        <v>72000</v>
      </c>
      <c r="P950" t="s">
        <v>36</v>
      </c>
      <c r="Q950" t="s">
        <v>27</v>
      </c>
      <c r="R950">
        <v>0</v>
      </c>
      <c r="S950" t="s">
        <v>28</v>
      </c>
    </row>
    <row r="951" spans="1:19">
      <c r="A951" t="s">
        <v>488</v>
      </c>
      <c r="B951" t="s">
        <v>2203</v>
      </c>
      <c r="C951" t="s">
        <v>39</v>
      </c>
      <c r="D951" t="s">
        <v>304</v>
      </c>
      <c r="E951" t="s">
        <v>304</v>
      </c>
      <c r="F951">
        <v>68</v>
      </c>
      <c r="G951" t="s">
        <v>24</v>
      </c>
      <c r="H951" t="s">
        <v>2204</v>
      </c>
      <c r="I951">
        <f>65-490-1234</f>
        <v>-1659</v>
      </c>
      <c r="J951" s="1">
        <v>44024</v>
      </c>
      <c r="K951" s="1">
        <v>45300</v>
      </c>
      <c r="L951">
        <v>169900.6</v>
      </c>
      <c r="M951">
        <v>99000.9</v>
      </c>
      <c r="N951">
        <v>675</v>
      </c>
      <c r="O951">
        <v>196000</v>
      </c>
      <c r="P951" t="s">
        <v>76</v>
      </c>
      <c r="Q951" t="s">
        <v>27</v>
      </c>
      <c r="R951">
        <v>0</v>
      </c>
      <c r="S951" t="s">
        <v>28</v>
      </c>
    </row>
    <row r="952" spans="1:19">
      <c r="A952" t="s">
        <v>491</v>
      </c>
      <c r="B952" t="s">
        <v>2205</v>
      </c>
      <c r="C952" t="s">
        <v>52</v>
      </c>
      <c r="D952" t="s">
        <v>493</v>
      </c>
      <c r="E952" t="s">
        <v>494</v>
      </c>
      <c r="F952">
        <v>59</v>
      </c>
      <c r="G952" t="s">
        <v>34</v>
      </c>
      <c r="H952" t="s">
        <v>2206</v>
      </c>
      <c r="I952">
        <f>30-713-456-7890</f>
        <v>-9029</v>
      </c>
      <c r="J952" s="1">
        <v>44795</v>
      </c>
      <c r="K952" s="1">
        <v>45302</v>
      </c>
      <c r="L952">
        <v>62900.4</v>
      </c>
      <c r="M952">
        <v>37600.25</v>
      </c>
      <c r="N952">
        <v>705</v>
      </c>
      <c r="O952">
        <v>104000</v>
      </c>
      <c r="P952" t="s">
        <v>26</v>
      </c>
      <c r="Q952" t="s">
        <v>27</v>
      </c>
      <c r="R952">
        <v>0</v>
      </c>
      <c r="S952" t="s">
        <v>28</v>
      </c>
    </row>
    <row r="953" spans="1:19">
      <c r="A953" t="s">
        <v>496</v>
      </c>
      <c r="B953" t="s">
        <v>2207</v>
      </c>
      <c r="C953" t="s">
        <v>46</v>
      </c>
      <c r="D953" t="s">
        <v>321</v>
      </c>
      <c r="E953" t="s">
        <v>498</v>
      </c>
      <c r="F953">
        <v>62</v>
      </c>
      <c r="G953" t="s">
        <v>24</v>
      </c>
      <c r="H953" t="s">
        <v>2208</v>
      </c>
      <c r="I953">
        <f>61-445-678-901</f>
        <v>-1963</v>
      </c>
      <c r="J953" s="1">
        <v>44277</v>
      </c>
      <c r="K953" s="1">
        <v>45301</v>
      </c>
      <c r="L953">
        <v>109100.75</v>
      </c>
      <c r="M953">
        <v>58700.800000000003</v>
      </c>
      <c r="N953">
        <v>730</v>
      </c>
      <c r="O953">
        <v>170000</v>
      </c>
      <c r="P953" t="s">
        <v>26</v>
      </c>
      <c r="Q953" t="s">
        <v>27</v>
      </c>
      <c r="R953">
        <v>0</v>
      </c>
      <c r="S953" t="s">
        <v>28</v>
      </c>
    </row>
    <row r="954" spans="1:19">
      <c r="A954" t="s">
        <v>324</v>
      </c>
      <c r="B954" t="s">
        <v>2209</v>
      </c>
      <c r="C954" t="s">
        <v>31</v>
      </c>
      <c r="D954" t="s">
        <v>313</v>
      </c>
      <c r="E954" t="s">
        <v>385</v>
      </c>
      <c r="F954">
        <v>47</v>
      </c>
      <c r="G954" t="s">
        <v>34</v>
      </c>
      <c r="H954" t="s">
        <v>2210</v>
      </c>
      <c r="I954">
        <f>92-343-7654321</f>
        <v>-7654572</v>
      </c>
      <c r="J954" s="1">
        <v>45471</v>
      </c>
      <c r="K954" s="1">
        <v>45306</v>
      </c>
      <c r="L954">
        <v>16200.9</v>
      </c>
      <c r="M954">
        <v>9500.75</v>
      </c>
      <c r="N954">
        <v>685</v>
      </c>
      <c r="O954">
        <v>57000</v>
      </c>
      <c r="P954" t="s">
        <v>26</v>
      </c>
      <c r="Q954" t="s">
        <v>43</v>
      </c>
      <c r="R954">
        <v>0</v>
      </c>
      <c r="S954" t="s">
        <v>28</v>
      </c>
    </row>
    <row r="955" spans="1:19">
      <c r="A955" t="s">
        <v>503</v>
      </c>
      <c r="B955" t="s">
        <v>2211</v>
      </c>
      <c r="C955" t="s">
        <v>21</v>
      </c>
      <c r="D955" t="s">
        <v>32</v>
      </c>
      <c r="E955" t="s">
        <v>33</v>
      </c>
      <c r="F955">
        <v>79</v>
      </c>
      <c r="G955" t="s">
        <v>24</v>
      </c>
      <c r="H955" t="s">
        <v>2212</v>
      </c>
      <c r="I955">
        <f>81-80-3456-7890</f>
        <v>-11345</v>
      </c>
      <c r="J955" s="1">
        <v>43273</v>
      </c>
      <c r="K955" s="1">
        <v>45299</v>
      </c>
      <c r="L955">
        <v>300600.25</v>
      </c>
      <c r="M955">
        <v>103000.4</v>
      </c>
      <c r="N955">
        <v>840</v>
      </c>
      <c r="O955">
        <v>311000</v>
      </c>
      <c r="P955" t="s">
        <v>36</v>
      </c>
      <c r="Q955" t="s">
        <v>27</v>
      </c>
      <c r="R955">
        <v>0</v>
      </c>
      <c r="S955" t="s">
        <v>28</v>
      </c>
    </row>
    <row r="956" spans="1:19">
      <c r="A956" t="s">
        <v>506</v>
      </c>
      <c r="B956" t="s">
        <v>2213</v>
      </c>
      <c r="C956" t="s">
        <v>39</v>
      </c>
      <c r="D956" t="s">
        <v>68</v>
      </c>
      <c r="E956" t="s">
        <v>69</v>
      </c>
      <c r="F956">
        <v>71</v>
      </c>
      <c r="G956" t="s">
        <v>34</v>
      </c>
      <c r="H956" t="s">
        <v>2214</v>
      </c>
      <c r="I956">
        <f>234-835-678-9012</f>
        <v>-10291</v>
      </c>
      <c r="J956" s="1">
        <v>43791</v>
      </c>
      <c r="K956" s="1">
        <v>45300</v>
      </c>
      <c r="L956">
        <v>181000.4</v>
      </c>
      <c r="M956">
        <v>103000.75</v>
      </c>
      <c r="N956">
        <v>650</v>
      </c>
      <c r="O956">
        <v>206000</v>
      </c>
      <c r="P956" t="s">
        <v>76</v>
      </c>
      <c r="Q956" t="s">
        <v>27</v>
      </c>
      <c r="R956">
        <v>0</v>
      </c>
      <c r="S956" t="s">
        <v>28</v>
      </c>
    </row>
    <row r="957" spans="1:19">
      <c r="A957" t="s">
        <v>509</v>
      </c>
      <c r="B957" t="s">
        <v>2215</v>
      </c>
      <c r="C957" t="s">
        <v>46</v>
      </c>
      <c r="D957" t="s">
        <v>73</v>
      </c>
      <c r="E957" t="s">
        <v>74</v>
      </c>
      <c r="F957">
        <v>58</v>
      </c>
      <c r="G957" t="s">
        <v>24</v>
      </c>
      <c r="H957" t="s">
        <v>2216</v>
      </c>
      <c r="I957">
        <f>49-197-8901234</f>
        <v>-8901382</v>
      </c>
      <c r="J957" s="1">
        <v>45007</v>
      </c>
      <c r="K957" s="1">
        <v>45303</v>
      </c>
      <c r="L957">
        <v>97600.4</v>
      </c>
      <c r="M957">
        <v>52900.25</v>
      </c>
      <c r="N957">
        <v>745</v>
      </c>
      <c r="O957">
        <v>150000</v>
      </c>
      <c r="P957" t="s">
        <v>26</v>
      </c>
      <c r="Q957" t="s">
        <v>27</v>
      </c>
      <c r="R957">
        <v>0</v>
      </c>
      <c r="S957" t="s">
        <v>28</v>
      </c>
    </row>
    <row r="958" spans="1:19">
      <c r="A958" t="s">
        <v>513</v>
      </c>
      <c r="B958" t="s">
        <v>2217</v>
      </c>
      <c r="C958" t="s">
        <v>57</v>
      </c>
      <c r="D958" t="s">
        <v>58</v>
      </c>
      <c r="E958" t="s">
        <v>122</v>
      </c>
      <c r="F958">
        <v>53</v>
      </c>
      <c r="G958" t="s">
        <v>34</v>
      </c>
      <c r="H958" t="s">
        <v>2218</v>
      </c>
      <c r="I958">
        <f>86-137-8901-2345</f>
        <v>-11297</v>
      </c>
      <c r="J958" s="1">
        <v>45191</v>
      </c>
      <c r="K958" s="1">
        <v>45302</v>
      </c>
      <c r="L958">
        <v>37600.800000000003</v>
      </c>
      <c r="M958">
        <v>14800.9</v>
      </c>
      <c r="N958">
        <v>765</v>
      </c>
      <c r="O958">
        <v>82000</v>
      </c>
      <c r="P958" t="s">
        <v>36</v>
      </c>
      <c r="Q958" t="s">
        <v>27</v>
      </c>
      <c r="R958">
        <v>0</v>
      </c>
      <c r="S958" t="s">
        <v>28</v>
      </c>
    </row>
    <row r="959" spans="1:19">
      <c r="A959" t="s">
        <v>516</v>
      </c>
      <c r="B959" t="s">
        <v>2219</v>
      </c>
      <c r="C959" t="s">
        <v>52</v>
      </c>
      <c r="D959" t="s">
        <v>277</v>
      </c>
      <c r="E959" t="s">
        <v>404</v>
      </c>
      <c r="F959">
        <v>66</v>
      </c>
      <c r="G959" t="s">
        <v>24</v>
      </c>
      <c r="H959" t="s">
        <v>2220</v>
      </c>
      <c r="I959">
        <f>20-122-876-5432</f>
        <v>-6410</v>
      </c>
      <c r="J959" s="1">
        <v>44461</v>
      </c>
      <c r="K959" s="1">
        <v>45301</v>
      </c>
      <c r="L959">
        <v>70900.75</v>
      </c>
      <c r="M959">
        <v>44000.4</v>
      </c>
      <c r="N959">
        <v>675</v>
      </c>
      <c r="O959">
        <v>122000</v>
      </c>
      <c r="P959" t="s">
        <v>26</v>
      </c>
      <c r="Q959" t="s">
        <v>27</v>
      </c>
      <c r="R959">
        <v>0</v>
      </c>
      <c r="S959" t="s">
        <v>28</v>
      </c>
    </row>
    <row r="960" spans="1:19">
      <c r="A960" t="s">
        <v>519</v>
      </c>
      <c r="B960" t="s">
        <v>2221</v>
      </c>
      <c r="C960" t="s">
        <v>84</v>
      </c>
      <c r="D960" t="s">
        <v>183</v>
      </c>
      <c r="E960" t="s">
        <v>184</v>
      </c>
      <c r="F960">
        <v>45</v>
      </c>
      <c r="G960" t="s">
        <v>34</v>
      </c>
      <c r="H960" t="s">
        <v>2222</v>
      </c>
      <c r="I960">
        <f>33-6-5678-9012</f>
        <v>-14663</v>
      </c>
      <c r="J960" s="1">
        <v>45485</v>
      </c>
      <c r="K960" s="1">
        <v>45304</v>
      </c>
      <c r="L960">
        <v>4300.25</v>
      </c>
      <c r="M960">
        <v>14600.6</v>
      </c>
      <c r="N960">
        <v>615</v>
      </c>
      <c r="O960">
        <v>42000</v>
      </c>
      <c r="P960" t="s">
        <v>76</v>
      </c>
      <c r="Q960" t="s">
        <v>43</v>
      </c>
      <c r="R960">
        <v>0</v>
      </c>
      <c r="S960" t="s">
        <v>28</v>
      </c>
    </row>
    <row r="961" spans="1:19">
      <c r="A961" t="s">
        <v>522</v>
      </c>
      <c r="B961" t="s">
        <v>2223</v>
      </c>
      <c r="C961" t="s">
        <v>39</v>
      </c>
      <c r="D961" t="s">
        <v>40</v>
      </c>
      <c r="E961" t="s">
        <v>41</v>
      </c>
      <c r="F961">
        <v>73</v>
      </c>
      <c r="G961" t="s">
        <v>24</v>
      </c>
      <c r="H961" t="s">
        <v>2224</v>
      </c>
      <c r="I961">
        <f>91-987-654-3210</f>
        <v>-4760</v>
      </c>
      <c r="J961" s="1">
        <v>43760</v>
      </c>
      <c r="K961" s="1">
        <v>45299</v>
      </c>
      <c r="L961">
        <v>215600.8</v>
      </c>
      <c r="M961">
        <v>116000.25</v>
      </c>
      <c r="N961">
        <v>660</v>
      </c>
      <c r="O961">
        <v>241000</v>
      </c>
      <c r="P961" t="s">
        <v>76</v>
      </c>
      <c r="Q961" t="s">
        <v>27</v>
      </c>
      <c r="R961">
        <v>0</v>
      </c>
      <c r="S961" t="s">
        <v>28</v>
      </c>
    </row>
    <row r="962" spans="1:19">
      <c r="A962" t="s">
        <v>306</v>
      </c>
      <c r="B962" t="s">
        <v>2225</v>
      </c>
      <c r="C962" t="s">
        <v>46</v>
      </c>
      <c r="D962" t="s">
        <v>209</v>
      </c>
      <c r="E962" t="s">
        <v>447</v>
      </c>
      <c r="F962">
        <v>60</v>
      </c>
      <c r="G962" t="s">
        <v>34</v>
      </c>
      <c r="H962" t="s">
        <v>2226</v>
      </c>
      <c r="I962">
        <f>52-33-6789-123</f>
        <v>-6893</v>
      </c>
      <c r="J962" s="1">
        <v>44614</v>
      </c>
      <c r="K962" s="1">
        <v>45302</v>
      </c>
      <c r="L962">
        <v>92000.9</v>
      </c>
      <c r="M962">
        <v>49800.75</v>
      </c>
      <c r="N962">
        <v>730</v>
      </c>
      <c r="O962">
        <v>145000</v>
      </c>
      <c r="P962" t="s">
        <v>26</v>
      </c>
      <c r="Q962" t="s">
        <v>27</v>
      </c>
      <c r="R962">
        <v>0</v>
      </c>
      <c r="S962" t="s">
        <v>28</v>
      </c>
    </row>
    <row r="963" spans="1:19">
      <c r="A963" t="s">
        <v>527</v>
      </c>
      <c r="B963" t="s">
        <v>2227</v>
      </c>
      <c r="C963" t="s">
        <v>31</v>
      </c>
      <c r="D963" t="s">
        <v>32</v>
      </c>
      <c r="E963" t="s">
        <v>90</v>
      </c>
      <c r="F963">
        <v>49</v>
      </c>
      <c r="G963" t="s">
        <v>34</v>
      </c>
      <c r="H963" t="s">
        <v>2228</v>
      </c>
      <c r="I963">
        <f>81-90-4567-8901</f>
        <v>-13477</v>
      </c>
      <c r="J963" s="1">
        <v>45481</v>
      </c>
      <c r="K963" s="1">
        <v>45305</v>
      </c>
      <c r="L963">
        <v>17300.400000000001</v>
      </c>
      <c r="M963">
        <v>9600.25</v>
      </c>
      <c r="N963">
        <v>705</v>
      </c>
      <c r="O963">
        <v>59000</v>
      </c>
      <c r="P963" t="s">
        <v>26</v>
      </c>
      <c r="Q963" t="s">
        <v>43</v>
      </c>
      <c r="R963">
        <v>0</v>
      </c>
      <c r="S963" t="s">
        <v>28</v>
      </c>
    </row>
    <row r="964" spans="1:19">
      <c r="A964" t="s">
        <v>530</v>
      </c>
      <c r="B964" t="s">
        <v>2229</v>
      </c>
      <c r="C964" t="s">
        <v>57</v>
      </c>
      <c r="D964" t="s">
        <v>219</v>
      </c>
      <c r="E964" t="s">
        <v>220</v>
      </c>
      <c r="F964">
        <v>54</v>
      </c>
      <c r="G964" t="s">
        <v>24</v>
      </c>
      <c r="H964" t="s">
        <v>2230</v>
      </c>
      <c r="I964">
        <f>233-76-789-123</f>
        <v>-755</v>
      </c>
      <c r="J964" s="1">
        <v>45160</v>
      </c>
      <c r="K964" s="1">
        <v>45303</v>
      </c>
      <c r="L964">
        <v>36500.6</v>
      </c>
      <c r="M964">
        <v>14200.8</v>
      </c>
      <c r="N964">
        <v>710</v>
      </c>
      <c r="O964">
        <v>75000</v>
      </c>
      <c r="P964" t="s">
        <v>36</v>
      </c>
      <c r="Q964" t="s">
        <v>27</v>
      </c>
      <c r="R964">
        <v>0</v>
      </c>
      <c r="S964" t="s">
        <v>28</v>
      </c>
    </row>
    <row r="965" spans="1:19">
      <c r="A965" t="s">
        <v>533</v>
      </c>
      <c r="B965" t="s">
        <v>2231</v>
      </c>
      <c r="C965" t="s">
        <v>52</v>
      </c>
      <c r="D965" t="s">
        <v>204</v>
      </c>
      <c r="E965" t="s">
        <v>259</v>
      </c>
      <c r="F965">
        <v>61</v>
      </c>
      <c r="G965" t="s">
        <v>34</v>
      </c>
      <c r="H965" t="s">
        <v>2232</v>
      </c>
      <c r="I965">
        <f>7-921-654-32-10</f>
        <v>-1610</v>
      </c>
      <c r="J965" s="1">
        <v>44461</v>
      </c>
      <c r="K965" s="1">
        <v>45301</v>
      </c>
      <c r="L965">
        <v>67800.25</v>
      </c>
      <c r="M965">
        <v>40900.9</v>
      </c>
      <c r="N965">
        <v>695</v>
      </c>
      <c r="O965">
        <v>110000</v>
      </c>
      <c r="P965" t="s">
        <v>26</v>
      </c>
      <c r="Q965" t="s">
        <v>27</v>
      </c>
      <c r="R965">
        <v>0</v>
      </c>
      <c r="S965" t="s">
        <v>28</v>
      </c>
    </row>
    <row r="966" spans="1:19">
      <c r="A966" t="s">
        <v>536</v>
      </c>
      <c r="B966" t="s">
        <v>2233</v>
      </c>
      <c r="C966" t="s">
        <v>39</v>
      </c>
      <c r="D966" t="s">
        <v>195</v>
      </c>
      <c r="E966" t="s">
        <v>300</v>
      </c>
      <c r="F966">
        <v>69</v>
      </c>
      <c r="G966" t="s">
        <v>24</v>
      </c>
      <c r="H966" t="s">
        <v>2234</v>
      </c>
      <c r="I966">
        <f>353-8-678-9012</f>
        <v>-9345</v>
      </c>
      <c r="J966" s="1">
        <v>43912</v>
      </c>
      <c r="K966" s="1">
        <v>45300</v>
      </c>
      <c r="L966">
        <v>147800.4</v>
      </c>
      <c r="M966">
        <v>90000.6</v>
      </c>
      <c r="N966">
        <v>670</v>
      </c>
      <c r="O966">
        <v>177000</v>
      </c>
      <c r="P966" t="s">
        <v>76</v>
      </c>
      <c r="Q966" t="s">
        <v>27</v>
      </c>
      <c r="R966">
        <v>0</v>
      </c>
      <c r="S966" t="s">
        <v>28</v>
      </c>
    </row>
    <row r="967" spans="1:19">
      <c r="A967" t="s">
        <v>539</v>
      </c>
      <c r="B967" t="s">
        <v>2235</v>
      </c>
      <c r="C967" t="s">
        <v>21</v>
      </c>
      <c r="D967" t="s">
        <v>58</v>
      </c>
      <c r="E967" t="s">
        <v>59</v>
      </c>
      <c r="F967">
        <v>77</v>
      </c>
      <c r="G967" t="s">
        <v>34</v>
      </c>
      <c r="H967" t="s">
        <v>2236</v>
      </c>
      <c r="I967">
        <f>86-139-5678-9012</f>
        <v>-14743</v>
      </c>
      <c r="J967" s="1">
        <v>43487</v>
      </c>
      <c r="K967" s="1">
        <v>45299</v>
      </c>
      <c r="L967">
        <v>314700.75</v>
      </c>
      <c r="M967">
        <v>107000.8</v>
      </c>
      <c r="N967">
        <v>835</v>
      </c>
      <c r="O967">
        <v>322000</v>
      </c>
      <c r="P967" t="s">
        <v>36</v>
      </c>
      <c r="Q967" t="s">
        <v>27</v>
      </c>
      <c r="R967">
        <v>0</v>
      </c>
      <c r="S967" t="s">
        <v>28</v>
      </c>
    </row>
    <row r="968" spans="1:19">
      <c r="A968" t="s">
        <v>542</v>
      </c>
      <c r="B968" t="s">
        <v>2237</v>
      </c>
      <c r="C968" t="s">
        <v>52</v>
      </c>
      <c r="D968" t="s">
        <v>68</v>
      </c>
      <c r="E968" t="s">
        <v>179</v>
      </c>
      <c r="F968">
        <v>64</v>
      </c>
      <c r="G968" t="s">
        <v>34</v>
      </c>
      <c r="H968" t="s">
        <v>2238</v>
      </c>
      <c r="I968">
        <f>234-836-789-123</f>
        <v>-1514</v>
      </c>
      <c r="J968" s="1">
        <v>44430</v>
      </c>
      <c r="K968" s="1">
        <v>45302</v>
      </c>
      <c r="L968">
        <v>76500.600000000006</v>
      </c>
      <c r="M968">
        <v>46500.25</v>
      </c>
      <c r="N968">
        <v>665</v>
      </c>
      <c r="O968">
        <v>130000</v>
      </c>
      <c r="P968" t="s">
        <v>26</v>
      </c>
      <c r="Q968" t="s">
        <v>27</v>
      </c>
      <c r="R968">
        <v>0</v>
      </c>
      <c r="S968" t="s">
        <v>28</v>
      </c>
    </row>
    <row r="969" spans="1:19">
      <c r="A969" t="s">
        <v>545</v>
      </c>
      <c r="B969" t="s">
        <v>2239</v>
      </c>
      <c r="C969" t="s">
        <v>46</v>
      </c>
      <c r="D969" t="s">
        <v>241</v>
      </c>
      <c r="E969" t="s">
        <v>242</v>
      </c>
      <c r="F969">
        <v>56</v>
      </c>
      <c r="G969" t="s">
        <v>24</v>
      </c>
      <c r="H969" t="s">
        <v>2240</v>
      </c>
      <c r="I969">
        <f>39-370-456-7890</f>
        <v>-8677</v>
      </c>
      <c r="J969" s="1">
        <v>45068</v>
      </c>
      <c r="K969" s="1">
        <v>45303</v>
      </c>
      <c r="L969">
        <v>99800.8</v>
      </c>
      <c r="M969">
        <v>54000.4</v>
      </c>
      <c r="N969">
        <v>750</v>
      </c>
      <c r="O969">
        <v>156000</v>
      </c>
      <c r="P969" t="s">
        <v>26</v>
      </c>
      <c r="Q969" t="s">
        <v>27</v>
      </c>
      <c r="R969">
        <v>0</v>
      </c>
      <c r="S969" t="s">
        <v>28</v>
      </c>
    </row>
    <row r="970" spans="1:19">
      <c r="A970" t="s">
        <v>548</v>
      </c>
      <c r="B970" t="s">
        <v>2241</v>
      </c>
      <c r="C970" t="s">
        <v>57</v>
      </c>
      <c r="D970" t="s">
        <v>22</v>
      </c>
      <c r="E970" t="s">
        <v>381</v>
      </c>
      <c r="F970">
        <v>52</v>
      </c>
      <c r="G970" t="s">
        <v>34</v>
      </c>
      <c r="H970" t="s">
        <v>2242</v>
      </c>
      <c r="I970">
        <f>1-415-555-194</f>
        <v>-1163</v>
      </c>
      <c r="J970" s="1">
        <v>45252</v>
      </c>
      <c r="K970" s="1">
        <v>45305</v>
      </c>
      <c r="L970">
        <v>38700.9</v>
      </c>
      <c r="M970">
        <v>15200.75</v>
      </c>
      <c r="N970">
        <v>770</v>
      </c>
      <c r="O970">
        <v>87000</v>
      </c>
      <c r="P970" t="s">
        <v>36</v>
      </c>
      <c r="Q970" t="s">
        <v>27</v>
      </c>
      <c r="R970">
        <v>0</v>
      </c>
      <c r="S970" t="s">
        <v>28</v>
      </c>
    </row>
    <row r="971" spans="1:19">
      <c r="A971" t="s">
        <v>551</v>
      </c>
      <c r="B971" t="s">
        <v>2243</v>
      </c>
      <c r="C971" t="s">
        <v>39</v>
      </c>
      <c r="D971" t="s">
        <v>313</v>
      </c>
      <c r="E971" t="s">
        <v>501</v>
      </c>
      <c r="F971">
        <v>75</v>
      </c>
      <c r="G971" t="s">
        <v>24</v>
      </c>
      <c r="H971" t="s">
        <v>2244</v>
      </c>
      <c r="I971">
        <f>92-322-7654321</f>
        <v>-7654551</v>
      </c>
      <c r="J971" s="1">
        <v>43668</v>
      </c>
      <c r="K971" s="1">
        <v>45299</v>
      </c>
      <c r="L971">
        <v>200900.25</v>
      </c>
      <c r="M971">
        <v>111000.8</v>
      </c>
      <c r="N971">
        <v>645</v>
      </c>
      <c r="O971">
        <v>227000</v>
      </c>
      <c r="P971" t="s">
        <v>76</v>
      </c>
      <c r="Q971" t="s">
        <v>27</v>
      </c>
      <c r="R971">
        <v>0</v>
      </c>
      <c r="S971" t="s">
        <v>28</v>
      </c>
    </row>
    <row r="972" spans="1:19">
      <c r="A972" t="s">
        <v>554</v>
      </c>
      <c r="B972" t="s">
        <v>2245</v>
      </c>
      <c r="C972" t="s">
        <v>31</v>
      </c>
      <c r="D972" t="s">
        <v>214</v>
      </c>
      <c r="E972" t="s">
        <v>483</v>
      </c>
      <c r="F972">
        <v>48</v>
      </c>
      <c r="G972" t="s">
        <v>34</v>
      </c>
      <c r="H972" t="s">
        <v>2246</v>
      </c>
      <c r="I972">
        <f>34-645-678-901</f>
        <v>-2190</v>
      </c>
      <c r="J972" s="1">
        <v>45485</v>
      </c>
      <c r="K972" s="1">
        <v>45306</v>
      </c>
      <c r="L972">
        <v>32200.5</v>
      </c>
      <c r="M972">
        <v>14800.4</v>
      </c>
      <c r="N972">
        <v>720</v>
      </c>
      <c r="O972">
        <v>64000</v>
      </c>
      <c r="P972" t="s">
        <v>36</v>
      </c>
      <c r="Q972" t="s">
        <v>27</v>
      </c>
      <c r="R972">
        <v>0</v>
      </c>
      <c r="S972" t="s">
        <v>28</v>
      </c>
    </row>
    <row r="973" spans="1:19">
      <c r="A973" t="s">
        <v>108</v>
      </c>
      <c r="B973" t="s">
        <v>2247</v>
      </c>
      <c r="C973" t="s">
        <v>84</v>
      </c>
      <c r="D973" t="s">
        <v>32</v>
      </c>
      <c r="E973" t="s">
        <v>33</v>
      </c>
      <c r="F973">
        <v>44</v>
      </c>
      <c r="G973" t="s">
        <v>24</v>
      </c>
      <c r="H973" t="s">
        <v>2248</v>
      </c>
      <c r="I973">
        <f>81-90-7890-1234</f>
        <v>-9133</v>
      </c>
      <c r="J973" s="1">
        <v>45488</v>
      </c>
      <c r="K973" s="1">
        <v>45304</v>
      </c>
      <c r="L973">
        <v>4050.8</v>
      </c>
      <c r="M973">
        <v>13000.25</v>
      </c>
      <c r="N973">
        <v>605</v>
      </c>
      <c r="O973">
        <v>40000</v>
      </c>
      <c r="P973" t="s">
        <v>76</v>
      </c>
      <c r="Q973" t="s">
        <v>43</v>
      </c>
      <c r="R973">
        <v>0</v>
      </c>
      <c r="S973" t="s">
        <v>28</v>
      </c>
    </row>
    <row r="974" spans="1:19">
      <c r="A974" t="s">
        <v>559</v>
      </c>
      <c r="B974" t="s">
        <v>2249</v>
      </c>
      <c r="C974" t="s">
        <v>46</v>
      </c>
      <c r="D974" t="s">
        <v>254</v>
      </c>
      <c r="E974" t="s">
        <v>255</v>
      </c>
      <c r="F974">
        <v>58</v>
      </c>
      <c r="G974" t="s">
        <v>34</v>
      </c>
      <c r="H974" t="s">
        <v>2250</v>
      </c>
      <c r="I974">
        <f>221-0-456-7890</f>
        <v>-8125</v>
      </c>
      <c r="J974" s="1">
        <v>44948</v>
      </c>
      <c r="K974" s="1">
        <v>45302</v>
      </c>
      <c r="L974">
        <v>86500.4</v>
      </c>
      <c r="M974">
        <v>48700.75</v>
      </c>
      <c r="N974">
        <v>710</v>
      </c>
      <c r="O974">
        <v>138000</v>
      </c>
      <c r="P974" t="s">
        <v>26</v>
      </c>
      <c r="Q974" t="s">
        <v>27</v>
      </c>
      <c r="R974">
        <v>0</v>
      </c>
      <c r="S974" t="s">
        <v>28</v>
      </c>
    </row>
    <row r="975" spans="1:19">
      <c r="A975" t="s">
        <v>562</v>
      </c>
      <c r="B975" t="s">
        <v>2251</v>
      </c>
      <c r="C975" t="s">
        <v>39</v>
      </c>
      <c r="D975" t="s">
        <v>47</v>
      </c>
      <c r="E975" t="s">
        <v>48</v>
      </c>
      <c r="F975">
        <v>72</v>
      </c>
      <c r="G975" t="s">
        <v>24</v>
      </c>
      <c r="H975" t="s">
        <v>2252</v>
      </c>
      <c r="I975">
        <f>44-79-7890-1234</f>
        <v>-9159</v>
      </c>
      <c r="J975" s="1">
        <v>43821</v>
      </c>
      <c r="K975" s="1">
        <v>45300</v>
      </c>
      <c r="L975">
        <v>181100.6</v>
      </c>
      <c r="M975">
        <v>104000.25</v>
      </c>
      <c r="N975">
        <v>675</v>
      </c>
      <c r="O975">
        <v>207000</v>
      </c>
      <c r="P975" t="s">
        <v>76</v>
      </c>
      <c r="Q975" t="s">
        <v>27</v>
      </c>
      <c r="R975">
        <v>0</v>
      </c>
      <c r="S975" t="s">
        <v>28</v>
      </c>
    </row>
    <row r="976" spans="1:19">
      <c r="A976" t="s">
        <v>565</v>
      </c>
      <c r="B976" t="s">
        <v>2253</v>
      </c>
      <c r="C976" t="s">
        <v>52</v>
      </c>
      <c r="D976" t="s">
        <v>233</v>
      </c>
      <c r="E976" t="s">
        <v>296</v>
      </c>
      <c r="F976">
        <v>57</v>
      </c>
      <c r="G976" t="s">
        <v>34</v>
      </c>
      <c r="H976" t="s">
        <v>2254</v>
      </c>
      <c r="I976">
        <f>82-10-6789-123</f>
        <v>-6840</v>
      </c>
      <c r="J976" s="1">
        <v>44734</v>
      </c>
      <c r="K976" s="1">
        <v>45301</v>
      </c>
      <c r="L976">
        <v>62900.75</v>
      </c>
      <c r="M976">
        <v>39800.800000000003</v>
      </c>
      <c r="N976">
        <v>725</v>
      </c>
      <c r="O976">
        <v>104000</v>
      </c>
      <c r="P976" t="s">
        <v>26</v>
      </c>
      <c r="Q976" t="s">
        <v>27</v>
      </c>
      <c r="R976">
        <v>0</v>
      </c>
      <c r="S976" t="s">
        <v>28</v>
      </c>
    </row>
    <row r="977" spans="1:19">
      <c r="A977" t="s">
        <v>568</v>
      </c>
      <c r="B977" t="s">
        <v>2255</v>
      </c>
      <c r="C977" t="s">
        <v>57</v>
      </c>
      <c r="D977" t="s">
        <v>79</v>
      </c>
      <c r="E977" t="s">
        <v>102</v>
      </c>
      <c r="F977">
        <v>55</v>
      </c>
      <c r="G977" t="s">
        <v>24</v>
      </c>
      <c r="H977" t="s">
        <v>2256</v>
      </c>
      <c r="I977">
        <f>971-50-890-1234</f>
        <v>-1203</v>
      </c>
      <c r="J977" s="1">
        <v>45191</v>
      </c>
      <c r="K977" s="1">
        <v>45303</v>
      </c>
      <c r="L977">
        <v>40900.400000000001</v>
      </c>
      <c r="M977">
        <v>16000.9</v>
      </c>
      <c r="N977">
        <v>740</v>
      </c>
      <c r="O977">
        <v>90000</v>
      </c>
      <c r="P977" t="s">
        <v>36</v>
      </c>
      <c r="Q977" t="s">
        <v>27</v>
      </c>
      <c r="R977">
        <v>0</v>
      </c>
      <c r="S977" t="s">
        <v>28</v>
      </c>
    </row>
    <row r="978" spans="1:19">
      <c r="A978" t="s">
        <v>571</v>
      </c>
      <c r="B978" t="s">
        <v>2257</v>
      </c>
      <c r="C978" t="s">
        <v>21</v>
      </c>
      <c r="D978" t="s">
        <v>63</v>
      </c>
      <c r="E978" t="s">
        <v>106</v>
      </c>
      <c r="F978">
        <v>78</v>
      </c>
      <c r="G978" t="s">
        <v>34</v>
      </c>
      <c r="H978" t="s">
        <v>2258</v>
      </c>
      <c r="I978">
        <f>55-21-99990-1234</f>
        <v>-101190</v>
      </c>
      <c r="J978" s="1">
        <v>43365</v>
      </c>
      <c r="K978" s="1">
        <v>45299</v>
      </c>
      <c r="L978">
        <v>270000.90000000002</v>
      </c>
      <c r="M978">
        <v>94000.6</v>
      </c>
      <c r="N978">
        <v>830</v>
      </c>
      <c r="O978">
        <v>302000</v>
      </c>
      <c r="P978" t="s">
        <v>36</v>
      </c>
      <c r="Q978" t="s">
        <v>27</v>
      </c>
      <c r="R978">
        <v>0</v>
      </c>
      <c r="S978" t="s">
        <v>28</v>
      </c>
    </row>
    <row r="979" spans="1:19">
      <c r="A979" t="s">
        <v>574</v>
      </c>
      <c r="B979" t="s">
        <v>2259</v>
      </c>
      <c r="C979" t="s">
        <v>39</v>
      </c>
      <c r="D979" t="s">
        <v>68</v>
      </c>
      <c r="E979" t="s">
        <v>114</v>
      </c>
      <c r="F979">
        <v>70</v>
      </c>
      <c r="G979" t="s">
        <v>24</v>
      </c>
      <c r="H979" t="s">
        <v>2260</v>
      </c>
      <c r="I979">
        <f>234-837-890-1234</f>
        <v>-2727</v>
      </c>
      <c r="J979" s="1">
        <v>43963</v>
      </c>
      <c r="K979" s="1">
        <v>45300</v>
      </c>
      <c r="L979">
        <v>158900.25</v>
      </c>
      <c r="M979">
        <v>96000.4</v>
      </c>
      <c r="N979">
        <v>655</v>
      </c>
      <c r="O979">
        <v>192000</v>
      </c>
      <c r="P979" t="s">
        <v>76</v>
      </c>
      <c r="Q979" t="s">
        <v>27</v>
      </c>
      <c r="R979">
        <v>0</v>
      </c>
      <c r="S979" t="s">
        <v>28</v>
      </c>
    </row>
    <row r="980" spans="1:19">
      <c r="A980" t="s">
        <v>577</v>
      </c>
      <c r="B980" t="s">
        <v>2261</v>
      </c>
      <c r="C980" t="s">
        <v>46</v>
      </c>
      <c r="D980" t="s">
        <v>85</v>
      </c>
      <c r="E980" t="s">
        <v>130</v>
      </c>
      <c r="F980">
        <v>59</v>
      </c>
      <c r="G980" t="s">
        <v>34</v>
      </c>
      <c r="H980" t="s">
        <v>2262</v>
      </c>
      <c r="I980">
        <f>1-604-555-198</f>
        <v>-1356</v>
      </c>
      <c r="J980" s="1">
        <v>44856</v>
      </c>
      <c r="K980" s="1">
        <v>45302</v>
      </c>
      <c r="L980">
        <v>105400.6</v>
      </c>
      <c r="M980">
        <v>56700.75</v>
      </c>
      <c r="N980">
        <v>760</v>
      </c>
      <c r="O980">
        <v>161000</v>
      </c>
      <c r="P980" t="s">
        <v>26</v>
      </c>
      <c r="Q980" t="s">
        <v>27</v>
      </c>
      <c r="R980">
        <v>0</v>
      </c>
      <c r="S980" t="s">
        <v>28</v>
      </c>
    </row>
    <row r="981" spans="1:19">
      <c r="A981" t="s">
        <v>458</v>
      </c>
      <c r="B981" t="s">
        <v>2263</v>
      </c>
      <c r="C981" t="s">
        <v>31</v>
      </c>
      <c r="D981" t="s">
        <v>460</v>
      </c>
      <c r="E981" t="s">
        <v>663</v>
      </c>
      <c r="F981">
        <v>50</v>
      </c>
      <c r="G981" t="s">
        <v>24</v>
      </c>
      <c r="H981" t="s">
        <v>2264</v>
      </c>
      <c r="I981">
        <f>62-834-5678-9012</f>
        <v>-15462</v>
      </c>
      <c r="J981" s="1">
        <v>45481</v>
      </c>
      <c r="K981" s="1">
        <v>45306</v>
      </c>
      <c r="L981">
        <v>19400.25</v>
      </c>
      <c r="M981">
        <v>11500.8</v>
      </c>
      <c r="N981">
        <v>695</v>
      </c>
      <c r="O981">
        <v>61000</v>
      </c>
      <c r="P981" t="s">
        <v>26</v>
      </c>
      <c r="Q981" t="s">
        <v>43</v>
      </c>
      <c r="R981">
        <v>0</v>
      </c>
      <c r="S981" t="s">
        <v>28</v>
      </c>
    </row>
    <row r="982" spans="1:19">
      <c r="A982" t="s">
        <v>582</v>
      </c>
      <c r="B982" t="s">
        <v>2265</v>
      </c>
      <c r="C982" t="s">
        <v>57</v>
      </c>
      <c r="D982" t="s">
        <v>22</v>
      </c>
      <c r="E982" t="s">
        <v>23</v>
      </c>
      <c r="F982">
        <v>53</v>
      </c>
      <c r="G982" t="s">
        <v>34</v>
      </c>
      <c r="H982" t="s">
        <v>2266</v>
      </c>
      <c r="I982">
        <f>1-646-555-198</f>
        <v>-1398</v>
      </c>
      <c r="J982" s="1">
        <v>45129</v>
      </c>
      <c r="K982" s="1">
        <v>45303</v>
      </c>
      <c r="L982">
        <v>39800.9</v>
      </c>
      <c r="M982">
        <v>15600.25</v>
      </c>
      <c r="N982">
        <v>755</v>
      </c>
      <c r="O982">
        <v>83000</v>
      </c>
      <c r="P982" t="s">
        <v>36</v>
      </c>
      <c r="Q982" t="s">
        <v>27</v>
      </c>
      <c r="R982">
        <v>0</v>
      </c>
      <c r="S982" t="s">
        <v>28</v>
      </c>
    </row>
    <row r="983" spans="1:19">
      <c r="A983" t="s">
        <v>55</v>
      </c>
      <c r="B983" t="s">
        <v>2267</v>
      </c>
      <c r="C983" t="s">
        <v>39</v>
      </c>
      <c r="D983" t="s">
        <v>58</v>
      </c>
      <c r="E983" t="s">
        <v>122</v>
      </c>
      <c r="F983">
        <v>71</v>
      </c>
      <c r="G983" t="s">
        <v>24</v>
      </c>
      <c r="H983" t="s">
        <v>2268</v>
      </c>
      <c r="I983">
        <f>86-138-9012-3456</f>
        <v>-12520</v>
      </c>
      <c r="J983" s="1">
        <v>43883</v>
      </c>
      <c r="K983" s="1">
        <v>45300</v>
      </c>
      <c r="L983">
        <v>191800.4</v>
      </c>
      <c r="M983">
        <v>109000.75</v>
      </c>
      <c r="N983">
        <v>685</v>
      </c>
      <c r="O983">
        <v>217000</v>
      </c>
      <c r="P983" t="s">
        <v>76</v>
      </c>
      <c r="Q983" t="s">
        <v>27</v>
      </c>
      <c r="R983">
        <v>0</v>
      </c>
      <c r="S983" t="s">
        <v>28</v>
      </c>
    </row>
    <row r="984" spans="1:19">
      <c r="A984" t="s">
        <v>469</v>
      </c>
      <c r="B984" t="s">
        <v>2269</v>
      </c>
      <c r="C984" t="s">
        <v>52</v>
      </c>
      <c r="D984" t="s">
        <v>471</v>
      </c>
      <c r="E984" t="s">
        <v>472</v>
      </c>
      <c r="F984">
        <v>62</v>
      </c>
      <c r="G984" t="s">
        <v>34</v>
      </c>
      <c r="H984" t="s">
        <v>2270</v>
      </c>
      <c r="I984">
        <f>48-722-456-789</f>
        <v>-1919</v>
      </c>
      <c r="J984" s="1">
        <v>44522</v>
      </c>
      <c r="K984" s="1">
        <v>45301</v>
      </c>
      <c r="L984">
        <v>69800.800000000003</v>
      </c>
      <c r="M984">
        <v>42900.6</v>
      </c>
      <c r="N984">
        <v>715</v>
      </c>
      <c r="O984">
        <v>116000</v>
      </c>
      <c r="P984" t="s">
        <v>26</v>
      </c>
      <c r="Q984" t="s">
        <v>27</v>
      </c>
      <c r="R984">
        <v>0</v>
      </c>
      <c r="S984" t="s">
        <v>28</v>
      </c>
    </row>
    <row r="985" spans="1:19">
      <c r="A985" t="s">
        <v>474</v>
      </c>
      <c r="B985" t="s">
        <v>2271</v>
      </c>
      <c r="C985" t="s">
        <v>46</v>
      </c>
      <c r="D985" t="s">
        <v>345</v>
      </c>
      <c r="E985" t="s">
        <v>476</v>
      </c>
      <c r="F985">
        <v>65</v>
      </c>
      <c r="G985" t="s">
        <v>24</v>
      </c>
      <c r="H985" t="s">
        <v>2272</v>
      </c>
      <c r="I985">
        <f>880-1812-678901</f>
        <v>-679833</v>
      </c>
      <c r="J985" s="1">
        <v>44430</v>
      </c>
      <c r="K985" s="1">
        <v>45302</v>
      </c>
      <c r="L985">
        <v>97600.25</v>
      </c>
      <c r="M985">
        <v>52900.4</v>
      </c>
      <c r="N985">
        <v>680</v>
      </c>
      <c r="O985">
        <v>145000</v>
      </c>
      <c r="P985" t="s">
        <v>26</v>
      </c>
      <c r="Q985" t="s">
        <v>27</v>
      </c>
      <c r="R985">
        <v>0</v>
      </c>
      <c r="S985" t="s">
        <v>28</v>
      </c>
    </row>
    <row r="986" spans="1:19">
      <c r="A986" t="s">
        <v>592</v>
      </c>
      <c r="B986" t="s">
        <v>2273</v>
      </c>
      <c r="C986" t="s">
        <v>84</v>
      </c>
      <c r="D986" t="s">
        <v>32</v>
      </c>
      <c r="E986" t="s">
        <v>90</v>
      </c>
      <c r="F986">
        <v>45</v>
      </c>
      <c r="G986" t="s">
        <v>34</v>
      </c>
      <c r="H986" t="s">
        <v>2274</v>
      </c>
      <c r="I986">
        <f>81-90-8901-2345</f>
        <v>-11255</v>
      </c>
      <c r="J986" s="1">
        <v>45495</v>
      </c>
      <c r="K986" s="1">
        <v>45304</v>
      </c>
      <c r="L986">
        <v>4150.3999999999996</v>
      </c>
      <c r="M986">
        <v>13600.75</v>
      </c>
      <c r="N986">
        <v>610</v>
      </c>
      <c r="O986">
        <v>41000</v>
      </c>
      <c r="P986" t="s">
        <v>76</v>
      </c>
      <c r="Q986" t="s">
        <v>43</v>
      </c>
      <c r="R986">
        <v>0</v>
      </c>
      <c r="S986" t="s">
        <v>28</v>
      </c>
    </row>
    <row r="987" spans="1:19">
      <c r="A987" t="s">
        <v>595</v>
      </c>
      <c r="B987" t="s">
        <v>2275</v>
      </c>
      <c r="C987" t="s">
        <v>21</v>
      </c>
      <c r="D987" t="s">
        <v>209</v>
      </c>
      <c r="E987" t="s">
        <v>210</v>
      </c>
      <c r="F987">
        <v>77</v>
      </c>
      <c r="G987" t="s">
        <v>24</v>
      </c>
      <c r="H987" t="s">
        <v>2276</v>
      </c>
      <c r="I987">
        <f>52-55-6789-123</f>
        <v>-6915</v>
      </c>
      <c r="J987" s="1">
        <v>43577</v>
      </c>
      <c r="K987" s="1">
        <v>45299</v>
      </c>
      <c r="L987">
        <v>289800.8</v>
      </c>
      <c r="M987">
        <v>100000.25</v>
      </c>
      <c r="N987">
        <v>825</v>
      </c>
      <c r="O987">
        <v>297000</v>
      </c>
      <c r="P987" t="s">
        <v>36</v>
      </c>
      <c r="Q987" t="s">
        <v>27</v>
      </c>
      <c r="R987">
        <v>0</v>
      </c>
      <c r="S987" t="s">
        <v>28</v>
      </c>
    </row>
    <row r="988" spans="1:19">
      <c r="A988" t="s">
        <v>226</v>
      </c>
      <c r="B988" t="s">
        <v>2277</v>
      </c>
      <c r="C988" t="s">
        <v>57</v>
      </c>
      <c r="D988" t="s">
        <v>228</v>
      </c>
      <c r="E988" t="s">
        <v>678</v>
      </c>
      <c r="F988">
        <v>52</v>
      </c>
      <c r="G988" t="s">
        <v>34</v>
      </c>
      <c r="H988" t="s">
        <v>2278</v>
      </c>
      <c r="I988">
        <f>254-746-789-12</f>
        <v>-1293</v>
      </c>
      <c r="J988" s="1">
        <v>45313</v>
      </c>
      <c r="K988" s="1">
        <v>45305</v>
      </c>
      <c r="L988">
        <v>36500.75</v>
      </c>
      <c r="M988">
        <v>14000.4</v>
      </c>
      <c r="N988">
        <v>725</v>
      </c>
      <c r="O988">
        <v>73000</v>
      </c>
      <c r="P988" t="s">
        <v>36</v>
      </c>
      <c r="Q988" t="s">
        <v>27</v>
      </c>
      <c r="R988">
        <v>0</v>
      </c>
      <c r="S988" t="s">
        <v>28</v>
      </c>
    </row>
    <row r="989" spans="1:19">
      <c r="A989" t="s">
        <v>488</v>
      </c>
      <c r="B989" t="s">
        <v>2279</v>
      </c>
      <c r="C989" t="s">
        <v>39</v>
      </c>
      <c r="D989" t="s">
        <v>304</v>
      </c>
      <c r="E989" t="s">
        <v>304</v>
      </c>
      <c r="F989">
        <v>69</v>
      </c>
      <c r="G989" t="s">
        <v>24</v>
      </c>
      <c r="H989" t="s">
        <v>2280</v>
      </c>
      <c r="I989">
        <f>65-590-1234</f>
        <v>-1759</v>
      </c>
      <c r="J989" s="1">
        <v>44055</v>
      </c>
      <c r="K989" s="1">
        <v>45300</v>
      </c>
      <c r="L989">
        <v>170000.6</v>
      </c>
      <c r="M989">
        <v>100000.9</v>
      </c>
      <c r="N989">
        <v>675</v>
      </c>
      <c r="O989">
        <v>197000</v>
      </c>
      <c r="P989" t="s">
        <v>76</v>
      </c>
      <c r="Q989" t="s">
        <v>27</v>
      </c>
      <c r="R989">
        <v>0</v>
      </c>
      <c r="S989" t="s">
        <v>28</v>
      </c>
    </row>
    <row r="990" spans="1:19">
      <c r="A990" t="s">
        <v>491</v>
      </c>
      <c r="B990" t="s">
        <v>2281</v>
      </c>
      <c r="C990" t="s">
        <v>52</v>
      </c>
      <c r="D990" t="s">
        <v>493</v>
      </c>
      <c r="E990" t="s">
        <v>494</v>
      </c>
      <c r="F990">
        <v>60</v>
      </c>
      <c r="G990" t="s">
        <v>34</v>
      </c>
      <c r="H990" t="s">
        <v>2282</v>
      </c>
      <c r="I990">
        <f>30-714-567-8901</f>
        <v>-10152</v>
      </c>
      <c r="J990" s="1">
        <v>44826</v>
      </c>
      <c r="K990" s="1">
        <v>45302</v>
      </c>
      <c r="L990">
        <v>64000.4</v>
      </c>
      <c r="M990">
        <v>38700.25</v>
      </c>
      <c r="N990">
        <v>705</v>
      </c>
      <c r="O990">
        <v>105000</v>
      </c>
      <c r="P990" t="s">
        <v>26</v>
      </c>
      <c r="Q990" t="s">
        <v>27</v>
      </c>
      <c r="R990">
        <v>0</v>
      </c>
      <c r="S990" t="s">
        <v>28</v>
      </c>
    </row>
    <row r="991" spans="1:19">
      <c r="A991" t="s">
        <v>496</v>
      </c>
      <c r="B991" t="s">
        <v>2283</v>
      </c>
      <c r="C991" t="s">
        <v>46</v>
      </c>
      <c r="D991" t="s">
        <v>321</v>
      </c>
      <c r="E991" t="s">
        <v>498</v>
      </c>
      <c r="F991">
        <v>63</v>
      </c>
      <c r="G991" t="s">
        <v>24</v>
      </c>
      <c r="H991" t="s">
        <v>2284</v>
      </c>
      <c r="I991">
        <f>61-446-789-12</f>
        <v>-1186</v>
      </c>
      <c r="J991" s="1">
        <v>44308</v>
      </c>
      <c r="K991" s="1">
        <v>45301</v>
      </c>
      <c r="L991">
        <v>110100.75</v>
      </c>
      <c r="M991">
        <v>59800.800000000003</v>
      </c>
      <c r="N991">
        <v>730</v>
      </c>
      <c r="O991">
        <v>171000</v>
      </c>
      <c r="P991" t="s">
        <v>26</v>
      </c>
      <c r="Q991" t="s">
        <v>27</v>
      </c>
      <c r="R991">
        <v>0</v>
      </c>
      <c r="S991" t="s">
        <v>28</v>
      </c>
    </row>
    <row r="992" spans="1:19">
      <c r="A992" t="s">
        <v>324</v>
      </c>
      <c r="B992" t="s">
        <v>2285</v>
      </c>
      <c r="C992" t="s">
        <v>31</v>
      </c>
      <c r="D992" t="s">
        <v>313</v>
      </c>
      <c r="E992" t="s">
        <v>314</v>
      </c>
      <c r="F992">
        <v>48</v>
      </c>
      <c r="G992" t="s">
        <v>34</v>
      </c>
      <c r="H992" t="s">
        <v>2286</v>
      </c>
      <c r="I992">
        <f>92-344-6543210</f>
        <v>-6543462</v>
      </c>
      <c r="J992" s="1">
        <v>45488</v>
      </c>
      <c r="K992" s="1">
        <v>45306</v>
      </c>
      <c r="L992">
        <v>16600.900000000001</v>
      </c>
      <c r="M992">
        <v>9700.75</v>
      </c>
      <c r="N992">
        <v>685</v>
      </c>
      <c r="O992">
        <v>58000</v>
      </c>
      <c r="P992" t="s">
        <v>26</v>
      </c>
      <c r="Q992" t="s">
        <v>43</v>
      </c>
      <c r="R992">
        <v>0</v>
      </c>
      <c r="S992" t="s">
        <v>28</v>
      </c>
    </row>
    <row r="993" spans="1:19">
      <c r="A993" t="s">
        <v>503</v>
      </c>
      <c r="B993" t="s">
        <v>2287</v>
      </c>
      <c r="C993" t="s">
        <v>21</v>
      </c>
      <c r="D993" t="s">
        <v>32</v>
      </c>
      <c r="E993" t="s">
        <v>33</v>
      </c>
      <c r="F993">
        <v>80</v>
      </c>
      <c r="G993" t="s">
        <v>24</v>
      </c>
      <c r="H993" t="s">
        <v>2288</v>
      </c>
      <c r="I993">
        <f>81-80-4567-8901</f>
        <v>-13467</v>
      </c>
      <c r="J993" s="1">
        <v>43303</v>
      </c>
      <c r="K993" s="1">
        <v>45299</v>
      </c>
      <c r="L993">
        <v>300700.25</v>
      </c>
      <c r="M993">
        <v>104000.4</v>
      </c>
      <c r="N993">
        <v>840</v>
      </c>
      <c r="O993">
        <v>312000</v>
      </c>
      <c r="P993" t="s">
        <v>36</v>
      </c>
      <c r="Q993" t="s">
        <v>27</v>
      </c>
      <c r="R993">
        <v>0</v>
      </c>
      <c r="S993" t="s">
        <v>28</v>
      </c>
    </row>
    <row r="994" spans="1:19">
      <c r="A994" t="s">
        <v>506</v>
      </c>
      <c r="B994" t="s">
        <v>2289</v>
      </c>
      <c r="C994" t="s">
        <v>39</v>
      </c>
      <c r="D994" t="s">
        <v>68</v>
      </c>
      <c r="E994" t="s">
        <v>69</v>
      </c>
      <c r="F994">
        <v>72</v>
      </c>
      <c r="G994" t="s">
        <v>34</v>
      </c>
      <c r="H994" t="s">
        <v>2290</v>
      </c>
      <c r="I994">
        <f>234-836-789-123</f>
        <v>-1514</v>
      </c>
      <c r="J994" s="1">
        <v>43821</v>
      </c>
      <c r="K994" s="1">
        <v>45300</v>
      </c>
      <c r="L994">
        <v>181100.4</v>
      </c>
      <c r="M994">
        <v>104000.75</v>
      </c>
      <c r="N994">
        <v>650</v>
      </c>
      <c r="O994">
        <v>207000</v>
      </c>
      <c r="P994" t="s">
        <v>76</v>
      </c>
      <c r="Q994" t="s">
        <v>27</v>
      </c>
      <c r="R994">
        <v>0</v>
      </c>
      <c r="S994" t="s">
        <v>28</v>
      </c>
    </row>
    <row r="995" spans="1:19">
      <c r="A995" t="s">
        <v>509</v>
      </c>
      <c r="B995" t="s">
        <v>2291</v>
      </c>
      <c r="C995" t="s">
        <v>46</v>
      </c>
      <c r="D995" t="s">
        <v>73</v>
      </c>
      <c r="E995" t="s">
        <v>126</v>
      </c>
      <c r="F995">
        <v>59</v>
      </c>
      <c r="G995" t="s">
        <v>24</v>
      </c>
      <c r="H995" t="s">
        <v>2292</v>
      </c>
      <c r="I995">
        <f>49-198-9012345</f>
        <v>-9012494</v>
      </c>
      <c r="J995" s="1">
        <v>45038</v>
      </c>
      <c r="K995" s="1">
        <v>45303</v>
      </c>
      <c r="L995">
        <v>98700.4</v>
      </c>
      <c r="M995">
        <v>54000.25</v>
      </c>
      <c r="N995">
        <v>745</v>
      </c>
      <c r="O995">
        <v>151000</v>
      </c>
      <c r="P995" t="s">
        <v>26</v>
      </c>
      <c r="Q995" t="s">
        <v>27</v>
      </c>
      <c r="R995">
        <v>0</v>
      </c>
      <c r="S995" t="s">
        <v>28</v>
      </c>
    </row>
    <row r="996" spans="1:19">
      <c r="A996" t="s">
        <v>513</v>
      </c>
      <c r="B996" t="s">
        <v>2293</v>
      </c>
      <c r="C996" t="s">
        <v>57</v>
      </c>
      <c r="D996" t="s">
        <v>58</v>
      </c>
      <c r="E996" t="s">
        <v>59</v>
      </c>
      <c r="F996">
        <v>54</v>
      </c>
      <c r="G996" t="s">
        <v>34</v>
      </c>
      <c r="H996" t="s">
        <v>2294</v>
      </c>
      <c r="I996">
        <f>86-137-9012-3456</f>
        <v>-12519</v>
      </c>
      <c r="J996" s="1">
        <v>45221</v>
      </c>
      <c r="K996" s="1">
        <v>45302</v>
      </c>
      <c r="L996">
        <v>38700.800000000003</v>
      </c>
      <c r="M996">
        <v>15200.9</v>
      </c>
      <c r="N996">
        <v>765</v>
      </c>
      <c r="O996">
        <v>83000</v>
      </c>
      <c r="P996" t="s">
        <v>36</v>
      </c>
      <c r="Q996" t="s">
        <v>27</v>
      </c>
      <c r="R996">
        <v>0</v>
      </c>
      <c r="S996" t="s">
        <v>28</v>
      </c>
    </row>
    <row r="997" spans="1:19">
      <c r="A997" t="s">
        <v>516</v>
      </c>
      <c r="B997" t="s">
        <v>2295</v>
      </c>
      <c r="C997" t="s">
        <v>52</v>
      </c>
      <c r="D997" t="s">
        <v>277</v>
      </c>
      <c r="E997" t="s">
        <v>278</v>
      </c>
      <c r="F997">
        <v>67</v>
      </c>
      <c r="G997" t="s">
        <v>24</v>
      </c>
      <c r="H997" t="s">
        <v>2296</v>
      </c>
      <c r="I997">
        <f>20-122-765-4321</f>
        <v>-5188</v>
      </c>
      <c r="J997" s="1">
        <v>44491</v>
      </c>
      <c r="K997" s="1">
        <v>45301</v>
      </c>
      <c r="L997">
        <v>72000.75</v>
      </c>
      <c r="M997">
        <v>45100.4</v>
      </c>
      <c r="N997">
        <v>675</v>
      </c>
      <c r="O997">
        <v>123000</v>
      </c>
      <c r="P997" t="s">
        <v>26</v>
      </c>
      <c r="Q997" t="s">
        <v>27</v>
      </c>
      <c r="R997">
        <v>0</v>
      </c>
      <c r="S997" t="s">
        <v>28</v>
      </c>
    </row>
    <row r="998" spans="1:19">
      <c r="A998" t="s">
        <v>519</v>
      </c>
      <c r="B998" t="s">
        <v>2297</v>
      </c>
      <c r="C998" t="s">
        <v>84</v>
      </c>
      <c r="D998" t="s">
        <v>183</v>
      </c>
      <c r="E998" t="s">
        <v>273</v>
      </c>
      <c r="F998">
        <v>46</v>
      </c>
      <c r="G998" t="s">
        <v>34</v>
      </c>
      <c r="H998" t="s">
        <v>2298</v>
      </c>
      <c r="I998">
        <f>33-6-6789-123</f>
        <v>-6885</v>
      </c>
      <c r="J998" s="1">
        <v>45501</v>
      </c>
      <c r="K998" s="1">
        <v>45304</v>
      </c>
      <c r="L998">
        <v>4400.25</v>
      </c>
      <c r="M998">
        <v>14800.6</v>
      </c>
      <c r="N998">
        <v>615</v>
      </c>
      <c r="O998">
        <v>43000</v>
      </c>
      <c r="P998" t="s">
        <v>76</v>
      </c>
      <c r="Q998" t="s">
        <v>43</v>
      </c>
      <c r="R998">
        <v>0</v>
      </c>
      <c r="S998" t="s">
        <v>28</v>
      </c>
    </row>
    <row r="999" spans="1:19">
      <c r="A999" t="s">
        <v>522</v>
      </c>
      <c r="B999" t="s">
        <v>2299</v>
      </c>
      <c r="C999" t="s">
        <v>39</v>
      </c>
      <c r="D999" t="s">
        <v>40</v>
      </c>
      <c r="E999" t="s">
        <v>94</v>
      </c>
      <c r="F999">
        <v>74</v>
      </c>
      <c r="G999" t="s">
        <v>24</v>
      </c>
      <c r="H999" t="s">
        <v>2300</v>
      </c>
      <c r="I999">
        <f>91-987-654-3210</f>
        <v>-4760</v>
      </c>
      <c r="J999" s="1">
        <v>43791</v>
      </c>
      <c r="K999" s="1">
        <v>45299</v>
      </c>
      <c r="L999">
        <v>215700.8</v>
      </c>
      <c r="M999">
        <v>117000.25</v>
      </c>
      <c r="N999">
        <v>660</v>
      </c>
      <c r="O999">
        <v>242000</v>
      </c>
      <c r="P999" t="s">
        <v>76</v>
      </c>
      <c r="Q999" t="s">
        <v>27</v>
      </c>
      <c r="R999">
        <v>0</v>
      </c>
      <c r="S999" t="s">
        <v>28</v>
      </c>
    </row>
    <row r="1000" spans="1:19">
      <c r="A1000" t="s">
        <v>306</v>
      </c>
      <c r="B1000" t="s">
        <v>2301</v>
      </c>
      <c r="C1000" t="s">
        <v>46</v>
      </c>
      <c r="D1000" t="s">
        <v>209</v>
      </c>
      <c r="E1000" t="s">
        <v>210</v>
      </c>
      <c r="F1000">
        <v>61</v>
      </c>
      <c r="G1000" t="s">
        <v>34</v>
      </c>
      <c r="H1000" t="s">
        <v>2302</v>
      </c>
      <c r="I1000">
        <f>52-55-7890-123</f>
        <v>-8016</v>
      </c>
      <c r="J1000" s="1">
        <v>44642</v>
      </c>
      <c r="K1000" s="1">
        <v>45302</v>
      </c>
      <c r="L1000">
        <v>93100.9</v>
      </c>
      <c r="M1000">
        <v>50900.75</v>
      </c>
      <c r="N1000">
        <v>730</v>
      </c>
      <c r="O1000">
        <v>146000</v>
      </c>
      <c r="P1000" t="s">
        <v>26</v>
      </c>
      <c r="Q1000" t="s">
        <v>27</v>
      </c>
      <c r="R1000">
        <v>0</v>
      </c>
      <c r="S1000" t="s">
        <v>28</v>
      </c>
    </row>
    <row r="1001" spans="1:19">
      <c r="A1001" t="s">
        <v>527</v>
      </c>
      <c r="B1001" t="s">
        <v>2303</v>
      </c>
      <c r="C1001" t="s">
        <v>31</v>
      </c>
      <c r="D1001" t="s">
        <v>32</v>
      </c>
      <c r="E1001" t="s">
        <v>90</v>
      </c>
      <c r="F1001">
        <v>50</v>
      </c>
      <c r="G1001" t="s">
        <v>34</v>
      </c>
      <c r="H1001" t="s">
        <v>2304</v>
      </c>
      <c r="I1001">
        <f>81-90-5678-9012</f>
        <v>-14699</v>
      </c>
      <c r="J1001" s="1">
        <v>45495</v>
      </c>
      <c r="K1001" s="1">
        <v>45305</v>
      </c>
      <c r="L1001">
        <v>17700.400000000001</v>
      </c>
      <c r="M1001">
        <v>9800.25</v>
      </c>
      <c r="N1001">
        <v>705</v>
      </c>
      <c r="O1001">
        <v>60000</v>
      </c>
      <c r="P1001" t="s">
        <v>26</v>
      </c>
      <c r="Q1001" t="s">
        <v>43</v>
      </c>
      <c r="R1001">
        <v>0</v>
      </c>
      <c r="S1001" t="s">
        <v>28</v>
      </c>
    </row>
    <row r="1002" spans="1:19">
      <c r="A1002" t="s">
        <v>530</v>
      </c>
      <c r="B1002" t="s">
        <v>2305</v>
      </c>
      <c r="C1002" t="s">
        <v>57</v>
      </c>
      <c r="D1002" t="s">
        <v>219</v>
      </c>
      <c r="E1002" t="s">
        <v>220</v>
      </c>
      <c r="F1002">
        <v>55</v>
      </c>
      <c r="G1002" t="s">
        <v>24</v>
      </c>
      <c r="H1002" t="s">
        <v>2306</v>
      </c>
      <c r="I1002">
        <f>233-77-890-1234</f>
        <v>-1968</v>
      </c>
      <c r="J1002" s="1">
        <v>45191</v>
      </c>
      <c r="K1002" s="1">
        <v>45303</v>
      </c>
      <c r="L1002">
        <v>37600.6</v>
      </c>
      <c r="M1002">
        <v>14600.8</v>
      </c>
      <c r="N1002">
        <v>710</v>
      </c>
      <c r="O1002">
        <v>76000</v>
      </c>
      <c r="P1002" t="s">
        <v>36</v>
      </c>
      <c r="Q1002" t="s">
        <v>27</v>
      </c>
      <c r="R1002">
        <v>0</v>
      </c>
      <c r="S1002" t="s">
        <v>28</v>
      </c>
    </row>
    <row r="1003" spans="1:19">
      <c r="A1003" t="s">
        <v>533</v>
      </c>
      <c r="B1003" t="s">
        <v>2307</v>
      </c>
      <c r="C1003" t="s">
        <v>52</v>
      </c>
      <c r="D1003" t="s">
        <v>204</v>
      </c>
      <c r="E1003" t="s">
        <v>205</v>
      </c>
      <c r="F1003">
        <v>62</v>
      </c>
      <c r="G1003" t="s">
        <v>34</v>
      </c>
      <c r="H1003" t="s">
        <v>2308</v>
      </c>
      <c r="I1003">
        <f>7-921-543-21-9</f>
        <v>-1487</v>
      </c>
      <c r="J1003" s="1">
        <v>44491</v>
      </c>
      <c r="K1003" s="1">
        <v>45301</v>
      </c>
      <c r="L1003">
        <v>68900.25</v>
      </c>
      <c r="M1003">
        <v>42000.9</v>
      </c>
      <c r="N1003">
        <v>695</v>
      </c>
      <c r="O1003">
        <v>111000</v>
      </c>
      <c r="P1003" t="s">
        <v>26</v>
      </c>
      <c r="Q1003" t="s">
        <v>27</v>
      </c>
      <c r="R1003">
        <v>0</v>
      </c>
      <c r="S1003" t="s">
        <v>28</v>
      </c>
    </row>
    <row r="1004" spans="1:19">
      <c r="A1004" t="s">
        <v>536</v>
      </c>
      <c r="B1004" t="s">
        <v>2309</v>
      </c>
      <c r="C1004" t="s">
        <v>39</v>
      </c>
      <c r="D1004" t="s">
        <v>195</v>
      </c>
      <c r="E1004" t="s">
        <v>196</v>
      </c>
      <c r="F1004">
        <v>70</v>
      </c>
      <c r="G1004" t="s">
        <v>24</v>
      </c>
      <c r="H1004" t="s">
        <v>2310</v>
      </c>
      <c r="I1004">
        <f>353-9-789-123</f>
        <v>-568</v>
      </c>
      <c r="J1004" s="1">
        <v>43943</v>
      </c>
      <c r="K1004" s="1">
        <v>45300</v>
      </c>
      <c r="L1004">
        <v>147900.4</v>
      </c>
      <c r="M1004">
        <v>91000.6</v>
      </c>
      <c r="N1004">
        <v>670</v>
      </c>
      <c r="O1004">
        <v>178000</v>
      </c>
      <c r="P1004" t="s">
        <v>76</v>
      </c>
      <c r="Q1004" t="s">
        <v>27</v>
      </c>
      <c r="R1004">
        <v>0</v>
      </c>
      <c r="S1004" t="s">
        <v>28</v>
      </c>
    </row>
    <row r="1005" spans="1:19">
      <c r="A1005" t="s">
        <v>539</v>
      </c>
      <c r="B1005" t="s">
        <v>2311</v>
      </c>
      <c r="C1005" t="s">
        <v>21</v>
      </c>
      <c r="D1005" t="s">
        <v>58</v>
      </c>
      <c r="E1005" t="s">
        <v>122</v>
      </c>
      <c r="F1005">
        <v>78</v>
      </c>
      <c r="G1005" t="s">
        <v>34</v>
      </c>
      <c r="H1005" t="s">
        <v>2312</v>
      </c>
      <c r="I1005">
        <f>86-139-6789-123</f>
        <v>-6965</v>
      </c>
      <c r="J1005" s="1">
        <v>43518</v>
      </c>
      <c r="K1005" s="1">
        <v>45299</v>
      </c>
      <c r="L1005">
        <v>314800.75</v>
      </c>
      <c r="M1005">
        <v>108000.8</v>
      </c>
      <c r="N1005">
        <v>835</v>
      </c>
      <c r="O1005">
        <v>323000</v>
      </c>
      <c r="P1005" t="s">
        <v>36</v>
      </c>
      <c r="Q1005" t="s">
        <v>27</v>
      </c>
      <c r="R1005">
        <v>0</v>
      </c>
      <c r="S1005" t="s">
        <v>28</v>
      </c>
    </row>
    <row r="1006" spans="1:19">
      <c r="A1006" t="s">
        <v>542</v>
      </c>
      <c r="B1006" t="s">
        <v>2313</v>
      </c>
      <c r="C1006" t="s">
        <v>52</v>
      </c>
      <c r="D1006" t="s">
        <v>68</v>
      </c>
      <c r="E1006" t="s">
        <v>114</v>
      </c>
      <c r="F1006">
        <v>65</v>
      </c>
      <c r="G1006" t="s">
        <v>34</v>
      </c>
      <c r="H1006" t="s">
        <v>2314</v>
      </c>
      <c r="I1006">
        <f>234-837-890-1234</f>
        <v>-2727</v>
      </c>
      <c r="J1006" s="1">
        <v>44461</v>
      </c>
      <c r="K1006" s="1">
        <v>45302</v>
      </c>
      <c r="L1006">
        <v>77600.600000000006</v>
      </c>
      <c r="M1006">
        <v>47600.25</v>
      </c>
      <c r="N1006">
        <v>665</v>
      </c>
      <c r="O1006">
        <v>131000</v>
      </c>
      <c r="P1006" t="s">
        <v>26</v>
      </c>
      <c r="Q1006" t="s">
        <v>27</v>
      </c>
      <c r="R1006">
        <v>0</v>
      </c>
      <c r="S1006" t="s">
        <v>28</v>
      </c>
    </row>
    <row r="1007" spans="1:19">
      <c r="A1007" t="s">
        <v>545</v>
      </c>
      <c r="B1007" t="s">
        <v>2315</v>
      </c>
      <c r="C1007" t="s">
        <v>46</v>
      </c>
      <c r="D1007" t="s">
        <v>241</v>
      </c>
      <c r="E1007" t="s">
        <v>389</v>
      </c>
      <c r="F1007">
        <v>57</v>
      </c>
      <c r="G1007" t="s">
        <v>24</v>
      </c>
      <c r="H1007" t="s">
        <v>2316</v>
      </c>
      <c r="I1007">
        <f>39-371-567-8901</f>
        <v>-9800</v>
      </c>
      <c r="J1007" s="1">
        <v>45099</v>
      </c>
      <c r="K1007" s="1">
        <v>45303</v>
      </c>
      <c r="L1007">
        <v>100900.8</v>
      </c>
      <c r="M1007">
        <v>55100.4</v>
      </c>
      <c r="N1007">
        <v>750</v>
      </c>
      <c r="O1007">
        <v>157000</v>
      </c>
      <c r="P1007" t="s">
        <v>26</v>
      </c>
      <c r="Q1007" t="s">
        <v>27</v>
      </c>
      <c r="R1007">
        <v>0</v>
      </c>
      <c r="S1007" t="s">
        <v>28</v>
      </c>
    </row>
    <row r="1008" spans="1:19">
      <c r="A1008" t="s">
        <v>548</v>
      </c>
      <c r="B1008" t="s">
        <v>2317</v>
      </c>
      <c r="C1008" t="s">
        <v>57</v>
      </c>
      <c r="D1008" t="s">
        <v>22</v>
      </c>
      <c r="E1008" t="s">
        <v>282</v>
      </c>
      <c r="F1008">
        <v>53</v>
      </c>
      <c r="G1008" t="s">
        <v>34</v>
      </c>
      <c r="H1008" t="s">
        <v>2318</v>
      </c>
      <c r="I1008">
        <f>1-206-555-198</f>
        <v>-958</v>
      </c>
      <c r="J1008" s="1">
        <v>45282</v>
      </c>
      <c r="K1008" s="1">
        <v>45305</v>
      </c>
      <c r="L1008">
        <v>39800.9</v>
      </c>
      <c r="M1008">
        <v>15600.75</v>
      </c>
      <c r="N1008">
        <v>770</v>
      </c>
      <c r="O1008">
        <v>88000</v>
      </c>
      <c r="P1008" t="s">
        <v>36</v>
      </c>
      <c r="Q1008" t="s">
        <v>27</v>
      </c>
      <c r="R1008">
        <v>0</v>
      </c>
      <c r="S1008" t="s">
        <v>28</v>
      </c>
    </row>
    <row r="1009" spans="1:19">
      <c r="A1009" t="s">
        <v>551</v>
      </c>
      <c r="B1009" t="s">
        <v>2319</v>
      </c>
      <c r="C1009" t="s">
        <v>39</v>
      </c>
      <c r="D1009" t="s">
        <v>313</v>
      </c>
      <c r="E1009" t="s">
        <v>385</v>
      </c>
      <c r="F1009">
        <v>76</v>
      </c>
      <c r="G1009" t="s">
        <v>24</v>
      </c>
      <c r="H1009" t="s">
        <v>2320</v>
      </c>
      <c r="I1009">
        <f>92-323-6543210</f>
        <v>-6543441</v>
      </c>
      <c r="J1009" s="1">
        <v>43699</v>
      </c>
      <c r="K1009" s="1">
        <v>45299</v>
      </c>
      <c r="L1009">
        <v>201000.25</v>
      </c>
      <c r="M1009">
        <v>112000.8</v>
      </c>
      <c r="N1009">
        <v>645</v>
      </c>
      <c r="O1009">
        <v>228000</v>
      </c>
      <c r="P1009" t="s">
        <v>76</v>
      </c>
      <c r="Q1009" t="s">
        <v>27</v>
      </c>
      <c r="R1009">
        <v>0</v>
      </c>
      <c r="S1009" t="s">
        <v>28</v>
      </c>
    </row>
    <row r="1010" spans="1:19">
      <c r="A1010" t="s">
        <v>554</v>
      </c>
      <c r="B1010" t="s">
        <v>2321</v>
      </c>
      <c r="C1010" t="s">
        <v>31</v>
      </c>
      <c r="D1010" t="s">
        <v>214</v>
      </c>
      <c r="E1010" t="s">
        <v>215</v>
      </c>
      <c r="F1010">
        <v>49</v>
      </c>
      <c r="G1010" t="s">
        <v>34</v>
      </c>
      <c r="H1010" t="s">
        <v>2322</v>
      </c>
      <c r="I1010">
        <f>34-646-789-12</f>
        <v>-1413</v>
      </c>
      <c r="J1010" s="1">
        <v>45501</v>
      </c>
      <c r="K1010" s="1">
        <v>45306</v>
      </c>
      <c r="L1010">
        <v>33200.5</v>
      </c>
      <c r="M1010">
        <v>15200.4</v>
      </c>
      <c r="N1010">
        <v>720</v>
      </c>
      <c r="O1010">
        <v>65000</v>
      </c>
      <c r="P1010" t="s">
        <v>36</v>
      </c>
      <c r="Q1010" t="s">
        <v>27</v>
      </c>
      <c r="R1010">
        <v>0</v>
      </c>
      <c r="S1010" t="s">
        <v>28</v>
      </c>
    </row>
    <row r="1011" spans="1:19">
      <c r="A1011" t="s">
        <v>108</v>
      </c>
      <c r="B1011" t="s">
        <v>2323</v>
      </c>
      <c r="C1011" t="s">
        <v>84</v>
      </c>
      <c r="D1011" t="s">
        <v>32</v>
      </c>
      <c r="E1011" t="s">
        <v>33</v>
      </c>
      <c r="F1011">
        <v>45</v>
      </c>
      <c r="G1011" t="s">
        <v>24</v>
      </c>
      <c r="H1011" t="s">
        <v>2324</v>
      </c>
      <c r="I1011">
        <f>81-90-8901-2345</f>
        <v>-11255</v>
      </c>
      <c r="J1011" s="1">
        <v>45501</v>
      </c>
      <c r="K1011" s="1">
        <v>45304</v>
      </c>
      <c r="L1011">
        <v>4150.8</v>
      </c>
      <c r="M1011">
        <v>13200.25</v>
      </c>
      <c r="N1011">
        <v>605</v>
      </c>
      <c r="O1011">
        <v>41000</v>
      </c>
      <c r="P1011" t="s">
        <v>76</v>
      </c>
      <c r="Q1011" t="s">
        <v>43</v>
      </c>
      <c r="R1011">
        <v>0</v>
      </c>
      <c r="S1011" t="s">
        <v>28</v>
      </c>
    </row>
    <row r="1012" spans="1:19">
      <c r="A1012" t="s">
        <v>559</v>
      </c>
      <c r="B1012" t="s">
        <v>2325</v>
      </c>
      <c r="C1012" t="s">
        <v>46</v>
      </c>
      <c r="D1012" t="s">
        <v>254</v>
      </c>
      <c r="E1012" t="s">
        <v>255</v>
      </c>
      <c r="F1012">
        <v>59</v>
      </c>
      <c r="G1012" t="s">
        <v>34</v>
      </c>
      <c r="H1012" t="s">
        <v>2326</v>
      </c>
      <c r="I1012">
        <f>221-1-567-8901</f>
        <v>-9248</v>
      </c>
      <c r="J1012" s="1">
        <v>44979</v>
      </c>
      <c r="K1012" s="1">
        <v>45302</v>
      </c>
      <c r="L1012">
        <v>87600.4</v>
      </c>
      <c r="M1012">
        <v>49800.75</v>
      </c>
      <c r="N1012">
        <v>710</v>
      </c>
      <c r="O1012">
        <v>139000</v>
      </c>
      <c r="P1012" t="s">
        <v>26</v>
      </c>
      <c r="Q1012" t="s">
        <v>27</v>
      </c>
      <c r="R1012">
        <v>0</v>
      </c>
      <c r="S1012" t="s">
        <v>28</v>
      </c>
    </row>
    <row r="1013" spans="1:19">
      <c r="A1013" t="s">
        <v>562</v>
      </c>
      <c r="B1013" t="s">
        <v>2327</v>
      </c>
      <c r="C1013" t="s">
        <v>39</v>
      </c>
      <c r="D1013" t="s">
        <v>47</v>
      </c>
      <c r="E1013" t="s">
        <v>98</v>
      </c>
      <c r="F1013">
        <v>73</v>
      </c>
      <c r="G1013" t="s">
        <v>24</v>
      </c>
      <c r="H1013" t="s">
        <v>2328</v>
      </c>
      <c r="I1013">
        <f>44-79-8901-2345</f>
        <v>-11281</v>
      </c>
      <c r="J1013" s="1">
        <v>43852</v>
      </c>
      <c r="K1013" s="1">
        <v>45300</v>
      </c>
      <c r="L1013">
        <v>181200.6</v>
      </c>
      <c r="M1013">
        <v>105000.25</v>
      </c>
      <c r="N1013">
        <v>675</v>
      </c>
      <c r="O1013">
        <v>208000</v>
      </c>
      <c r="P1013" t="s">
        <v>76</v>
      </c>
      <c r="Q1013" t="s">
        <v>27</v>
      </c>
      <c r="R1013">
        <v>0</v>
      </c>
      <c r="S1013" t="s">
        <v>28</v>
      </c>
    </row>
    <row r="1014" spans="1:19">
      <c r="A1014" t="s">
        <v>565</v>
      </c>
      <c r="B1014" t="s">
        <v>2329</v>
      </c>
      <c r="C1014" t="s">
        <v>52</v>
      </c>
      <c r="D1014" t="s">
        <v>233</v>
      </c>
      <c r="E1014" t="s">
        <v>234</v>
      </c>
      <c r="F1014">
        <v>58</v>
      </c>
      <c r="G1014" t="s">
        <v>34</v>
      </c>
      <c r="H1014" t="s">
        <v>2330</v>
      </c>
      <c r="I1014">
        <f>82-10-7890-1234</f>
        <v>-9052</v>
      </c>
      <c r="J1014" s="1">
        <v>44764</v>
      </c>
      <c r="K1014" s="1">
        <v>45301</v>
      </c>
      <c r="L1014">
        <v>64000.75</v>
      </c>
      <c r="M1014">
        <v>40900.800000000003</v>
      </c>
      <c r="N1014">
        <v>725</v>
      </c>
      <c r="O1014">
        <v>105000</v>
      </c>
      <c r="P1014" t="s">
        <v>26</v>
      </c>
      <c r="Q1014" t="s">
        <v>27</v>
      </c>
      <c r="R1014">
        <v>0</v>
      </c>
      <c r="S1014" t="s">
        <v>28</v>
      </c>
    </row>
    <row r="1015" spans="1:19">
      <c r="A1015" t="s">
        <v>568</v>
      </c>
      <c r="B1015" t="s">
        <v>2331</v>
      </c>
      <c r="C1015" t="s">
        <v>57</v>
      </c>
      <c r="D1015" t="s">
        <v>79</v>
      </c>
      <c r="E1015" t="s">
        <v>80</v>
      </c>
      <c r="F1015">
        <v>56</v>
      </c>
      <c r="G1015" t="s">
        <v>24</v>
      </c>
      <c r="H1015" t="s">
        <v>2332</v>
      </c>
      <c r="I1015">
        <f>971-50-901-2345</f>
        <v>-2325</v>
      </c>
      <c r="J1015" s="1">
        <v>45221</v>
      </c>
      <c r="K1015" s="1">
        <v>45303</v>
      </c>
      <c r="L1015">
        <v>42000.4</v>
      </c>
      <c r="M1015">
        <v>16400.900000000001</v>
      </c>
      <c r="N1015">
        <v>740</v>
      </c>
      <c r="O1015">
        <v>91000</v>
      </c>
      <c r="P1015" t="s">
        <v>36</v>
      </c>
      <c r="Q1015" t="s">
        <v>27</v>
      </c>
      <c r="R1015">
        <v>0</v>
      </c>
      <c r="S1015" t="s">
        <v>28</v>
      </c>
    </row>
    <row r="1016" spans="1:19">
      <c r="A1016" t="s">
        <v>571</v>
      </c>
      <c r="B1016" t="s">
        <v>2333</v>
      </c>
      <c r="C1016" t="s">
        <v>21</v>
      </c>
      <c r="D1016" t="s">
        <v>63</v>
      </c>
      <c r="E1016" t="s">
        <v>64</v>
      </c>
      <c r="F1016">
        <v>79</v>
      </c>
      <c r="G1016" t="s">
        <v>34</v>
      </c>
      <c r="H1016" t="s">
        <v>2334</v>
      </c>
      <c r="I1016">
        <f>55-11-99901-2345</f>
        <v>-102202</v>
      </c>
      <c r="J1016" s="1">
        <v>43395</v>
      </c>
      <c r="K1016" s="1">
        <v>45299</v>
      </c>
      <c r="L1016">
        <v>270100.90000000002</v>
      </c>
      <c r="M1016">
        <v>95000.6</v>
      </c>
      <c r="N1016">
        <v>830</v>
      </c>
      <c r="O1016">
        <v>303000</v>
      </c>
      <c r="P1016" t="s">
        <v>36</v>
      </c>
      <c r="Q1016" t="s">
        <v>27</v>
      </c>
      <c r="R1016">
        <v>0</v>
      </c>
      <c r="S1016" t="s">
        <v>28</v>
      </c>
    </row>
    <row r="1017" spans="1:19">
      <c r="A1017" t="s">
        <v>574</v>
      </c>
      <c r="B1017" t="s">
        <v>2335</v>
      </c>
      <c r="C1017" t="s">
        <v>39</v>
      </c>
      <c r="D1017" t="s">
        <v>68</v>
      </c>
      <c r="E1017" t="s">
        <v>179</v>
      </c>
      <c r="F1017">
        <v>71</v>
      </c>
      <c r="G1017" t="s">
        <v>24</v>
      </c>
      <c r="H1017" t="s">
        <v>2336</v>
      </c>
      <c r="I1017">
        <f>234-838-901-2345</f>
        <v>-3850</v>
      </c>
      <c r="J1017" s="1">
        <v>43994</v>
      </c>
      <c r="K1017" s="1">
        <v>45300</v>
      </c>
      <c r="L1017">
        <v>159000.25</v>
      </c>
      <c r="M1017">
        <v>97000.4</v>
      </c>
      <c r="N1017">
        <v>655</v>
      </c>
      <c r="O1017">
        <v>193000</v>
      </c>
      <c r="P1017" t="s">
        <v>76</v>
      </c>
      <c r="Q1017" t="s">
        <v>27</v>
      </c>
      <c r="R1017">
        <v>0</v>
      </c>
      <c r="S1017" t="s">
        <v>28</v>
      </c>
    </row>
    <row r="1018" spans="1:19">
      <c r="A1018" t="s">
        <v>577</v>
      </c>
      <c r="B1018" t="s">
        <v>2337</v>
      </c>
      <c r="C1018" t="s">
        <v>46</v>
      </c>
      <c r="D1018" t="s">
        <v>85</v>
      </c>
      <c r="E1018" t="s">
        <v>86</v>
      </c>
      <c r="F1018">
        <v>60</v>
      </c>
      <c r="G1018" t="s">
        <v>34</v>
      </c>
      <c r="H1018" t="s">
        <v>2338</v>
      </c>
      <c r="I1018">
        <f>1-647-555-194</f>
        <v>-1395</v>
      </c>
      <c r="J1018" s="1">
        <v>44887</v>
      </c>
      <c r="K1018" s="1">
        <v>45302</v>
      </c>
      <c r="L1018">
        <v>106500.6</v>
      </c>
      <c r="M1018">
        <v>57800.75</v>
      </c>
      <c r="N1018">
        <v>760</v>
      </c>
      <c r="O1018">
        <v>162000</v>
      </c>
      <c r="P1018" t="s">
        <v>26</v>
      </c>
      <c r="Q1018" t="s">
        <v>27</v>
      </c>
      <c r="R1018">
        <v>0</v>
      </c>
      <c r="S1018" t="s">
        <v>28</v>
      </c>
    </row>
    <row r="1019" spans="1:19">
      <c r="A1019" t="s">
        <v>458</v>
      </c>
      <c r="B1019" t="s">
        <v>2339</v>
      </c>
      <c r="C1019" t="s">
        <v>31</v>
      </c>
      <c r="D1019" t="s">
        <v>460</v>
      </c>
      <c r="E1019" t="s">
        <v>461</v>
      </c>
      <c r="F1019">
        <v>51</v>
      </c>
      <c r="G1019" t="s">
        <v>24</v>
      </c>
      <c r="H1019" t="s">
        <v>2340</v>
      </c>
      <c r="I1019">
        <f>62-835-6789-123</f>
        <v>-7685</v>
      </c>
      <c r="J1019" s="1">
        <v>45501</v>
      </c>
      <c r="K1019" s="1">
        <v>45306</v>
      </c>
      <c r="L1019">
        <v>19900.25</v>
      </c>
      <c r="M1019">
        <v>11800.8</v>
      </c>
      <c r="N1019">
        <v>695</v>
      </c>
      <c r="O1019">
        <v>62000</v>
      </c>
      <c r="P1019" t="s">
        <v>26</v>
      </c>
      <c r="Q1019" t="s">
        <v>43</v>
      </c>
      <c r="R1019">
        <v>0</v>
      </c>
      <c r="S1019" t="s">
        <v>28</v>
      </c>
    </row>
    <row r="1020" spans="1:19">
      <c r="A1020" t="s">
        <v>582</v>
      </c>
      <c r="B1020" t="s">
        <v>2341</v>
      </c>
      <c r="C1020" t="s">
        <v>57</v>
      </c>
      <c r="D1020" t="s">
        <v>22</v>
      </c>
      <c r="E1020" t="s">
        <v>53</v>
      </c>
      <c r="F1020">
        <v>54</v>
      </c>
      <c r="G1020" t="s">
        <v>34</v>
      </c>
      <c r="H1020" t="s">
        <v>2342</v>
      </c>
      <c r="I1020">
        <f>1-773-555-198</f>
        <v>-1525</v>
      </c>
      <c r="J1020" s="1">
        <v>45160</v>
      </c>
      <c r="K1020" s="1">
        <v>45303</v>
      </c>
      <c r="L1020">
        <v>40900.9</v>
      </c>
      <c r="M1020">
        <v>16000.25</v>
      </c>
      <c r="N1020">
        <v>755</v>
      </c>
      <c r="O1020">
        <v>84000</v>
      </c>
      <c r="P1020" t="s">
        <v>36</v>
      </c>
      <c r="Q1020" t="s">
        <v>27</v>
      </c>
      <c r="R1020">
        <v>0</v>
      </c>
      <c r="S1020" t="s">
        <v>28</v>
      </c>
    </row>
    <row r="1021" spans="1:19">
      <c r="A1021" t="s">
        <v>55</v>
      </c>
      <c r="B1021" t="s">
        <v>2343</v>
      </c>
      <c r="C1021" t="s">
        <v>39</v>
      </c>
      <c r="D1021" t="s">
        <v>58</v>
      </c>
      <c r="E1021" t="s">
        <v>122</v>
      </c>
      <c r="F1021">
        <v>72</v>
      </c>
      <c r="G1021" t="s">
        <v>24</v>
      </c>
      <c r="H1021" t="s">
        <v>2344</v>
      </c>
      <c r="I1021">
        <f>86-138-123-4567</f>
        <v>-4742</v>
      </c>
      <c r="J1021" s="1">
        <v>43912</v>
      </c>
      <c r="K1021" s="1">
        <v>45300</v>
      </c>
      <c r="L1021">
        <v>191900.4</v>
      </c>
      <c r="M1021">
        <v>110000.75</v>
      </c>
      <c r="N1021">
        <v>685</v>
      </c>
      <c r="O1021">
        <v>218000</v>
      </c>
      <c r="P1021" t="s">
        <v>76</v>
      </c>
      <c r="Q1021" t="s">
        <v>27</v>
      </c>
      <c r="R1021">
        <v>0</v>
      </c>
      <c r="S1021" t="s">
        <v>28</v>
      </c>
    </row>
    <row r="1022" spans="1:19">
      <c r="A1022" t="s">
        <v>469</v>
      </c>
      <c r="B1022" t="s">
        <v>2345</v>
      </c>
      <c r="C1022" t="s">
        <v>52</v>
      </c>
      <c r="D1022" t="s">
        <v>471</v>
      </c>
      <c r="E1022" t="s">
        <v>472</v>
      </c>
      <c r="F1022">
        <v>63</v>
      </c>
      <c r="G1022" t="s">
        <v>34</v>
      </c>
      <c r="H1022" t="s">
        <v>2346</v>
      </c>
      <c r="I1022">
        <f>48-723-567-890</f>
        <v>-2132</v>
      </c>
      <c r="J1022" s="1">
        <v>44552</v>
      </c>
      <c r="K1022" s="1">
        <v>45301</v>
      </c>
      <c r="L1022">
        <v>70900.800000000003</v>
      </c>
      <c r="M1022">
        <v>44000.6</v>
      </c>
      <c r="N1022">
        <v>715</v>
      </c>
      <c r="O1022">
        <v>117000</v>
      </c>
      <c r="P1022" t="s">
        <v>26</v>
      </c>
      <c r="Q1022" t="s">
        <v>27</v>
      </c>
      <c r="R1022">
        <v>0</v>
      </c>
      <c r="S1022" t="s">
        <v>28</v>
      </c>
    </row>
    <row r="1023" spans="1:19">
      <c r="A1023" t="s">
        <v>474</v>
      </c>
      <c r="B1023" t="s">
        <v>2347</v>
      </c>
      <c r="C1023" t="s">
        <v>46</v>
      </c>
      <c r="D1023" t="s">
        <v>345</v>
      </c>
      <c r="E1023" t="s">
        <v>476</v>
      </c>
      <c r="F1023">
        <v>66</v>
      </c>
      <c r="G1023" t="s">
        <v>24</v>
      </c>
      <c r="H1023" t="s">
        <v>2348</v>
      </c>
      <c r="I1023">
        <f>880-1812-789012</f>
        <v>-789944</v>
      </c>
      <c r="J1023" s="1">
        <v>44461</v>
      </c>
      <c r="K1023" s="1">
        <v>45302</v>
      </c>
      <c r="L1023">
        <v>98700.25</v>
      </c>
      <c r="M1023">
        <v>54000.4</v>
      </c>
      <c r="N1023">
        <v>680</v>
      </c>
      <c r="O1023">
        <v>146000</v>
      </c>
      <c r="P1023" t="s">
        <v>26</v>
      </c>
      <c r="Q1023" t="s">
        <v>27</v>
      </c>
      <c r="R1023">
        <v>0</v>
      </c>
      <c r="S1023" t="s">
        <v>28</v>
      </c>
    </row>
    <row r="1024" spans="1:19">
      <c r="A1024" t="s">
        <v>592</v>
      </c>
      <c r="B1024" t="s">
        <v>2349</v>
      </c>
      <c r="C1024" t="s">
        <v>84</v>
      </c>
      <c r="D1024" t="s">
        <v>32</v>
      </c>
      <c r="E1024" t="s">
        <v>90</v>
      </c>
      <c r="F1024">
        <v>46</v>
      </c>
      <c r="G1024" t="s">
        <v>34</v>
      </c>
      <c r="H1024" t="s">
        <v>2350</v>
      </c>
      <c r="I1024">
        <f>81-90-9012-3456</f>
        <v>-12477</v>
      </c>
      <c r="J1024" s="1">
        <v>45509</v>
      </c>
      <c r="K1024" s="1">
        <v>45304</v>
      </c>
      <c r="L1024">
        <v>4250.3999999999996</v>
      </c>
      <c r="M1024">
        <v>13800.75</v>
      </c>
      <c r="N1024">
        <v>610</v>
      </c>
      <c r="O1024">
        <v>42000</v>
      </c>
      <c r="P1024" t="s">
        <v>76</v>
      </c>
      <c r="Q1024" t="s">
        <v>43</v>
      </c>
      <c r="R1024">
        <v>0</v>
      </c>
      <c r="S1024" t="s">
        <v>28</v>
      </c>
    </row>
    <row r="1025" spans="1:19">
      <c r="A1025" t="s">
        <v>595</v>
      </c>
      <c r="B1025" t="s">
        <v>2351</v>
      </c>
      <c r="C1025" t="s">
        <v>21</v>
      </c>
      <c r="D1025" t="s">
        <v>209</v>
      </c>
      <c r="E1025" t="s">
        <v>210</v>
      </c>
      <c r="F1025">
        <v>78</v>
      </c>
      <c r="G1025" t="s">
        <v>24</v>
      </c>
      <c r="H1025" t="s">
        <v>2352</v>
      </c>
      <c r="I1025">
        <f>52-55-7890-123</f>
        <v>-8016</v>
      </c>
      <c r="J1025" s="1">
        <v>43607</v>
      </c>
      <c r="K1025" s="1">
        <v>45299</v>
      </c>
      <c r="L1025">
        <v>289900.79999999999</v>
      </c>
      <c r="M1025">
        <v>101000.25</v>
      </c>
      <c r="N1025">
        <v>825</v>
      </c>
      <c r="O1025">
        <v>298000</v>
      </c>
      <c r="P1025" t="s">
        <v>36</v>
      </c>
      <c r="Q1025" t="s">
        <v>27</v>
      </c>
      <c r="R1025">
        <v>0</v>
      </c>
      <c r="S1025" t="s">
        <v>28</v>
      </c>
    </row>
    <row r="1026" spans="1:19">
      <c r="A1026" t="s">
        <v>226</v>
      </c>
      <c r="B1026" t="s">
        <v>2353</v>
      </c>
      <c r="C1026" t="s">
        <v>57</v>
      </c>
      <c r="D1026" t="s">
        <v>228</v>
      </c>
      <c r="E1026" t="s">
        <v>229</v>
      </c>
      <c r="F1026">
        <v>53</v>
      </c>
      <c r="G1026" t="s">
        <v>34</v>
      </c>
      <c r="H1026" t="s">
        <v>2354</v>
      </c>
      <c r="I1026">
        <f>254-747-890-123</f>
        <v>-1506</v>
      </c>
      <c r="J1026" s="1">
        <v>45344</v>
      </c>
      <c r="K1026" s="1">
        <v>45305</v>
      </c>
      <c r="L1026">
        <v>37600.75</v>
      </c>
      <c r="M1026">
        <v>14400.4</v>
      </c>
      <c r="N1026">
        <v>725</v>
      </c>
      <c r="O1026">
        <v>74000</v>
      </c>
      <c r="P1026" t="s">
        <v>36</v>
      </c>
      <c r="Q1026" t="s">
        <v>27</v>
      </c>
      <c r="R1026">
        <v>0</v>
      </c>
      <c r="S1026" t="s">
        <v>28</v>
      </c>
    </row>
    <row r="1027" spans="1:19">
      <c r="A1027" t="s">
        <v>488</v>
      </c>
      <c r="B1027" t="s">
        <v>2355</v>
      </c>
      <c r="C1027" t="s">
        <v>39</v>
      </c>
      <c r="D1027" t="s">
        <v>304</v>
      </c>
      <c r="E1027" t="s">
        <v>304</v>
      </c>
      <c r="F1027">
        <v>70</v>
      </c>
      <c r="G1027" t="s">
        <v>24</v>
      </c>
      <c r="H1027" t="s">
        <v>2356</v>
      </c>
      <c r="I1027">
        <f>65-690-1234</f>
        <v>-1859</v>
      </c>
      <c r="J1027" s="1">
        <v>44086</v>
      </c>
      <c r="K1027" s="1">
        <v>45300</v>
      </c>
      <c r="L1027">
        <v>170100.6</v>
      </c>
      <c r="M1027">
        <v>101000.9</v>
      </c>
      <c r="N1027">
        <v>675</v>
      </c>
      <c r="O1027">
        <v>198000</v>
      </c>
      <c r="P1027" t="s">
        <v>76</v>
      </c>
      <c r="Q1027" t="s">
        <v>27</v>
      </c>
      <c r="R1027">
        <v>0</v>
      </c>
      <c r="S1027" t="s">
        <v>28</v>
      </c>
    </row>
    <row r="1028" spans="1:19">
      <c r="A1028" t="s">
        <v>491</v>
      </c>
      <c r="B1028" t="s">
        <v>2357</v>
      </c>
      <c r="C1028" t="s">
        <v>52</v>
      </c>
      <c r="D1028" t="s">
        <v>493</v>
      </c>
      <c r="E1028" t="s">
        <v>494</v>
      </c>
      <c r="F1028">
        <v>61</v>
      </c>
      <c r="G1028" t="s">
        <v>34</v>
      </c>
      <c r="H1028" t="s">
        <v>2358</v>
      </c>
      <c r="I1028">
        <f>30-715-678-9012</f>
        <v>-10375</v>
      </c>
      <c r="J1028" s="1">
        <v>44856</v>
      </c>
      <c r="K1028" s="1">
        <v>45302</v>
      </c>
      <c r="L1028">
        <v>65100.4</v>
      </c>
      <c r="M1028">
        <v>39800.25</v>
      </c>
      <c r="N1028">
        <v>705</v>
      </c>
      <c r="O1028">
        <v>106000</v>
      </c>
      <c r="P1028" t="s">
        <v>26</v>
      </c>
      <c r="Q1028" t="s">
        <v>27</v>
      </c>
      <c r="R1028">
        <v>0</v>
      </c>
      <c r="S1028" t="s">
        <v>28</v>
      </c>
    </row>
    <row r="1029" spans="1:19">
      <c r="A1029" t="s">
        <v>496</v>
      </c>
      <c r="B1029" t="s">
        <v>2359</v>
      </c>
      <c r="C1029" t="s">
        <v>46</v>
      </c>
      <c r="D1029" t="s">
        <v>321</v>
      </c>
      <c r="E1029" t="s">
        <v>322</v>
      </c>
      <c r="F1029">
        <v>64</v>
      </c>
      <c r="G1029" t="s">
        <v>24</v>
      </c>
      <c r="H1029" t="s">
        <v>2360</v>
      </c>
      <c r="I1029">
        <f>61-447-890-123</f>
        <v>-1399</v>
      </c>
      <c r="J1029" s="1">
        <v>44338</v>
      </c>
      <c r="K1029" s="1">
        <v>45301</v>
      </c>
      <c r="L1029">
        <v>111100.75</v>
      </c>
      <c r="M1029">
        <v>60900.800000000003</v>
      </c>
      <c r="N1029">
        <v>730</v>
      </c>
      <c r="O1029">
        <v>172000</v>
      </c>
      <c r="P1029" t="s">
        <v>26</v>
      </c>
      <c r="Q1029" t="s">
        <v>27</v>
      </c>
      <c r="R1029">
        <v>0</v>
      </c>
      <c r="S1029" t="s">
        <v>28</v>
      </c>
    </row>
    <row r="1030" spans="1:19">
      <c r="A1030" t="s">
        <v>324</v>
      </c>
      <c r="B1030" t="s">
        <v>2361</v>
      </c>
      <c r="C1030" t="s">
        <v>31</v>
      </c>
      <c r="D1030" t="s">
        <v>313</v>
      </c>
      <c r="E1030" t="s">
        <v>501</v>
      </c>
      <c r="F1030">
        <v>49</v>
      </c>
      <c r="G1030" t="s">
        <v>34</v>
      </c>
      <c r="H1030" t="s">
        <v>2362</v>
      </c>
      <c r="I1030">
        <f>92-345-5432109</f>
        <v>-5432362</v>
      </c>
      <c r="J1030" s="1">
        <v>45501</v>
      </c>
      <c r="K1030" s="1">
        <v>45306</v>
      </c>
      <c r="L1030">
        <v>17000.900000000001</v>
      </c>
      <c r="M1030">
        <v>9900.75</v>
      </c>
      <c r="N1030">
        <v>685</v>
      </c>
      <c r="O1030">
        <v>59000</v>
      </c>
      <c r="P1030" t="s">
        <v>26</v>
      </c>
      <c r="Q1030" t="s">
        <v>43</v>
      </c>
      <c r="R1030">
        <v>0</v>
      </c>
      <c r="S1030" t="s">
        <v>28</v>
      </c>
    </row>
    <row r="1031" spans="1:19">
      <c r="A1031" t="s">
        <v>503</v>
      </c>
      <c r="B1031" t="s">
        <v>2363</v>
      </c>
      <c r="C1031" t="s">
        <v>21</v>
      </c>
      <c r="D1031" t="s">
        <v>32</v>
      </c>
      <c r="E1031" t="s">
        <v>33</v>
      </c>
      <c r="F1031">
        <v>81</v>
      </c>
      <c r="G1031" t="s">
        <v>24</v>
      </c>
      <c r="H1031" t="s">
        <v>2364</v>
      </c>
      <c r="I1031">
        <f>81-80-5678-9012</f>
        <v>-14689</v>
      </c>
      <c r="J1031" s="1">
        <v>43334</v>
      </c>
      <c r="K1031" s="1">
        <v>45299</v>
      </c>
      <c r="L1031">
        <v>300800.25</v>
      </c>
      <c r="M1031">
        <v>105000.4</v>
      </c>
      <c r="N1031">
        <v>840</v>
      </c>
      <c r="O1031">
        <v>313000</v>
      </c>
      <c r="P1031" t="s">
        <v>36</v>
      </c>
      <c r="Q1031" t="s">
        <v>27</v>
      </c>
      <c r="R1031">
        <v>0</v>
      </c>
      <c r="S1031" t="s">
        <v>28</v>
      </c>
    </row>
    <row r="1032" spans="1:19">
      <c r="A1032" t="s">
        <v>506</v>
      </c>
      <c r="B1032" t="s">
        <v>2365</v>
      </c>
      <c r="C1032" t="s">
        <v>39</v>
      </c>
      <c r="D1032" t="s">
        <v>68</v>
      </c>
      <c r="E1032" t="s">
        <v>69</v>
      </c>
      <c r="F1032">
        <v>73</v>
      </c>
      <c r="G1032" t="s">
        <v>34</v>
      </c>
      <c r="H1032" t="s">
        <v>2366</v>
      </c>
      <c r="I1032">
        <f>234-837-890-1234</f>
        <v>-2727</v>
      </c>
      <c r="J1032" s="1">
        <v>43852</v>
      </c>
      <c r="K1032" s="1">
        <v>45300</v>
      </c>
      <c r="L1032">
        <v>181200.4</v>
      </c>
      <c r="M1032">
        <v>105000.75</v>
      </c>
      <c r="N1032">
        <v>650</v>
      </c>
      <c r="O1032">
        <v>208000</v>
      </c>
      <c r="P1032" t="s">
        <v>76</v>
      </c>
      <c r="Q1032" t="s">
        <v>27</v>
      </c>
      <c r="R1032">
        <v>0</v>
      </c>
      <c r="S1032" t="s">
        <v>28</v>
      </c>
    </row>
    <row r="1033" spans="1:19">
      <c r="A1033" t="s">
        <v>509</v>
      </c>
      <c r="B1033" t="s">
        <v>2367</v>
      </c>
      <c r="C1033" t="s">
        <v>46</v>
      </c>
      <c r="D1033" t="s">
        <v>73</v>
      </c>
      <c r="E1033" t="s">
        <v>158</v>
      </c>
      <c r="F1033">
        <v>60</v>
      </c>
      <c r="G1033" t="s">
        <v>24</v>
      </c>
      <c r="H1033" t="s">
        <v>2368</v>
      </c>
      <c r="I1033">
        <f>49-199-123456</f>
        <v>-123606</v>
      </c>
      <c r="J1033" s="1">
        <v>45068</v>
      </c>
      <c r="K1033" s="1">
        <v>45303</v>
      </c>
      <c r="L1033">
        <v>99800.4</v>
      </c>
      <c r="M1033">
        <v>55100.25</v>
      </c>
      <c r="N1033">
        <v>745</v>
      </c>
      <c r="O1033">
        <v>152000</v>
      </c>
      <c r="P1033" t="s">
        <v>26</v>
      </c>
      <c r="Q1033" t="s">
        <v>27</v>
      </c>
      <c r="R1033">
        <v>0</v>
      </c>
      <c r="S1033" t="s">
        <v>28</v>
      </c>
    </row>
    <row r="1034" spans="1:19">
      <c r="A1034" t="s">
        <v>513</v>
      </c>
      <c r="B1034" t="s">
        <v>2369</v>
      </c>
      <c r="C1034" t="s">
        <v>57</v>
      </c>
      <c r="D1034" t="s">
        <v>58</v>
      </c>
      <c r="E1034" t="s">
        <v>122</v>
      </c>
      <c r="F1034">
        <v>55</v>
      </c>
      <c r="G1034" t="s">
        <v>34</v>
      </c>
      <c r="H1034" t="s">
        <v>2370</v>
      </c>
      <c r="I1034">
        <f>86-137-123-4567</f>
        <v>-4741</v>
      </c>
      <c r="J1034" s="1">
        <v>45252</v>
      </c>
      <c r="K1034" s="1">
        <v>45302</v>
      </c>
      <c r="L1034">
        <v>39800.800000000003</v>
      </c>
      <c r="M1034">
        <v>15600.9</v>
      </c>
      <c r="N1034">
        <v>765</v>
      </c>
      <c r="O1034">
        <v>84000</v>
      </c>
      <c r="P1034" t="s">
        <v>36</v>
      </c>
      <c r="Q1034" t="s">
        <v>27</v>
      </c>
      <c r="R1034">
        <v>0</v>
      </c>
      <c r="S1034" t="s">
        <v>28</v>
      </c>
    </row>
    <row r="1035" spans="1:19">
      <c r="A1035" t="s">
        <v>516</v>
      </c>
      <c r="B1035" t="s">
        <v>2371</v>
      </c>
      <c r="C1035" t="s">
        <v>52</v>
      </c>
      <c r="D1035" t="s">
        <v>277</v>
      </c>
      <c r="E1035" t="s">
        <v>404</v>
      </c>
      <c r="F1035">
        <v>68</v>
      </c>
      <c r="G1035" t="s">
        <v>24</v>
      </c>
      <c r="H1035" t="s">
        <v>2372</v>
      </c>
      <c r="I1035">
        <f>20-122-654-3210</f>
        <v>-3966</v>
      </c>
      <c r="J1035" s="1">
        <v>44522</v>
      </c>
      <c r="K1035" s="1">
        <v>45301</v>
      </c>
      <c r="L1035">
        <v>73100.75</v>
      </c>
      <c r="M1035">
        <v>46200.4</v>
      </c>
      <c r="N1035">
        <v>675</v>
      </c>
      <c r="O1035">
        <v>124000</v>
      </c>
      <c r="P1035" t="s">
        <v>26</v>
      </c>
      <c r="Q1035" t="s">
        <v>27</v>
      </c>
      <c r="R1035">
        <v>0</v>
      </c>
      <c r="S1035" t="s">
        <v>28</v>
      </c>
    </row>
    <row r="1036" spans="1:19">
      <c r="A1036" t="s">
        <v>519</v>
      </c>
      <c r="B1036" t="s">
        <v>2373</v>
      </c>
      <c r="C1036" t="s">
        <v>84</v>
      </c>
      <c r="D1036" t="s">
        <v>183</v>
      </c>
      <c r="E1036" t="s">
        <v>184</v>
      </c>
      <c r="F1036">
        <v>47</v>
      </c>
      <c r="G1036" t="s">
        <v>34</v>
      </c>
      <c r="H1036" t="s">
        <v>2374</v>
      </c>
      <c r="I1036">
        <f>33-6-7890-1234</f>
        <v>-9097</v>
      </c>
      <c r="J1036" s="1">
        <v>45516</v>
      </c>
      <c r="K1036" s="1">
        <v>45304</v>
      </c>
      <c r="L1036">
        <v>4500.25</v>
      </c>
      <c r="M1036">
        <v>15000.6</v>
      </c>
      <c r="N1036">
        <v>615</v>
      </c>
      <c r="O1036">
        <v>44000</v>
      </c>
      <c r="P1036" t="s">
        <v>76</v>
      </c>
      <c r="Q1036" t="s">
        <v>43</v>
      </c>
      <c r="R1036">
        <v>0</v>
      </c>
      <c r="S1036" t="s">
        <v>28</v>
      </c>
    </row>
    <row r="1037" spans="1:19">
      <c r="A1037" t="s">
        <v>522</v>
      </c>
      <c r="B1037" t="s">
        <v>2375</v>
      </c>
      <c r="C1037" t="s">
        <v>39</v>
      </c>
      <c r="D1037" t="s">
        <v>40</v>
      </c>
      <c r="E1037" t="s">
        <v>94</v>
      </c>
      <c r="F1037">
        <v>75</v>
      </c>
      <c r="G1037" t="s">
        <v>24</v>
      </c>
      <c r="H1037" t="s">
        <v>2376</v>
      </c>
      <c r="I1037">
        <f>91-987-654-3210</f>
        <v>-4760</v>
      </c>
      <c r="J1037" s="1">
        <v>43821</v>
      </c>
      <c r="K1037" s="1">
        <v>45299</v>
      </c>
      <c r="L1037">
        <v>215800.8</v>
      </c>
      <c r="M1037">
        <v>118000.25</v>
      </c>
      <c r="N1037">
        <v>660</v>
      </c>
      <c r="O1037">
        <v>243000</v>
      </c>
      <c r="P1037" t="s">
        <v>76</v>
      </c>
      <c r="Q1037" t="s">
        <v>27</v>
      </c>
      <c r="R1037">
        <v>0</v>
      </c>
      <c r="S1037" t="s">
        <v>28</v>
      </c>
    </row>
    <row r="1038" spans="1:19">
      <c r="A1038" t="s">
        <v>306</v>
      </c>
      <c r="B1038" t="s">
        <v>2377</v>
      </c>
      <c r="C1038" t="s">
        <v>46</v>
      </c>
      <c r="D1038" t="s">
        <v>209</v>
      </c>
      <c r="E1038" t="s">
        <v>703</v>
      </c>
      <c r="F1038">
        <v>62</v>
      </c>
      <c r="G1038" t="s">
        <v>34</v>
      </c>
      <c r="H1038" t="s">
        <v>2378</v>
      </c>
      <c r="I1038">
        <f>52-81-8901-123</f>
        <v>-9053</v>
      </c>
      <c r="J1038" s="1">
        <v>44673</v>
      </c>
      <c r="K1038" s="1">
        <v>45302</v>
      </c>
      <c r="L1038">
        <v>94200.9</v>
      </c>
      <c r="M1038">
        <v>52000.75</v>
      </c>
      <c r="N1038">
        <v>730</v>
      </c>
      <c r="O1038">
        <v>147000</v>
      </c>
      <c r="P1038" t="s">
        <v>26</v>
      </c>
      <c r="Q1038" t="s">
        <v>27</v>
      </c>
      <c r="R1038">
        <v>0</v>
      </c>
      <c r="S1038" t="s">
        <v>28</v>
      </c>
    </row>
    <row r="1039" spans="1:19">
      <c r="A1039" t="s">
        <v>527</v>
      </c>
      <c r="B1039" t="s">
        <v>2379</v>
      </c>
      <c r="C1039" t="s">
        <v>31</v>
      </c>
      <c r="D1039" t="s">
        <v>32</v>
      </c>
      <c r="E1039" t="s">
        <v>90</v>
      </c>
      <c r="F1039">
        <v>51</v>
      </c>
      <c r="G1039" t="s">
        <v>34</v>
      </c>
      <c r="H1039" t="s">
        <v>2380</v>
      </c>
      <c r="I1039">
        <f>81-90-6789-123</f>
        <v>-6921</v>
      </c>
      <c r="J1039" s="1">
        <v>45512</v>
      </c>
      <c r="K1039" s="1">
        <v>45305</v>
      </c>
      <c r="L1039">
        <v>18100.400000000001</v>
      </c>
      <c r="M1039">
        <v>10000.25</v>
      </c>
      <c r="N1039">
        <v>705</v>
      </c>
      <c r="O1039">
        <v>61000</v>
      </c>
      <c r="P1039" t="s">
        <v>26</v>
      </c>
      <c r="Q1039" t="s">
        <v>43</v>
      </c>
      <c r="R1039">
        <v>0</v>
      </c>
      <c r="S1039" t="s">
        <v>28</v>
      </c>
    </row>
    <row r="1040" spans="1:19">
      <c r="A1040" t="s">
        <v>530</v>
      </c>
      <c r="B1040" t="s">
        <v>2381</v>
      </c>
      <c r="C1040" t="s">
        <v>57</v>
      </c>
      <c r="D1040" t="s">
        <v>219</v>
      </c>
      <c r="E1040" t="s">
        <v>220</v>
      </c>
      <c r="F1040">
        <v>56</v>
      </c>
      <c r="G1040" t="s">
        <v>24</v>
      </c>
      <c r="H1040" t="s">
        <v>2382</v>
      </c>
      <c r="I1040">
        <f>233-78-901-2345</f>
        <v>-3091</v>
      </c>
      <c r="J1040" s="1">
        <v>45221</v>
      </c>
      <c r="K1040" s="1">
        <v>45303</v>
      </c>
      <c r="L1040">
        <v>38700.6</v>
      </c>
      <c r="M1040">
        <v>15000.8</v>
      </c>
      <c r="N1040">
        <v>710</v>
      </c>
      <c r="O1040">
        <v>77000</v>
      </c>
      <c r="P1040" t="s">
        <v>36</v>
      </c>
      <c r="Q1040" t="s">
        <v>27</v>
      </c>
      <c r="R1040">
        <v>0</v>
      </c>
      <c r="S1040" t="s">
        <v>28</v>
      </c>
    </row>
    <row r="1041" spans="1:19">
      <c r="A1041" t="s">
        <v>533</v>
      </c>
      <c r="B1041" t="s">
        <v>2383</v>
      </c>
      <c r="C1041" t="s">
        <v>52</v>
      </c>
      <c r="D1041" t="s">
        <v>204</v>
      </c>
      <c r="E1041" t="s">
        <v>259</v>
      </c>
      <c r="F1041">
        <v>63</v>
      </c>
      <c r="G1041" t="s">
        <v>34</v>
      </c>
      <c r="H1041" t="s">
        <v>2384</v>
      </c>
      <c r="I1041">
        <f>7-921-432-10-98</f>
        <v>-1454</v>
      </c>
      <c r="J1041" s="1">
        <v>44522</v>
      </c>
      <c r="K1041" s="1">
        <v>45301</v>
      </c>
      <c r="L1041">
        <v>70000.25</v>
      </c>
      <c r="M1041">
        <v>43100.9</v>
      </c>
      <c r="N1041">
        <v>695</v>
      </c>
      <c r="O1041">
        <v>112000</v>
      </c>
      <c r="P1041" t="s">
        <v>26</v>
      </c>
      <c r="Q1041" t="s">
        <v>27</v>
      </c>
      <c r="R1041">
        <v>0</v>
      </c>
      <c r="S1041" t="s">
        <v>28</v>
      </c>
    </row>
    <row r="1042" spans="1:19">
      <c r="A1042" t="s">
        <v>536</v>
      </c>
      <c r="B1042" t="s">
        <v>2385</v>
      </c>
      <c r="C1042" t="s">
        <v>39</v>
      </c>
      <c r="D1042" t="s">
        <v>195</v>
      </c>
      <c r="E1042" t="s">
        <v>196</v>
      </c>
      <c r="F1042">
        <v>71</v>
      </c>
      <c r="G1042" t="s">
        <v>24</v>
      </c>
      <c r="H1042" t="s">
        <v>2386</v>
      </c>
      <c r="I1042">
        <f>353-10-890-1234</f>
        <v>-1781</v>
      </c>
      <c r="J1042" s="1">
        <v>43973</v>
      </c>
      <c r="K1042" s="1">
        <v>45300</v>
      </c>
      <c r="L1042">
        <v>148000.4</v>
      </c>
      <c r="M1042">
        <v>92000.6</v>
      </c>
      <c r="N1042">
        <v>670</v>
      </c>
      <c r="O1042">
        <v>179000</v>
      </c>
      <c r="P1042" t="s">
        <v>76</v>
      </c>
      <c r="Q1042" t="s">
        <v>27</v>
      </c>
      <c r="R1042">
        <v>0</v>
      </c>
      <c r="S1042" t="s">
        <v>28</v>
      </c>
    </row>
    <row r="1043" spans="1:19">
      <c r="A1043" t="s">
        <v>539</v>
      </c>
      <c r="B1043" t="s">
        <v>2387</v>
      </c>
      <c r="C1043" t="s">
        <v>21</v>
      </c>
      <c r="D1043" t="s">
        <v>58</v>
      </c>
      <c r="E1043" t="s">
        <v>59</v>
      </c>
      <c r="F1043">
        <v>79</v>
      </c>
      <c r="G1043" t="s">
        <v>34</v>
      </c>
      <c r="H1043" t="s">
        <v>2388</v>
      </c>
      <c r="I1043">
        <f>86-139-7890-1234</f>
        <v>-9177</v>
      </c>
      <c r="J1043" s="1">
        <v>43546</v>
      </c>
      <c r="K1043" s="1">
        <v>45299</v>
      </c>
      <c r="L1043">
        <v>314900.75</v>
      </c>
      <c r="M1043">
        <v>109000.8</v>
      </c>
      <c r="N1043">
        <v>835</v>
      </c>
      <c r="O1043">
        <v>324000</v>
      </c>
      <c r="P1043" t="s">
        <v>36</v>
      </c>
      <c r="Q1043" t="s">
        <v>27</v>
      </c>
      <c r="R1043">
        <v>0</v>
      </c>
      <c r="S1043" t="s">
        <v>28</v>
      </c>
    </row>
    <row r="1044" spans="1:19">
      <c r="A1044" t="s">
        <v>542</v>
      </c>
      <c r="B1044" t="s">
        <v>2389</v>
      </c>
      <c r="C1044" t="s">
        <v>52</v>
      </c>
      <c r="D1044" t="s">
        <v>68</v>
      </c>
      <c r="E1044" t="s">
        <v>69</v>
      </c>
      <c r="F1044">
        <v>66</v>
      </c>
      <c r="G1044" t="s">
        <v>34</v>
      </c>
      <c r="H1044" t="s">
        <v>2390</v>
      </c>
      <c r="I1044">
        <f>234-838-901-2345</f>
        <v>-3850</v>
      </c>
      <c r="J1044" s="1">
        <v>44491</v>
      </c>
      <c r="K1044" s="1">
        <v>45302</v>
      </c>
      <c r="L1044">
        <v>78700.600000000006</v>
      </c>
      <c r="M1044">
        <v>48700.25</v>
      </c>
      <c r="N1044">
        <v>665</v>
      </c>
      <c r="O1044">
        <v>132000</v>
      </c>
      <c r="P1044" t="s">
        <v>26</v>
      </c>
      <c r="Q1044" t="s">
        <v>27</v>
      </c>
      <c r="R1044">
        <v>0</v>
      </c>
      <c r="S1044" t="s">
        <v>28</v>
      </c>
    </row>
    <row r="1045" spans="1:19">
      <c r="A1045" t="s">
        <v>545</v>
      </c>
      <c r="B1045" t="s">
        <v>2391</v>
      </c>
      <c r="C1045" t="s">
        <v>46</v>
      </c>
      <c r="D1045" t="s">
        <v>241</v>
      </c>
      <c r="E1045" t="s">
        <v>242</v>
      </c>
      <c r="F1045">
        <v>58</v>
      </c>
      <c r="G1045" t="s">
        <v>24</v>
      </c>
      <c r="H1045" t="s">
        <v>2392</v>
      </c>
      <c r="I1045">
        <f>39-372-678-9012</f>
        <v>-10023</v>
      </c>
      <c r="J1045" s="1">
        <v>45129</v>
      </c>
      <c r="K1045" s="1">
        <v>45303</v>
      </c>
      <c r="L1045">
        <v>102000.8</v>
      </c>
      <c r="M1045">
        <v>56200.4</v>
      </c>
      <c r="N1045">
        <v>750</v>
      </c>
      <c r="O1045">
        <v>158000</v>
      </c>
      <c r="P1045" t="s">
        <v>26</v>
      </c>
      <c r="Q1045" t="s">
        <v>27</v>
      </c>
      <c r="R1045">
        <v>0</v>
      </c>
      <c r="S1045" t="s">
        <v>28</v>
      </c>
    </row>
    <row r="1046" spans="1:19">
      <c r="A1046" t="s">
        <v>548</v>
      </c>
      <c r="B1046" t="s">
        <v>2393</v>
      </c>
      <c r="C1046" t="s">
        <v>57</v>
      </c>
      <c r="D1046" t="s">
        <v>22</v>
      </c>
      <c r="E1046" t="s">
        <v>118</v>
      </c>
      <c r="F1046">
        <v>54</v>
      </c>
      <c r="G1046" t="s">
        <v>34</v>
      </c>
      <c r="H1046" t="s">
        <v>2394</v>
      </c>
      <c r="I1046">
        <f>1-310-555-198</f>
        <v>-1062</v>
      </c>
      <c r="J1046" s="1">
        <v>45313</v>
      </c>
      <c r="K1046" s="1">
        <v>45305</v>
      </c>
      <c r="L1046">
        <v>40900.9</v>
      </c>
      <c r="M1046">
        <v>16000.75</v>
      </c>
      <c r="N1046">
        <v>770</v>
      </c>
      <c r="O1046">
        <v>89000</v>
      </c>
      <c r="P1046" t="s">
        <v>36</v>
      </c>
      <c r="Q1046" t="s">
        <v>27</v>
      </c>
      <c r="R1046">
        <v>0</v>
      </c>
      <c r="S1046" t="s">
        <v>28</v>
      </c>
    </row>
    <row r="1047" spans="1:19">
      <c r="A1047" t="s">
        <v>551</v>
      </c>
      <c r="B1047" t="s">
        <v>2395</v>
      </c>
      <c r="C1047" t="s">
        <v>39</v>
      </c>
      <c r="D1047" t="s">
        <v>313</v>
      </c>
      <c r="E1047" t="s">
        <v>314</v>
      </c>
      <c r="F1047">
        <v>77</v>
      </c>
      <c r="G1047" t="s">
        <v>24</v>
      </c>
      <c r="H1047" t="s">
        <v>2396</v>
      </c>
      <c r="I1047">
        <f>92-324-5432109</f>
        <v>-5432341</v>
      </c>
      <c r="J1047" s="1">
        <v>43730</v>
      </c>
      <c r="K1047" s="1">
        <v>45299</v>
      </c>
      <c r="L1047">
        <v>201100.25</v>
      </c>
      <c r="M1047">
        <v>113000.8</v>
      </c>
      <c r="N1047">
        <v>645</v>
      </c>
      <c r="O1047">
        <v>229000</v>
      </c>
      <c r="P1047" t="s">
        <v>76</v>
      </c>
      <c r="Q1047" t="s">
        <v>27</v>
      </c>
      <c r="R1047">
        <v>0</v>
      </c>
      <c r="S1047" t="s">
        <v>28</v>
      </c>
    </row>
    <row r="1048" spans="1:19">
      <c r="A1048" t="s">
        <v>554</v>
      </c>
      <c r="B1048" t="s">
        <v>2397</v>
      </c>
      <c r="C1048" t="s">
        <v>31</v>
      </c>
      <c r="D1048" t="s">
        <v>214</v>
      </c>
      <c r="E1048" t="s">
        <v>724</v>
      </c>
      <c r="F1048">
        <v>50</v>
      </c>
      <c r="G1048" t="s">
        <v>34</v>
      </c>
      <c r="H1048" t="s">
        <v>2398</v>
      </c>
      <c r="I1048">
        <f>34-647-890-123</f>
        <v>-1626</v>
      </c>
      <c r="J1048" s="1">
        <v>45516</v>
      </c>
      <c r="K1048" s="1">
        <v>45306</v>
      </c>
      <c r="L1048">
        <v>34200.5</v>
      </c>
      <c r="M1048">
        <v>15600.4</v>
      </c>
      <c r="N1048">
        <v>720</v>
      </c>
      <c r="O1048">
        <v>66000</v>
      </c>
      <c r="P1048" t="s">
        <v>36</v>
      </c>
      <c r="Q1048" t="s">
        <v>27</v>
      </c>
      <c r="R1048">
        <v>0</v>
      </c>
      <c r="S1048" t="s">
        <v>28</v>
      </c>
    </row>
    <row r="1049" spans="1:19">
      <c r="A1049" t="s">
        <v>108</v>
      </c>
      <c r="B1049" t="s">
        <v>2399</v>
      </c>
      <c r="C1049" t="s">
        <v>84</v>
      </c>
      <c r="D1049" t="s">
        <v>32</v>
      </c>
      <c r="E1049" t="s">
        <v>33</v>
      </c>
      <c r="F1049">
        <v>46</v>
      </c>
      <c r="G1049" t="s">
        <v>24</v>
      </c>
      <c r="H1049" t="s">
        <v>2400</v>
      </c>
      <c r="I1049">
        <f>81-90-9012-3456</f>
        <v>-12477</v>
      </c>
      <c r="J1049" s="1">
        <v>45519</v>
      </c>
      <c r="K1049" s="1">
        <v>45304</v>
      </c>
      <c r="L1049">
        <v>4250.8</v>
      </c>
      <c r="M1049">
        <v>13400.25</v>
      </c>
      <c r="N1049">
        <v>605</v>
      </c>
      <c r="O1049">
        <v>42000</v>
      </c>
      <c r="P1049" t="s">
        <v>76</v>
      </c>
      <c r="Q1049" t="s">
        <v>43</v>
      </c>
      <c r="R1049">
        <v>0</v>
      </c>
      <c r="S1049" t="s">
        <v>28</v>
      </c>
    </row>
    <row r="1050" spans="1:19">
      <c r="A1050" t="s">
        <v>559</v>
      </c>
      <c r="B1050" t="s">
        <v>2401</v>
      </c>
      <c r="C1050" t="s">
        <v>46</v>
      </c>
      <c r="D1050" t="s">
        <v>254</v>
      </c>
      <c r="E1050" t="s">
        <v>255</v>
      </c>
      <c r="F1050">
        <v>60</v>
      </c>
      <c r="G1050" t="s">
        <v>34</v>
      </c>
      <c r="H1050" t="s">
        <v>2402</v>
      </c>
      <c r="I1050">
        <f>221-2-678-9012</f>
        <v>-9471</v>
      </c>
      <c r="J1050" s="1">
        <v>45007</v>
      </c>
      <c r="K1050" s="1">
        <v>45302</v>
      </c>
      <c r="L1050">
        <v>88700.4</v>
      </c>
      <c r="M1050">
        <v>50900.75</v>
      </c>
      <c r="N1050">
        <v>710</v>
      </c>
      <c r="O1050">
        <v>140000</v>
      </c>
      <c r="P1050" t="s">
        <v>26</v>
      </c>
      <c r="Q1050" t="s">
        <v>27</v>
      </c>
      <c r="R1050">
        <v>0</v>
      </c>
      <c r="S1050" t="s">
        <v>28</v>
      </c>
    </row>
    <row r="1051" spans="1:19">
      <c r="A1051" t="s">
        <v>562</v>
      </c>
      <c r="B1051" t="s">
        <v>2403</v>
      </c>
      <c r="C1051" t="s">
        <v>39</v>
      </c>
      <c r="D1051" t="s">
        <v>47</v>
      </c>
      <c r="E1051" t="s">
        <v>98</v>
      </c>
      <c r="F1051">
        <v>74</v>
      </c>
      <c r="G1051" t="s">
        <v>24</v>
      </c>
      <c r="H1051" t="s">
        <v>2404</v>
      </c>
      <c r="I1051">
        <f>44-79-9012-3456</f>
        <v>-12503</v>
      </c>
      <c r="J1051" s="1">
        <v>43883</v>
      </c>
      <c r="K1051" s="1">
        <v>45300</v>
      </c>
      <c r="L1051">
        <v>181300.6</v>
      </c>
      <c r="M1051">
        <v>106000.25</v>
      </c>
      <c r="N1051">
        <v>675</v>
      </c>
      <c r="O1051">
        <v>209000</v>
      </c>
      <c r="P1051" t="s">
        <v>76</v>
      </c>
      <c r="Q1051" t="s">
        <v>27</v>
      </c>
      <c r="R1051">
        <v>0</v>
      </c>
      <c r="S1051" t="s">
        <v>28</v>
      </c>
    </row>
    <row r="1052" spans="1:19">
      <c r="A1052" t="s">
        <v>565</v>
      </c>
      <c r="B1052" t="s">
        <v>2405</v>
      </c>
      <c r="C1052" t="s">
        <v>52</v>
      </c>
      <c r="D1052" t="s">
        <v>233</v>
      </c>
      <c r="E1052" t="s">
        <v>234</v>
      </c>
      <c r="F1052">
        <v>59</v>
      </c>
      <c r="G1052" t="s">
        <v>34</v>
      </c>
      <c r="H1052" t="s">
        <v>2406</v>
      </c>
      <c r="I1052">
        <f>82-10-8901-2345</f>
        <v>-11174</v>
      </c>
      <c r="J1052" s="1">
        <v>44795</v>
      </c>
      <c r="K1052" s="1">
        <v>45301</v>
      </c>
      <c r="L1052">
        <v>65100.75</v>
      </c>
      <c r="M1052">
        <v>42000.800000000003</v>
      </c>
      <c r="N1052">
        <v>725</v>
      </c>
      <c r="O1052">
        <v>106000</v>
      </c>
      <c r="P1052" t="s">
        <v>26</v>
      </c>
      <c r="Q1052" t="s">
        <v>27</v>
      </c>
      <c r="R1052">
        <v>0</v>
      </c>
      <c r="S1052" t="s">
        <v>28</v>
      </c>
    </row>
    <row r="1053" spans="1:19">
      <c r="A1053" t="s">
        <v>568</v>
      </c>
      <c r="B1053" t="s">
        <v>2407</v>
      </c>
      <c r="C1053" t="s">
        <v>57</v>
      </c>
      <c r="D1053" t="s">
        <v>79</v>
      </c>
      <c r="E1053" t="s">
        <v>80</v>
      </c>
      <c r="F1053">
        <v>57</v>
      </c>
      <c r="G1053" t="s">
        <v>24</v>
      </c>
      <c r="H1053" t="s">
        <v>2408</v>
      </c>
      <c r="I1053">
        <f>971-50-12-3456</f>
        <v>-2547</v>
      </c>
      <c r="J1053" s="1">
        <v>45252</v>
      </c>
      <c r="K1053" s="1">
        <v>45303</v>
      </c>
      <c r="L1053">
        <v>43100.4</v>
      </c>
      <c r="M1053">
        <v>16800.900000000001</v>
      </c>
      <c r="N1053">
        <v>740</v>
      </c>
      <c r="O1053">
        <v>92000</v>
      </c>
      <c r="P1053" t="s">
        <v>36</v>
      </c>
      <c r="Q1053" t="s">
        <v>27</v>
      </c>
      <c r="R1053">
        <v>0</v>
      </c>
      <c r="S1053" t="s">
        <v>28</v>
      </c>
    </row>
    <row r="1054" spans="1:19">
      <c r="A1054" t="s">
        <v>571</v>
      </c>
      <c r="B1054" t="s">
        <v>2409</v>
      </c>
      <c r="C1054" t="s">
        <v>21</v>
      </c>
      <c r="D1054" t="s">
        <v>63</v>
      </c>
      <c r="E1054" t="s">
        <v>64</v>
      </c>
      <c r="F1054">
        <v>80</v>
      </c>
      <c r="G1054" t="s">
        <v>34</v>
      </c>
      <c r="H1054" t="s">
        <v>2410</v>
      </c>
      <c r="I1054">
        <f>55-11-99912-3456</f>
        <v>-103324</v>
      </c>
      <c r="J1054" s="1">
        <v>43426</v>
      </c>
      <c r="K1054" s="1">
        <v>45299</v>
      </c>
      <c r="L1054">
        <v>270200.90000000002</v>
      </c>
      <c r="M1054">
        <v>96000.6</v>
      </c>
      <c r="N1054">
        <v>830</v>
      </c>
      <c r="O1054">
        <v>304000</v>
      </c>
      <c r="P1054" t="s">
        <v>36</v>
      </c>
      <c r="Q1054" t="s">
        <v>27</v>
      </c>
      <c r="R1054">
        <v>0</v>
      </c>
      <c r="S1054" t="s">
        <v>28</v>
      </c>
    </row>
    <row r="1055" spans="1:19">
      <c r="A1055" t="s">
        <v>574</v>
      </c>
      <c r="B1055" t="s">
        <v>2411</v>
      </c>
      <c r="C1055" t="s">
        <v>39</v>
      </c>
      <c r="D1055" t="s">
        <v>68</v>
      </c>
      <c r="E1055" t="s">
        <v>114</v>
      </c>
      <c r="F1055">
        <v>72</v>
      </c>
      <c r="G1055" t="s">
        <v>24</v>
      </c>
      <c r="H1055" t="s">
        <v>2412</v>
      </c>
      <c r="I1055">
        <f>234-839-12-3456</f>
        <v>-4073</v>
      </c>
      <c r="J1055" s="1">
        <v>44024</v>
      </c>
      <c r="K1055" s="1">
        <v>45300</v>
      </c>
      <c r="L1055">
        <v>159100.25</v>
      </c>
      <c r="M1055">
        <v>98000.4</v>
      </c>
      <c r="N1055">
        <v>655</v>
      </c>
      <c r="O1055">
        <v>194000</v>
      </c>
      <c r="P1055" t="s">
        <v>76</v>
      </c>
      <c r="Q1055" t="s">
        <v>27</v>
      </c>
      <c r="R1055">
        <v>0</v>
      </c>
      <c r="S1055" t="s">
        <v>28</v>
      </c>
    </row>
    <row r="1056" spans="1:19">
      <c r="A1056" t="s">
        <v>577</v>
      </c>
      <c r="B1056" t="s">
        <v>2413</v>
      </c>
      <c r="C1056" t="s">
        <v>46</v>
      </c>
      <c r="D1056" t="s">
        <v>85</v>
      </c>
      <c r="E1056" t="s">
        <v>162</v>
      </c>
      <c r="F1056">
        <v>61</v>
      </c>
      <c r="G1056" t="s">
        <v>34</v>
      </c>
      <c r="H1056" t="s">
        <v>2414</v>
      </c>
      <c r="I1056">
        <f>1-514-555-198</f>
        <v>-1266</v>
      </c>
      <c r="J1056" s="1">
        <v>44917</v>
      </c>
      <c r="K1056" s="1">
        <v>45302</v>
      </c>
      <c r="L1056">
        <v>107600.6</v>
      </c>
      <c r="M1056">
        <v>58900.75</v>
      </c>
      <c r="N1056">
        <v>760</v>
      </c>
      <c r="O1056">
        <v>163000</v>
      </c>
      <c r="P1056" t="s">
        <v>26</v>
      </c>
      <c r="Q1056" t="s">
        <v>27</v>
      </c>
      <c r="R1056">
        <v>0</v>
      </c>
      <c r="S1056" t="s">
        <v>28</v>
      </c>
    </row>
    <row r="1057" spans="1:19">
      <c r="A1057" t="s">
        <v>458</v>
      </c>
      <c r="B1057" t="s">
        <v>2415</v>
      </c>
      <c r="C1057" t="s">
        <v>31</v>
      </c>
      <c r="D1057" t="s">
        <v>460</v>
      </c>
      <c r="E1057" t="s">
        <v>663</v>
      </c>
      <c r="F1057">
        <v>52</v>
      </c>
      <c r="G1057" t="s">
        <v>24</v>
      </c>
      <c r="H1057" t="s">
        <v>2416</v>
      </c>
      <c r="I1057">
        <f>62-836-7890-1234</f>
        <v>-9898</v>
      </c>
      <c r="J1057" s="1">
        <v>45512</v>
      </c>
      <c r="K1057" s="1">
        <v>45306</v>
      </c>
      <c r="L1057">
        <v>20400.25</v>
      </c>
      <c r="M1057">
        <v>12100.8</v>
      </c>
      <c r="N1057">
        <v>695</v>
      </c>
      <c r="O1057">
        <v>63000</v>
      </c>
      <c r="P1057" t="s">
        <v>26</v>
      </c>
      <c r="Q1057" t="s">
        <v>43</v>
      </c>
      <c r="R1057">
        <v>0</v>
      </c>
      <c r="S1057" t="s">
        <v>28</v>
      </c>
    </row>
    <row r="1058" spans="1:19">
      <c r="A1058" t="s">
        <v>582</v>
      </c>
      <c r="B1058" t="s">
        <v>2417</v>
      </c>
      <c r="C1058" t="s">
        <v>57</v>
      </c>
      <c r="D1058" t="s">
        <v>22</v>
      </c>
      <c r="E1058" t="s">
        <v>23</v>
      </c>
      <c r="F1058">
        <v>55</v>
      </c>
      <c r="G1058" t="s">
        <v>34</v>
      </c>
      <c r="H1058" t="s">
        <v>2418</v>
      </c>
      <c r="I1058">
        <f>1-646-555-194</f>
        <v>-1394</v>
      </c>
      <c r="J1058" s="1">
        <v>45191</v>
      </c>
      <c r="K1058" s="1">
        <v>45303</v>
      </c>
      <c r="L1058">
        <v>42000.9</v>
      </c>
      <c r="M1058">
        <v>16400.25</v>
      </c>
      <c r="N1058">
        <v>755</v>
      </c>
      <c r="O1058">
        <v>85000</v>
      </c>
      <c r="P1058" t="s">
        <v>36</v>
      </c>
      <c r="Q1058" t="s">
        <v>27</v>
      </c>
      <c r="R1058">
        <v>0</v>
      </c>
      <c r="S1058" t="s">
        <v>28</v>
      </c>
    </row>
    <row r="1059" spans="1:19">
      <c r="A1059" t="s">
        <v>55</v>
      </c>
      <c r="B1059" t="s">
        <v>2419</v>
      </c>
      <c r="C1059" t="s">
        <v>39</v>
      </c>
      <c r="D1059" t="s">
        <v>58</v>
      </c>
      <c r="E1059" t="s">
        <v>122</v>
      </c>
      <c r="F1059">
        <v>73</v>
      </c>
      <c r="G1059" t="s">
        <v>24</v>
      </c>
      <c r="H1059" t="s">
        <v>2420</v>
      </c>
      <c r="I1059">
        <f>86-138-1234-5678</f>
        <v>-6964</v>
      </c>
      <c r="J1059" s="1">
        <v>43943</v>
      </c>
      <c r="K1059" s="1">
        <v>45300</v>
      </c>
      <c r="L1059">
        <v>192000.4</v>
      </c>
      <c r="M1059">
        <v>111000.75</v>
      </c>
      <c r="N1059">
        <v>685</v>
      </c>
      <c r="O1059">
        <v>219000</v>
      </c>
      <c r="P1059" t="s">
        <v>76</v>
      </c>
      <c r="Q1059" t="s">
        <v>27</v>
      </c>
      <c r="R1059">
        <v>0</v>
      </c>
      <c r="S1059" t="s">
        <v>28</v>
      </c>
    </row>
    <row r="1060" spans="1:19">
      <c r="A1060" t="s">
        <v>469</v>
      </c>
      <c r="B1060" t="s">
        <v>2421</v>
      </c>
      <c r="C1060" t="s">
        <v>52</v>
      </c>
      <c r="D1060" t="s">
        <v>471</v>
      </c>
      <c r="E1060" t="s">
        <v>472</v>
      </c>
      <c r="F1060">
        <v>64</v>
      </c>
      <c r="G1060" t="s">
        <v>34</v>
      </c>
      <c r="H1060" t="s">
        <v>2422</v>
      </c>
      <c r="I1060">
        <f>48-724-678-901</f>
        <v>-2255</v>
      </c>
      <c r="J1060" s="1">
        <v>44583</v>
      </c>
      <c r="K1060" s="1">
        <v>45301</v>
      </c>
      <c r="L1060">
        <v>72000.800000000003</v>
      </c>
      <c r="M1060">
        <v>45100.6</v>
      </c>
      <c r="N1060">
        <v>715</v>
      </c>
      <c r="O1060">
        <v>118000</v>
      </c>
      <c r="P1060" t="s">
        <v>26</v>
      </c>
      <c r="Q1060" t="s">
        <v>27</v>
      </c>
      <c r="R1060">
        <v>0</v>
      </c>
      <c r="S1060" t="s">
        <v>28</v>
      </c>
    </row>
    <row r="1061" spans="1:19">
      <c r="A1061" t="s">
        <v>474</v>
      </c>
      <c r="B1061" t="s">
        <v>2423</v>
      </c>
      <c r="C1061" t="s">
        <v>46</v>
      </c>
      <c r="D1061" t="s">
        <v>345</v>
      </c>
      <c r="E1061" t="s">
        <v>346</v>
      </c>
      <c r="F1061">
        <v>67</v>
      </c>
      <c r="G1061" t="s">
        <v>24</v>
      </c>
      <c r="H1061" t="s">
        <v>2424</v>
      </c>
      <c r="I1061">
        <f>880-1812-890123</f>
        <v>-891055</v>
      </c>
      <c r="J1061" s="1">
        <v>44491</v>
      </c>
      <c r="K1061" s="1">
        <v>45302</v>
      </c>
      <c r="L1061">
        <v>99800.25</v>
      </c>
      <c r="M1061">
        <v>55100.4</v>
      </c>
      <c r="N1061">
        <v>680</v>
      </c>
      <c r="O1061">
        <v>147000</v>
      </c>
      <c r="P1061" t="s">
        <v>26</v>
      </c>
      <c r="Q1061" t="s">
        <v>27</v>
      </c>
      <c r="R1061">
        <v>0</v>
      </c>
      <c r="S1061" t="s">
        <v>28</v>
      </c>
    </row>
    <row r="1062" spans="1:19">
      <c r="A1062" t="s">
        <v>592</v>
      </c>
      <c r="B1062" t="s">
        <v>2425</v>
      </c>
      <c r="C1062" t="s">
        <v>84</v>
      </c>
      <c r="D1062" t="s">
        <v>32</v>
      </c>
      <c r="E1062" t="s">
        <v>90</v>
      </c>
      <c r="F1062">
        <v>47</v>
      </c>
      <c r="G1062" t="s">
        <v>34</v>
      </c>
      <c r="H1062" t="s">
        <v>2426</v>
      </c>
      <c r="I1062">
        <f>81-90-123-4567</f>
        <v>-4699</v>
      </c>
      <c r="J1062" s="1">
        <v>45526</v>
      </c>
      <c r="K1062" s="1">
        <v>45304</v>
      </c>
      <c r="L1062">
        <v>4350.3999999999996</v>
      </c>
      <c r="M1062">
        <v>14000.75</v>
      </c>
      <c r="N1062">
        <v>610</v>
      </c>
      <c r="O1062">
        <v>43000</v>
      </c>
      <c r="P1062" t="s">
        <v>76</v>
      </c>
      <c r="Q1062" t="s">
        <v>43</v>
      </c>
      <c r="R1062">
        <v>0</v>
      </c>
      <c r="S1062" t="s">
        <v>28</v>
      </c>
    </row>
    <row r="1063" spans="1:19">
      <c r="A1063" t="s">
        <v>595</v>
      </c>
      <c r="B1063" t="s">
        <v>2427</v>
      </c>
      <c r="C1063" t="s">
        <v>21</v>
      </c>
      <c r="D1063" t="s">
        <v>209</v>
      </c>
      <c r="E1063" t="s">
        <v>210</v>
      </c>
      <c r="F1063">
        <v>79</v>
      </c>
      <c r="G1063" t="s">
        <v>24</v>
      </c>
      <c r="H1063" t="s">
        <v>2428</v>
      </c>
      <c r="I1063">
        <f>52-55-8901-123</f>
        <v>-9027</v>
      </c>
      <c r="J1063" s="1">
        <v>43638</v>
      </c>
      <c r="K1063" s="1">
        <v>45299</v>
      </c>
      <c r="L1063">
        <v>290000.8</v>
      </c>
      <c r="M1063">
        <v>102000.25</v>
      </c>
      <c r="N1063">
        <v>825</v>
      </c>
      <c r="O1063">
        <v>299000</v>
      </c>
      <c r="P1063" t="s">
        <v>36</v>
      </c>
      <c r="Q1063" t="s">
        <v>27</v>
      </c>
      <c r="R1063">
        <v>0</v>
      </c>
      <c r="S1063" t="s">
        <v>28</v>
      </c>
    </row>
    <row r="1064" spans="1:19">
      <c r="A1064" t="s">
        <v>226</v>
      </c>
      <c r="B1064" t="s">
        <v>2429</v>
      </c>
      <c r="C1064" t="s">
        <v>57</v>
      </c>
      <c r="D1064" t="s">
        <v>228</v>
      </c>
      <c r="E1064" t="s">
        <v>229</v>
      </c>
      <c r="F1064">
        <v>54</v>
      </c>
      <c r="G1064" t="s">
        <v>34</v>
      </c>
      <c r="H1064" t="s">
        <v>2430</v>
      </c>
      <c r="I1064">
        <f>254-748-901-234</f>
        <v>-1629</v>
      </c>
      <c r="J1064" s="1">
        <v>45373</v>
      </c>
      <c r="K1064" s="1">
        <v>45305</v>
      </c>
      <c r="L1064">
        <v>38700.75</v>
      </c>
      <c r="M1064">
        <v>14800.4</v>
      </c>
      <c r="N1064">
        <v>725</v>
      </c>
      <c r="O1064">
        <v>75000</v>
      </c>
      <c r="P1064" t="s">
        <v>36</v>
      </c>
      <c r="Q1064" t="s">
        <v>27</v>
      </c>
      <c r="R1064">
        <v>0</v>
      </c>
      <c r="S1064" t="s">
        <v>28</v>
      </c>
    </row>
    <row r="1065" spans="1:19">
      <c r="A1065" t="s">
        <v>488</v>
      </c>
      <c r="B1065" t="s">
        <v>2431</v>
      </c>
      <c r="C1065" t="s">
        <v>39</v>
      </c>
      <c r="D1065" t="s">
        <v>304</v>
      </c>
      <c r="E1065" t="s">
        <v>304</v>
      </c>
      <c r="F1065">
        <v>71</v>
      </c>
      <c r="G1065" t="s">
        <v>24</v>
      </c>
      <c r="H1065" t="s">
        <v>2432</v>
      </c>
      <c r="I1065">
        <f>65-790-1234</f>
        <v>-1959</v>
      </c>
      <c r="J1065" s="1">
        <v>44116</v>
      </c>
      <c r="K1065" s="1">
        <v>45300</v>
      </c>
      <c r="L1065">
        <v>170200.6</v>
      </c>
      <c r="M1065">
        <v>102000.9</v>
      </c>
      <c r="N1065">
        <v>675</v>
      </c>
      <c r="O1065">
        <v>199000</v>
      </c>
      <c r="P1065" t="s">
        <v>76</v>
      </c>
      <c r="Q1065" t="s">
        <v>27</v>
      </c>
      <c r="R1065">
        <v>0</v>
      </c>
      <c r="S1065" t="s">
        <v>28</v>
      </c>
    </row>
    <row r="1066" spans="1:19">
      <c r="A1066" t="s">
        <v>491</v>
      </c>
      <c r="B1066" t="s">
        <v>2433</v>
      </c>
      <c r="C1066" t="s">
        <v>52</v>
      </c>
      <c r="D1066" t="s">
        <v>493</v>
      </c>
      <c r="E1066" t="s">
        <v>494</v>
      </c>
      <c r="F1066">
        <v>62</v>
      </c>
      <c r="G1066" t="s">
        <v>34</v>
      </c>
      <c r="H1066" t="s">
        <v>2434</v>
      </c>
      <c r="I1066">
        <f>30-716-789-123</f>
        <v>-1598</v>
      </c>
      <c r="J1066" s="1">
        <v>44887</v>
      </c>
      <c r="K1066" s="1">
        <v>45302</v>
      </c>
      <c r="L1066">
        <v>66200.399999999994</v>
      </c>
      <c r="M1066">
        <v>40900.25</v>
      </c>
      <c r="N1066">
        <v>705</v>
      </c>
      <c r="O1066">
        <v>107000</v>
      </c>
      <c r="P1066" t="s">
        <v>26</v>
      </c>
      <c r="Q1066" t="s">
        <v>27</v>
      </c>
      <c r="R1066">
        <v>0</v>
      </c>
      <c r="S1066" t="s">
        <v>28</v>
      </c>
    </row>
    <row r="1067" spans="1:19">
      <c r="A1067" t="s">
        <v>496</v>
      </c>
      <c r="B1067" t="s">
        <v>2435</v>
      </c>
      <c r="C1067" t="s">
        <v>46</v>
      </c>
      <c r="D1067" t="s">
        <v>321</v>
      </c>
      <c r="E1067" t="s">
        <v>322</v>
      </c>
      <c r="F1067">
        <v>65</v>
      </c>
      <c r="G1067" t="s">
        <v>24</v>
      </c>
      <c r="H1067" t="s">
        <v>2436</v>
      </c>
      <c r="I1067">
        <f>61-448-901-234</f>
        <v>-1522</v>
      </c>
      <c r="J1067" s="1">
        <v>44369</v>
      </c>
      <c r="K1067" s="1">
        <v>45301</v>
      </c>
      <c r="L1067">
        <v>112100.75</v>
      </c>
      <c r="M1067">
        <v>62000.800000000003</v>
      </c>
      <c r="N1067">
        <v>730</v>
      </c>
      <c r="O1067">
        <v>173000</v>
      </c>
      <c r="P1067" t="s">
        <v>26</v>
      </c>
      <c r="Q1067" t="s">
        <v>27</v>
      </c>
      <c r="R1067">
        <v>0</v>
      </c>
      <c r="S1067" t="s">
        <v>28</v>
      </c>
    </row>
    <row r="1068" spans="1:19">
      <c r="A1068" t="s">
        <v>324</v>
      </c>
      <c r="B1068" t="s">
        <v>2437</v>
      </c>
      <c r="C1068" t="s">
        <v>31</v>
      </c>
      <c r="D1068" t="s">
        <v>313</v>
      </c>
      <c r="E1068" t="s">
        <v>385</v>
      </c>
      <c r="F1068">
        <v>50</v>
      </c>
      <c r="G1068" t="s">
        <v>34</v>
      </c>
      <c r="H1068" t="s">
        <v>2438</v>
      </c>
      <c r="I1068">
        <f>92-346-4321098</f>
        <v>-4321352</v>
      </c>
      <c r="J1068" s="1">
        <v>45519</v>
      </c>
      <c r="K1068" s="1">
        <v>45306</v>
      </c>
      <c r="L1068">
        <v>17400.900000000001</v>
      </c>
      <c r="M1068">
        <v>10100.75</v>
      </c>
      <c r="N1068">
        <v>685</v>
      </c>
      <c r="O1068">
        <v>60000</v>
      </c>
      <c r="P1068" t="s">
        <v>26</v>
      </c>
      <c r="Q1068" t="s">
        <v>43</v>
      </c>
      <c r="R1068">
        <v>0</v>
      </c>
      <c r="S1068" t="s">
        <v>28</v>
      </c>
    </row>
    <row r="1069" spans="1:19">
      <c r="A1069" t="s">
        <v>503</v>
      </c>
      <c r="B1069" t="s">
        <v>2439</v>
      </c>
      <c r="C1069" t="s">
        <v>21</v>
      </c>
      <c r="D1069" t="s">
        <v>32</v>
      </c>
      <c r="E1069" t="s">
        <v>33</v>
      </c>
      <c r="F1069">
        <v>82</v>
      </c>
      <c r="G1069" t="s">
        <v>24</v>
      </c>
      <c r="H1069" t="s">
        <v>2440</v>
      </c>
      <c r="I1069">
        <f>81-80-6789-123</f>
        <v>-6911</v>
      </c>
      <c r="J1069" s="1">
        <v>43365</v>
      </c>
      <c r="K1069" s="1">
        <v>45299</v>
      </c>
      <c r="L1069">
        <v>300900.25</v>
      </c>
      <c r="M1069">
        <v>106000.4</v>
      </c>
      <c r="N1069">
        <v>840</v>
      </c>
      <c r="O1069">
        <v>314000</v>
      </c>
      <c r="P1069" t="s">
        <v>36</v>
      </c>
      <c r="Q1069" t="s">
        <v>27</v>
      </c>
      <c r="R1069">
        <v>0</v>
      </c>
      <c r="S1069" t="s">
        <v>28</v>
      </c>
    </row>
    <row r="1070" spans="1:19">
      <c r="A1070" t="s">
        <v>506</v>
      </c>
      <c r="B1070" t="s">
        <v>2441</v>
      </c>
      <c r="C1070" t="s">
        <v>39</v>
      </c>
      <c r="D1070" t="s">
        <v>68</v>
      </c>
      <c r="E1070" t="s">
        <v>69</v>
      </c>
      <c r="F1070">
        <v>74</v>
      </c>
      <c r="G1070" t="s">
        <v>34</v>
      </c>
      <c r="H1070" t="s">
        <v>2442</v>
      </c>
      <c r="I1070">
        <f>234-838-901-2345</f>
        <v>-3850</v>
      </c>
      <c r="J1070" s="1">
        <v>43883</v>
      </c>
      <c r="K1070" s="1">
        <v>45300</v>
      </c>
      <c r="L1070">
        <v>181300.4</v>
      </c>
      <c r="M1070">
        <v>106000.75</v>
      </c>
      <c r="N1070">
        <v>650</v>
      </c>
      <c r="O1070">
        <v>209000</v>
      </c>
      <c r="P1070" t="s">
        <v>76</v>
      </c>
      <c r="Q1070" t="s">
        <v>27</v>
      </c>
      <c r="R1070">
        <v>0</v>
      </c>
      <c r="S1070" t="s">
        <v>28</v>
      </c>
    </row>
    <row r="1071" spans="1:19">
      <c r="A1071" t="s">
        <v>509</v>
      </c>
      <c r="B1071" t="s">
        <v>2443</v>
      </c>
      <c r="C1071" t="s">
        <v>46</v>
      </c>
      <c r="D1071" t="s">
        <v>73</v>
      </c>
      <c r="E1071" t="s">
        <v>74</v>
      </c>
      <c r="F1071">
        <v>61</v>
      </c>
      <c r="G1071" t="s">
        <v>24</v>
      </c>
      <c r="H1071" t="s">
        <v>2444</v>
      </c>
      <c r="I1071">
        <f>49-200-1234567</f>
        <v>-1234718</v>
      </c>
      <c r="J1071" s="1">
        <v>45099</v>
      </c>
      <c r="K1071" s="1">
        <v>45303</v>
      </c>
      <c r="L1071">
        <v>100900.4</v>
      </c>
      <c r="M1071">
        <v>56200.25</v>
      </c>
      <c r="N1071">
        <v>745</v>
      </c>
      <c r="O1071">
        <v>153000</v>
      </c>
      <c r="P1071" t="s">
        <v>26</v>
      </c>
      <c r="Q1071" t="s">
        <v>27</v>
      </c>
      <c r="R1071">
        <v>0</v>
      </c>
      <c r="S1071" t="s">
        <v>28</v>
      </c>
    </row>
    <row r="1072" spans="1:19">
      <c r="A1072" t="s">
        <v>513</v>
      </c>
      <c r="B1072" t="s">
        <v>2445</v>
      </c>
      <c r="C1072" t="s">
        <v>57</v>
      </c>
      <c r="D1072" t="s">
        <v>58</v>
      </c>
      <c r="E1072" t="s">
        <v>122</v>
      </c>
      <c r="F1072">
        <v>56</v>
      </c>
      <c r="G1072" t="s">
        <v>34</v>
      </c>
      <c r="H1072" t="s">
        <v>2446</v>
      </c>
      <c r="I1072">
        <f>86-137-1234-5678</f>
        <v>-6963</v>
      </c>
      <c r="J1072" s="1">
        <v>45282</v>
      </c>
      <c r="K1072" s="1">
        <v>45302</v>
      </c>
      <c r="L1072">
        <v>40900.800000000003</v>
      </c>
      <c r="M1072">
        <v>16000.9</v>
      </c>
      <c r="N1072">
        <v>765</v>
      </c>
      <c r="O1072">
        <v>85000</v>
      </c>
      <c r="P1072" t="s">
        <v>36</v>
      </c>
      <c r="Q1072" t="s">
        <v>27</v>
      </c>
      <c r="R1072">
        <v>0</v>
      </c>
      <c r="S1072" t="s">
        <v>28</v>
      </c>
    </row>
    <row r="1073" spans="1:19">
      <c r="A1073" t="s">
        <v>516</v>
      </c>
      <c r="B1073" t="s">
        <v>2447</v>
      </c>
      <c r="C1073" t="s">
        <v>52</v>
      </c>
      <c r="D1073" t="s">
        <v>277</v>
      </c>
      <c r="E1073" t="s">
        <v>404</v>
      </c>
      <c r="F1073">
        <v>69</v>
      </c>
      <c r="G1073" t="s">
        <v>24</v>
      </c>
      <c r="H1073" t="s">
        <v>2448</v>
      </c>
      <c r="I1073">
        <f>20-122-543-2109</f>
        <v>-2754</v>
      </c>
      <c r="J1073" s="1">
        <v>44552</v>
      </c>
      <c r="K1073" s="1">
        <v>45301</v>
      </c>
      <c r="L1073">
        <v>74200.75</v>
      </c>
      <c r="M1073">
        <v>47300.4</v>
      </c>
      <c r="N1073">
        <v>675</v>
      </c>
      <c r="O1073">
        <v>125000</v>
      </c>
      <c r="P1073" t="s">
        <v>26</v>
      </c>
      <c r="Q1073" t="s">
        <v>27</v>
      </c>
      <c r="R1073">
        <v>0</v>
      </c>
      <c r="S1073" t="s">
        <v>28</v>
      </c>
    </row>
    <row r="1074" spans="1:19">
      <c r="A1074" t="s">
        <v>519</v>
      </c>
      <c r="B1074" t="s">
        <v>2449</v>
      </c>
      <c r="C1074" t="s">
        <v>84</v>
      </c>
      <c r="D1074" t="s">
        <v>183</v>
      </c>
      <c r="E1074" t="s">
        <v>184</v>
      </c>
      <c r="F1074">
        <v>48</v>
      </c>
      <c r="G1074" t="s">
        <v>34</v>
      </c>
      <c r="H1074" t="s">
        <v>2450</v>
      </c>
      <c r="I1074">
        <f>33-6-8901-2345</f>
        <v>-11219</v>
      </c>
      <c r="J1074" s="1">
        <v>45532</v>
      </c>
      <c r="K1074" s="1">
        <v>45304</v>
      </c>
      <c r="L1074">
        <v>4600.25</v>
      </c>
      <c r="M1074">
        <v>15200.6</v>
      </c>
      <c r="N1074">
        <v>615</v>
      </c>
      <c r="O1074">
        <v>45000</v>
      </c>
      <c r="P1074" t="s">
        <v>76</v>
      </c>
      <c r="Q1074" t="s">
        <v>43</v>
      </c>
      <c r="R1074">
        <v>0</v>
      </c>
      <c r="S1074" t="s">
        <v>28</v>
      </c>
    </row>
    <row r="1075" spans="1:19">
      <c r="A1075" t="s">
        <v>522</v>
      </c>
      <c r="B1075" t="s">
        <v>2451</v>
      </c>
      <c r="C1075" t="s">
        <v>39</v>
      </c>
      <c r="D1075" t="s">
        <v>40</v>
      </c>
      <c r="E1075" t="s">
        <v>41</v>
      </c>
      <c r="F1075">
        <v>76</v>
      </c>
      <c r="G1075" t="s">
        <v>24</v>
      </c>
      <c r="H1075" t="s">
        <v>2452</v>
      </c>
      <c r="I1075">
        <f>91-987-654-3210</f>
        <v>-4760</v>
      </c>
      <c r="J1075" s="1">
        <v>43852</v>
      </c>
      <c r="K1075" s="1">
        <v>45299</v>
      </c>
      <c r="L1075">
        <v>215900.79999999999</v>
      </c>
      <c r="M1075">
        <v>119000.25</v>
      </c>
      <c r="N1075">
        <v>660</v>
      </c>
      <c r="O1075">
        <v>244000</v>
      </c>
      <c r="P1075" t="s">
        <v>76</v>
      </c>
      <c r="Q1075" t="s">
        <v>27</v>
      </c>
      <c r="R1075">
        <v>0</v>
      </c>
      <c r="S1075" t="s">
        <v>28</v>
      </c>
    </row>
    <row r="1076" spans="1:19">
      <c r="A1076" t="s">
        <v>306</v>
      </c>
      <c r="B1076" t="s">
        <v>2453</v>
      </c>
      <c r="C1076" t="s">
        <v>46</v>
      </c>
      <c r="D1076" t="s">
        <v>209</v>
      </c>
      <c r="E1076" t="s">
        <v>447</v>
      </c>
      <c r="F1076">
        <v>63</v>
      </c>
      <c r="G1076" t="s">
        <v>34</v>
      </c>
      <c r="H1076" t="s">
        <v>2454</v>
      </c>
      <c r="I1076">
        <f>52-33-9012-123</f>
        <v>-9116</v>
      </c>
      <c r="J1076" s="1">
        <v>44703</v>
      </c>
      <c r="K1076" s="1">
        <v>45302</v>
      </c>
      <c r="L1076">
        <v>95300.9</v>
      </c>
      <c r="M1076">
        <v>53100.75</v>
      </c>
      <c r="N1076">
        <v>730</v>
      </c>
      <c r="O1076">
        <v>148000</v>
      </c>
      <c r="P1076" t="s">
        <v>26</v>
      </c>
      <c r="Q1076" t="s">
        <v>27</v>
      </c>
      <c r="R1076">
        <v>0</v>
      </c>
      <c r="S1076" t="s">
        <v>28</v>
      </c>
    </row>
    <row r="1077" spans="1:19">
      <c r="A1077" t="s">
        <v>527</v>
      </c>
      <c r="B1077" t="s">
        <v>2455</v>
      </c>
      <c r="C1077" t="s">
        <v>31</v>
      </c>
      <c r="D1077" t="s">
        <v>32</v>
      </c>
      <c r="E1077" t="s">
        <v>90</v>
      </c>
      <c r="F1077">
        <v>52</v>
      </c>
      <c r="G1077" t="s">
        <v>34</v>
      </c>
      <c r="H1077" t="s">
        <v>2456</v>
      </c>
      <c r="I1077">
        <f>81-90-7890-1234</f>
        <v>-9133</v>
      </c>
      <c r="J1077" s="1">
        <v>45526</v>
      </c>
      <c r="K1077" s="1">
        <v>45305</v>
      </c>
      <c r="L1077">
        <v>18500.400000000001</v>
      </c>
      <c r="M1077">
        <v>10200.25</v>
      </c>
      <c r="N1077">
        <v>705</v>
      </c>
      <c r="O1077">
        <v>62000</v>
      </c>
      <c r="P1077" t="s">
        <v>26</v>
      </c>
      <c r="Q1077" t="s">
        <v>43</v>
      </c>
      <c r="R1077">
        <v>0</v>
      </c>
      <c r="S1077" t="s">
        <v>28</v>
      </c>
    </row>
    <row r="1078" spans="1:19">
      <c r="A1078" t="s">
        <v>530</v>
      </c>
      <c r="B1078" t="s">
        <v>2457</v>
      </c>
      <c r="C1078" t="s">
        <v>57</v>
      </c>
      <c r="D1078" t="s">
        <v>219</v>
      </c>
      <c r="E1078" t="s">
        <v>220</v>
      </c>
      <c r="F1078">
        <v>57</v>
      </c>
      <c r="G1078" t="s">
        <v>24</v>
      </c>
      <c r="H1078" t="s">
        <v>2458</v>
      </c>
      <c r="I1078">
        <f>233-79-12-3456</f>
        <v>-3314</v>
      </c>
      <c r="J1078" s="1">
        <v>45252</v>
      </c>
      <c r="K1078" s="1">
        <v>45303</v>
      </c>
      <c r="L1078">
        <v>39800.6</v>
      </c>
      <c r="M1078">
        <v>15400.8</v>
      </c>
      <c r="N1078">
        <v>710</v>
      </c>
      <c r="O1078">
        <v>78000</v>
      </c>
      <c r="P1078" t="s">
        <v>36</v>
      </c>
      <c r="Q1078" t="s">
        <v>27</v>
      </c>
      <c r="R1078">
        <v>0</v>
      </c>
      <c r="S1078" t="s">
        <v>28</v>
      </c>
    </row>
    <row r="1079" spans="1:19">
      <c r="A1079" t="s">
        <v>533</v>
      </c>
      <c r="B1079" t="s">
        <v>2459</v>
      </c>
      <c r="C1079" t="s">
        <v>52</v>
      </c>
      <c r="D1079" t="s">
        <v>204</v>
      </c>
      <c r="E1079" t="s">
        <v>259</v>
      </c>
      <c r="F1079">
        <v>64</v>
      </c>
      <c r="G1079" t="s">
        <v>34</v>
      </c>
      <c r="H1079" t="s">
        <v>2460</v>
      </c>
      <c r="I1079">
        <f>7-921-321-9-87</f>
        <v>-1331</v>
      </c>
      <c r="J1079" s="1">
        <v>44552</v>
      </c>
      <c r="K1079" s="1">
        <v>45301</v>
      </c>
      <c r="L1079">
        <v>71100.25</v>
      </c>
      <c r="M1079">
        <v>44200.9</v>
      </c>
      <c r="N1079">
        <v>695</v>
      </c>
      <c r="O1079">
        <v>113000</v>
      </c>
      <c r="P1079" t="s">
        <v>26</v>
      </c>
      <c r="Q1079" t="s">
        <v>27</v>
      </c>
      <c r="R1079">
        <v>0</v>
      </c>
      <c r="S1079" t="s">
        <v>28</v>
      </c>
    </row>
    <row r="1080" spans="1:19">
      <c r="A1080" t="s">
        <v>536</v>
      </c>
      <c r="B1080" t="s">
        <v>2461</v>
      </c>
      <c r="C1080" t="s">
        <v>39</v>
      </c>
      <c r="D1080" t="s">
        <v>195</v>
      </c>
      <c r="E1080" t="s">
        <v>300</v>
      </c>
      <c r="F1080">
        <v>72</v>
      </c>
      <c r="G1080" t="s">
        <v>24</v>
      </c>
      <c r="H1080" t="s">
        <v>2462</v>
      </c>
      <c r="I1080">
        <f>353-11-901-2345</f>
        <v>-2904</v>
      </c>
      <c r="J1080" s="1">
        <v>44004</v>
      </c>
      <c r="K1080" s="1">
        <v>45300</v>
      </c>
      <c r="L1080">
        <v>148100.4</v>
      </c>
      <c r="M1080">
        <v>93000.6</v>
      </c>
      <c r="N1080">
        <v>670</v>
      </c>
      <c r="O1080">
        <v>180000</v>
      </c>
      <c r="P1080" t="s">
        <v>76</v>
      </c>
      <c r="Q1080" t="s">
        <v>27</v>
      </c>
      <c r="R1080">
        <v>0</v>
      </c>
      <c r="S1080" t="s">
        <v>28</v>
      </c>
    </row>
    <row r="1081" spans="1:19">
      <c r="A1081" t="s">
        <v>539</v>
      </c>
      <c r="B1081" t="s">
        <v>2463</v>
      </c>
      <c r="C1081" t="s">
        <v>21</v>
      </c>
      <c r="D1081" t="s">
        <v>58</v>
      </c>
      <c r="E1081" t="s">
        <v>59</v>
      </c>
      <c r="F1081">
        <v>80</v>
      </c>
      <c r="G1081" t="s">
        <v>34</v>
      </c>
      <c r="H1081" t="s">
        <v>2464</v>
      </c>
      <c r="I1081">
        <f>86-139-8901-2345</f>
        <v>-11299</v>
      </c>
      <c r="J1081" s="1">
        <v>43577</v>
      </c>
      <c r="K1081" s="1">
        <v>45299</v>
      </c>
      <c r="L1081">
        <v>315000.75</v>
      </c>
      <c r="M1081">
        <v>110000.8</v>
      </c>
      <c r="N1081">
        <v>835</v>
      </c>
      <c r="O1081">
        <v>325000</v>
      </c>
      <c r="P1081" t="s">
        <v>36</v>
      </c>
      <c r="Q1081" t="s">
        <v>27</v>
      </c>
      <c r="R1081">
        <v>0</v>
      </c>
      <c r="S1081" t="s">
        <v>28</v>
      </c>
    </row>
    <row r="1082" spans="1:19">
      <c r="A1082" t="s">
        <v>542</v>
      </c>
      <c r="B1082" t="s">
        <v>2465</v>
      </c>
      <c r="C1082" t="s">
        <v>52</v>
      </c>
      <c r="D1082" t="s">
        <v>68</v>
      </c>
      <c r="E1082" t="s">
        <v>179</v>
      </c>
      <c r="F1082">
        <v>67</v>
      </c>
      <c r="G1082" t="s">
        <v>34</v>
      </c>
      <c r="H1082" t="s">
        <v>2466</v>
      </c>
      <c r="I1082">
        <f>234-839-12-3456</f>
        <v>-4073</v>
      </c>
      <c r="J1082" s="1">
        <v>44522</v>
      </c>
      <c r="K1082" s="1">
        <v>45302</v>
      </c>
      <c r="L1082">
        <v>79800.600000000006</v>
      </c>
      <c r="M1082">
        <v>49800.25</v>
      </c>
      <c r="N1082">
        <v>665</v>
      </c>
      <c r="O1082">
        <v>133000</v>
      </c>
      <c r="P1082" t="s">
        <v>26</v>
      </c>
      <c r="Q1082" t="s">
        <v>27</v>
      </c>
      <c r="R1082">
        <v>0</v>
      </c>
      <c r="S1082" t="s">
        <v>28</v>
      </c>
    </row>
    <row r="1083" spans="1:19">
      <c r="A1083" t="s">
        <v>545</v>
      </c>
      <c r="B1083" t="s">
        <v>2467</v>
      </c>
      <c r="C1083" t="s">
        <v>46</v>
      </c>
      <c r="D1083" t="s">
        <v>241</v>
      </c>
      <c r="E1083" t="s">
        <v>389</v>
      </c>
      <c r="F1083">
        <v>59</v>
      </c>
      <c r="G1083" t="s">
        <v>24</v>
      </c>
      <c r="H1083" t="s">
        <v>2468</v>
      </c>
      <c r="I1083">
        <f>39-373-789-123</f>
        <v>-1246</v>
      </c>
      <c r="J1083" s="1">
        <v>45160</v>
      </c>
      <c r="K1083" s="1">
        <v>45303</v>
      </c>
      <c r="L1083">
        <v>103100.8</v>
      </c>
      <c r="M1083">
        <v>57300.4</v>
      </c>
      <c r="N1083">
        <v>750</v>
      </c>
      <c r="O1083">
        <v>159000</v>
      </c>
      <c r="P1083" t="s">
        <v>26</v>
      </c>
      <c r="Q1083" t="s">
        <v>27</v>
      </c>
      <c r="R1083">
        <v>0</v>
      </c>
      <c r="S1083" t="s">
        <v>28</v>
      </c>
    </row>
    <row r="1084" spans="1:19">
      <c r="A1084" t="s">
        <v>548</v>
      </c>
      <c r="B1084" t="s">
        <v>2469</v>
      </c>
      <c r="C1084" t="s">
        <v>57</v>
      </c>
      <c r="D1084" t="s">
        <v>22</v>
      </c>
      <c r="E1084" t="s">
        <v>381</v>
      </c>
      <c r="F1084">
        <v>55</v>
      </c>
      <c r="G1084" t="s">
        <v>34</v>
      </c>
      <c r="H1084" t="s">
        <v>2470</v>
      </c>
      <c r="I1084">
        <f>1-415-555-194</f>
        <v>-1163</v>
      </c>
      <c r="J1084" s="1">
        <v>45344</v>
      </c>
      <c r="K1084" s="1">
        <v>45305</v>
      </c>
      <c r="L1084">
        <v>42000.9</v>
      </c>
      <c r="M1084">
        <v>16400.75</v>
      </c>
      <c r="N1084">
        <v>770</v>
      </c>
      <c r="O1084">
        <v>90000</v>
      </c>
      <c r="P1084" t="s">
        <v>36</v>
      </c>
      <c r="Q1084" t="s">
        <v>27</v>
      </c>
      <c r="R1084">
        <v>0</v>
      </c>
      <c r="S1084" t="s">
        <v>28</v>
      </c>
    </row>
    <row r="1085" spans="1:19">
      <c r="A1085" t="s">
        <v>551</v>
      </c>
      <c r="B1085" t="s">
        <v>2471</v>
      </c>
      <c r="C1085" t="s">
        <v>39</v>
      </c>
      <c r="D1085" t="s">
        <v>313</v>
      </c>
      <c r="E1085" t="s">
        <v>501</v>
      </c>
      <c r="F1085">
        <v>78</v>
      </c>
      <c r="G1085" t="s">
        <v>24</v>
      </c>
      <c r="H1085" t="s">
        <v>2472</v>
      </c>
      <c r="I1085">
        <f>92-325-4321098</f>
        <v>-4321331</v>
      </c>
      <c r="J1085" s="1">
        <v>43760</v>
      </c>
      <c r="K1085" s="1">
        <v>45299</v>
      </c>
      <c r="L1085">
        <v>201200.25</v>
      </c>
      <c r="M1085">
        <v>114000.8</v>
      </c>
      <c r="N1085">
        <v>645</v>
      </c>
      <c r="O1085">
        <v>230000</v>
      </c>
      <c r="P1085" t="s">
        <v>76</v>
      </c>
      <c r="Q1085" t="s">
        <v>27</v>
      </c>
      <c r="R1085">
        <v>0</v>
      </c>
      <c r="S1085" t="s">
        <v>28</v>
      </c>
    </row>
    <row r="1086" spans="1:19">
      <c r="A1086" t="s">
        <v>554</v>
      </c>
      <c r="B1086" t="s">
        <v>2473</v>
      </c>
      <c r="C1086" t="s">
        <v>31</v>
      </c>
      <c r="D1086" t="s">
        <v>214</v>
      </c>
      <c r="E1086" t="s">
        <v>483</v>
      </c>
      <c r="F1086">
        <v>51</v>
      </c>
      <c r="G1086" t="s">
        <v>34</v>
      </c>
      <c r="H1086" t="s">
        <v>2474</v>
      </c>
      <c r="I1086">
        <f>34-648-901-234</f>
        <v>-1749</v>
      </c>
      <c r="J1086" s="1">
        <v>45532</v>
      </c>
      <c r="K1086" s="1">
        <v>45306</v>
      </c>
      <c r="L1086">
        <v>35200.5</v>
      </c>
      <c r="M1086">
        <v>16000.4</v>
      </c>
      <c r="N1086">
        <v>720</v>
      </c>
      <c r="O1086">
        <v>67000</v>
      </c>
      <c r="P1086" t="s">
        <v>36</v>
      </c>
      <c r="Q1086" t="s">
        <v>27</v>
      </c>
      <c r="R1086">
        <v>0</v>
      </c>
      <c r="S1086" t="s">
        <v>28</v>
      </c>
    </row>
    <row r="1087" spans="1:19">
      <c r="A1087" t="s">
        <v>108</v>
      </c>
      <c r="B1087" t="s">
        <v>2475</v>
      </c>
      <c r="C1087" t="s">
        <v>84</v>
      </c>
      <c r="D1087" t="s">
        <v>32</v>
      </c>
      <c r="E1087" t="s">
        <v>33</v>
      </c>
      <c r="F1087">
        <v>47</v>
      </c>
      <c r="G1087" t="s">
        <v>24</v>
      </c>
      <c r="H1087" t="s">
        <v>2476</v>
      </c>
      <c r="I1087">
        <f>81-90-123-4567</f>
        <v>-4699</v>
      </c>
      <c r="J1087" s="1">
        <v>45532</v>
      </c>
      <c r="K1087" s="1">
        <v>45304</v>
      </c>
      <c r="L1087">
        <v>4350.8</v>
      </c>
      <c r="M1087">
        <v>13600.25</v>
      </c>
      <c r="N1087">
        <v>605</v>
      </c>
      <c r="O1087">
        <v>43000</v>
      </c>
      <c r="P1087" t="s">
        <v>76</v>
      </c>
      <c r="Q1087" t="s">
        <v>43</v>
      </c>
      <c r="R1087">
        <v>0</v>
      </c>
      <c r="S1087" t="s">
        <v>28</v>
      </c>
    </row>
    <row r="1088" spans="1:19">
      <c r="A1088" t="s">
        <v>559</v>
      </c>
      <c r="B1088" t="s">
        <v>2477</v>
      </c>
      <c r="C1088" t="s">
        <v>46</v>
      </c>
      <c r="D1088" t="s">
        <v>254</v>
      </c>
      <c r="E1088" t="s">
        <v>255</v>
      </c>
      <c r="F1088">
        <v>61</v>
      </c>
      <c r="G1088" t="s">
        <v>34</v>
      </c>
      <c r="H1088" t="s">
        <v>2478</v>
      </c>
      <c r="I1088">
        <f>221-3-789-123</f>
        <v>-694</v>
      </c>
      <c r="J1088" s="1">
        <v>45038</v>
      </c>
      <c r="K1088" s="1">
        <v>45302</v>
      </c>
      <c r="L1088">
        <v>89800.4</v>
      </c>
      <c r="M1088">
        <v>52000.75</v>
      </c>
      <c r="N1088">
        <v>710</v>
      </c>
      <c r="O1088">
        <v>141000</v>
      </c>
      <c r="P1088" t="s">
        <v>26</v>
      </c>
      <c r="Q1088" t="s">
        <v>27</v>
      </c>
      <c r="R1088">
        <v>0</v>
      </c>
      <c r="S1088" t="s">
        <v>28</v>
      </c>
    </row>
    <row r="1089" spans="1:19">
      <c r="A1089" t="s">
        <v>562</v>
      </c>
      <c r="B1089" t="s">
        <v>2479</v>
      </c>
      <c r="C1089" t="s">
        <v>39</v>
      </c>
      <c r="D1089" t="s">
        <v>47</v>
      </c>
      <c r="E1089" t="s">
        <v>48</v>
      </c>
      <c r="F1089">
        <v>75</v>
      </c>
      <c r="G1089" t="s">
        <v>24</v>
      </c>
      <c r="H1089" t="s">
        <v>2480</v>
      </c>
      <c r="I1089">
        <f>44-79-123-4567</f>
        <v>-4725</v>
      </c>
      <c r="J1089" s="1">
        <v>43912</v>
      </c>
      <c r="K1089" s="1">
        <v>45300</v>
      </c>
      <c r="L1089">
        <v>181400.6</v>
      </c>
      <c r="M1089">
        <v>107000.25</v>
      </c>
      <c r="N1089">
        <v>675</v>
      </c>
      <c r="O1089">
        <v>210000</v>
      </c>
      <c r="P1089" t="s">
        <v>76</v>
      </c>
      <c r="Q1089" t="s">
        <v>27</v>
      </c>
      <c r="R1089">
        <v>0</v>
      </c>
      <c r="S1089" t="s">
        <v>28</v>
      </c>
    </row>
    <row r="1090" spans="1:19">
      <c r="A1090" t="s">
        <v>565</v>
      </c>
      <c r="B1090" t="s">
        <v>2481</v>
      </c>
      <c r="C1090" t="s">
        <v>52</v>
      </c>
      <c r="D1090" t="s">
        <v>233</v>
      </c>
      <c r="E1090" t="s">
        <v>296</v>
      </c>
      <c r="F1090">
        <v>60</v>
      </c>
      <c r="G1090" t="s">
        <v>34</v>
      </c>
      <c r="H1090" t="s">
        <v>2482</v>
      </c>
      <c r="I1090">
        <f>82-10-9012-3456</f>
        <v>-12396</v>
      </c>
      <c r="J1090" s="1">
        <v>44826</v>
      </c>
      <c r="K1090" s="1">
        <v>45301</v>
      </c>
      <c r="L1090">
        <v>66200.75</v>
      </c>
      <c r="M1090">
        <v>43100.800000000003</v>
      </c>
      <c r="N1090">
        <v>725</v>
      </c>
      <c r="O1090">
        <v>107000</v>
      </c>
      <c r="P1090" t="s">
        <v>26</v>
      </c>
      <c r="Q1090" t="s">
        <v>27</v>
      </c>
      <c r="R1090">
        <v>0</v>
      </c>
      <c r="S1090" t="s">
        <v>28</v>
      </c>
    </row>
    <row r="1091" spans="1:19">
      <c r="A1091" t="s">
        <v>568</v>
      </c>
      <c r="B1091" t="s">
        <v>2483</v>
      </c>
      <c r="C1091" t="s">
        <v>57</v>
      </c>
      <c r="D1091" t="s">
        <v>79</v>
      </c>
      <c r="E1091" t="s">
        <v>102</v>
      </c>
      <c r="F1091">
        <v>58</v>
      </c>
      <c r="G1091" t="s">
        <v>24</v>
      </c>
      <c r="H1091" t="s">
        <v>2484</v>
      </c>
      <c r="I1091">
        <f>971-50-123-4567</f>
        <v>-3769</v>
      </c>
      <c r="J1091" s="1">
        <v>45282</v>
      </c>
      <c r="K1091" s="1">
        <v>45303</v>
      </c>
      <c r="L1091">
        <v>44200.4</v>
      </c>
      <c r="M1091">
        <v>17200.900000000001</v>
      </c>
      <c r="N1091">
        <v>740</v>
      </c>
      <c r="O1091">
        <v>93000</v>
      </c>
      <c r="P1091" t="s">
        <v>36</v>
      </c>
      <c r="Q1091" t="s">
        <v>27</v>
      </c>
      <c r="R1091">
        <v>0</v>
      </c>
      <c r="S1091" t="s">
        <v>28</v>
      </c>
    </row>
    <row r="1092" spans="1:19">
      <c r="A1092" t="s">
        <v>571</v>
      </c>
      <c r="B1092" t="s">
        <v>2485</v>
      </c>
      <c r="C1092" t="s">
        <v>21</v>
      </c>
      <c r="D1092" t="s">
        <v>63</v>
      </c>
      <c r="E1092" t="s">
        <v>106</v>
      </c>
      <c r="F1092">
        <v>81</v>
      </c>
      <c r="G1092" t="s">
        <v>34</v>
      </c>
      <c r="H1092" t="s">
        <v>2486</v>
      </c>
      <c r="I1092">
        <f>55-21-99923-4567</f>
        <v>-104456</v>
      </c>
      <c r="J1092" s="1">
        <v>43456</v>
      </c>
      <c r="K1092" s="1">
        <v>45299</v>
      </c>
      <c r="L1092">
        <v>270300.90000000002</v>
      </c>
      <c r="M1092">
        <v>97000.6</v>
      </c>
      <c r="N1092">
        <v>830</v>
      </c>
      <c r="O1092">
        <v>305000</v>
      </c>
      <c r="P1092" t="s">
        <v>36</v>
      </c>
      <c r="Q1092" t="s">
        <v>27</v>
      </c>
      <c r="R1092">
        <v>0</v>
      </c>
      <c r="S1092" t="s">
        <v>28</v>
      </c>
    </row>
    <row r="1093" spans="1:19">
      <c r="A1093" t="s">
        <v>574</v>
      </c>
      <c r="B1093" t="s">
        <v>2487</v>
      </c>
      <c r="C1093" t="s">
        <v>39</v>
      </c>
      <c r="D1093" t="s">
        <v>68</v>
      </c>
      <c r="E1093" t="s">
        <v>114</v>
      </c>
      <c r="F1093">
        <v>73</v>
      </c>
      <c r="G1093" t="s">
        <v>24</v>
      </c>
      <c r="H1093" t="s">
        <v>2488</v>
      </c>
      <c r="I1093">
        <f>234-840-123-4567</f>
        <v>-5296</v>
      </c>
      <c r="J1093" s="1">
        <v>44055</v>
      </c>
      <c r="K1093" s="1">
        <v>45300</v>
      </c>
      <c r="L1093">
        <v>159200.25</v>
      </c>
      <c r="M1093">
        <v>99000.4</v>
      </c>
      <c r="N1093">
        <v>655</v>
      </c>
      <c r="O1093">
        <v>195000</v>
      </c>
      <c r="P1093" t="s">
        <v>76</v>
      </c>
      <c r="Q1093" t="s">
        <v>27</v>
      </c>
      <c r="R1093">
        <v>0</v>
      </c>
      <c r="S1093" t="s">
        <v>28</v>
      </c>
    </row>
    <row r="1094" spans="1:19">
      <c r="A1094" t="s">
        <v>577</v>
      </c>
      <c r="B1094" t="s">
        <v>2489</v>
      </c>
      <c r="C1094" t="s">
        <v>46</v>
      </c>
      <c r="D1094" t="s">
        <v>85</v>
      </c>
      <c r="E1094" t="s">
        <v>130</v>
      </c>
      <c r="F1094">
        <v>62</v>
      </c>
      <c r="G1094" t="s">
        <v>34</v>
      </c>
      <c r="H1094" t="s">
        <v>2490</v>
      </c>
      <c r="I1094">
        <f>1-604-555-198</f>
        <v>-1356</v>
      </c>
      <c r="J1094" s="1">
        <v>44948</v>
      </c>
      <c r="K1094" s="1">
        <v>45302</v>
      </c>
      <c r="L1094">
        <v>108700.6</v>
      </c>
      <c r="M1094">
        <v>60000.75</v>
      </c>
      <c r="N1094">
        <v>760</v>
      </c>
      <c r="O1094">
        <v>164000</v>
      </c>
      <c r="P1094" t="s">
        <v>26</v>
      </c>
      <c r="Q1094" t="s">
        <v>27</v>
      </c>
      <c r="R1094">
        <v>0</v>
      </c>
      <c r="S1094" t="s">
        <v>28</v>
      </c>
    </row>
    <row r="1095" spans="1:19">
      <c r="A1095" t="s">
        <v>458</v>
      </c>
      <c r="B1095" t="s">
        <v>2491</v>
      </c>
      <c r="C1095" t="s">
        <v>31</v>
      </c>
      <c r="D1095" t="s">
        <v>460</v>
      </c>
      <c r="E1095" t="s">
        <v>461</v>
      </c>
      <c r="F1095">
        <v>53</v>
      </c>
      <c r="G1095" t="s">
        <v>24</v>
      </c>
      <c r="H1095" t="s">
        <v>2492</v>
      </c>
      <c r="I1095">
        <f>62-837-8901-2345</f>
        <v>-12021</v>
      </c>
      <c r="J1095" s="1">
        <v>45532</v>
      </c>
      <c r="K1095" s="1">
        <v>45306</v>
      </c>
      <c r="L1095">
        <v>20900.25</v>
      </c>
      <c r="M1095">
        <v>12400.8</v>
      </c>
      <c r="N1095">
        <v>695</v>
      </c>
      <c r="O1095">
        <v>64000</v>
      </c>
      <c r="P1095" t="s">
        <v>26</v>
      </c>
      <c r="Q1095" t="s">
        <v>43</v>
      </c>
      <c r="R1095">
        <v>0</v>
      </c>
      <c r="S1095" t="s">
        <v>28</v>
      </c>
    </row>
    <row r="1096" spans="1:19">
      <c r="A1096" t="s">
        <v>582</v>
      </c>
      <c r="B1096" t="s">
        <v>2493</v>
      </c>
      <c r="C1096" t="s">
        <v>57</v>
      </c>
      <c r="D1096" t="s">
        <v>22</v>
      </c>
      <c r="E1096" t="s">
        <v>53</v>
      </c>
      <c r="F1096">
        <v>56</v>
      </c>
      <c r="G1096" t="s">
        <v>34</v>
      </c>
      <c r="H1096" t="s">
        <v>2494</v>
      </c>
      <c r="I1096">
        <f>1-773-555-194</f>
        <v>-1521</v>
      </c>
      <c r="J1096" s="1">
        <v>45221</v>
      </c>
      <c r="K1096" s="1">
        <v>45303</v>
      </c>
      <c r="L1096">
        <v>43100.9</v>
      </c>
      <c r="M1096">
        <v>16800.25</v>
      </c>
      <c r="N1096">
        <v>755</v>
      </c>
      <c r="O1096">
        <v>86000</v>
      </c>
      <c r="P1096" t="s">
        <v>36</v>
      </c>
      <c r="Q1096" t="s">
        <v>27</v>
      </c>
      <c r="R1096">
        <v>0</v>
      </c>
      <c r="S1096" t="s">
        <v>28</v>
      </c>
    </row>
    <row r="1097" spans="1:19">
      <c r="A1097" t="s">
        <v>55</v>
      </c>
      <c r="B1097" t="s">
        <v>2495</v>
      </c>
      <c r="C1097" t="s">
        <v>39</v>
      </c>
      <c r="D1097" t="s">
        <v>58</v>
      </c>
      <c r="E1097" t="s">
        <v>122</v>
      </c>
      <c r="F1097">
        <v>74</v>
      </c>
      <c r="G1097" t="s">
        <v>24</v>
      </c>
      <c r="H1097" t="s">
        <v>2496</v>
      </c>
      <c r="I1097">
        <f>86-138-2345-6789</f>
        <v>-9186</v>
      </c>
      <c r="J1097" s="1">
        <v>43973</v>
      </c>
      <c r="K1097" s="1">
        <v>45300</v>
      </c>
      <c r="L1097">
        <v>192100.4</v>
      </c>
      <c r="M1097">
        <v>112000.75</v>
      </c>
      <c r="N1097">
        <v>685</v>
      </c>
      <c r="O1097">
        <v>220000</v>
      </c>
      <c r="P1097" t="s">
        <v>76</v>
      </c>
      <c r="Q1097" t="s">
        <v>27</v>
      </c>
      <c r="R1097">
        <v>0</v>
      </c>
      <c r="S1097" t="s">
        <v>28</v>
      </c>
    </row>
    <row r="1098" spans="1:19">
      <c r="A1098" t="s">
        <v>469</v>
      </c>
      <c r="B1098" t="s">
        <v>2497</v>
      </c>
      <c r="C1098" t="s">
        <v>52</v>
      </c>
      <c r="D1098" t="s">
        <v>471</v>
      </c>
      <c r="E1098" t="s">
        <v>472</v>
      </c>
      <c r="F1098">
        <v>65</v>
      </c>
      <c r="G1098" t="s">
        <v>34</v>
      </c>
      <c r="H1098" t="s">
        <v>2498</v>
      </c>
      <c r="I1098">
        <f>48-725-789-12</f>
        <v>-1478</v>
      </c>
      <c r="J1098" s="1">
        <v>44614</v>
      </c>
      <c r="K1098" s="1">
        <v>45301</v>
      </c>
      <c r="L1098">
        <v>73100.800000000003</v>
      </c>
      <c r="M1098">
        <v>46200.6</v>
      </c>
      <c r="N1098">
        <v>715</v>
      </c>
      <c r="O1098">
        <v>119000</v>
      </c>
      <c r="P1098" t="s">
        <v>26</v>
      </c>
      <c r="Q1098" t="s">
        <v>27</v>
      </c>
      <c r="R1098">
        <v>0</v>
      </c>
      <c r="S1098" t="s">
        <v>28</v>
      </c>
    </row>
    <row r="1099" spans="1:19">
      <c r="A1099" t="s">
        <v>474</v>
      </c>
      <c r="B1099" t="s">
        <v>2499</v>
      </c>
      <c r="C1099" t="s">
        <v>46</v>
      </c>
      <c r="D1099" t="s">
        <v>345</v>
      </c>
      <c r="E1099" t="s">
        <v>476</v>
      </c>
      <c r="F1099">
        <v>68</v>
      </c>
      <c r="G1099" t="s">
        <v>24</v>
      </c>
      <c r="H1099" t="s">
        <v>2500</v>
      </c>
      <c r="I1099">
        <f>880-1812-901234</f>
        <v>-902166</v>
      </c>
      <c r="J1099" s="1">
        <v>44522</v>
      </c>
      <c r="K1099" s="1">
        <v>45302</v>
      </c>
      <c r="L1099">
        <v>100900.25</v>
      </c>
      <c r="M1099">
        <v>56200.4</v>
      </c>
      <c r="N1099">
        <v>680</v>
      </c>
      <c r="O1099">
        <v>148000</v>
      </c>
      <c r="P1099" t="s">
        <v>26</v>
      </c>
      <c r="Q1099" t="s">
        <v>27</v>
      </c>
      <c r="R1099">
        <v>0</v>
      </c>
      <c r="S1099" t="s">
        <v>28</v>
      </c>
    </row>
    <row r="1100" spans="1:19">
      <c r="A1100" t="s">
        <v>592</v>
      </c>
      <c r="B1100" t="s">
        <v>2501</v>
      </c>
      <c r="C1100" t="s">
        <v>84</v>
      </c>
      <c r="D1100" t="s">
        <v>32</v>
      </c>
      <c r="E1100" t="s">
        <v>90</v>
      </c>
      <c r="F1100">
        <v>48</v>
      </c>
      <c r="G1100" t="s">
        <v>34</v>
      </c>
      <c r="H1100" t="s">
        <v>2502</v>
      </c>
      <c r="I1100">
        <f>81-90-1234-5678</f>
        <v>-6921</v>
      </c>
      <c r="J1100" s="1">
        <v>45540</v>
      </c>
      <c r="K1100" s="1">
        <v>45304</v>
      </c>
      <c r="L1100">
        <v>4450.3999999999996</v>
      </c>
      <c r="M1100">
        <v>14200.75</v>
      </c>
      <c r="N1100">
        <v>610</v>
      </c>
      <c r="O1100">
        <v>44000</v>
      </c>
      <c r="P1100" t="s">
        <v>76</v>
      </c>
      <c r="Q1100" t="s">
        <v>43</v>
      </c>
      <c r="R1100">
        <v>0</v>
      </c>
      <c r="S1100" t="s">
        <v>28</v>
      </c>
    </row>
    <row r="1101" spans="1:19">
      <c r="A1101" t="s">
        <v>595</v>
      </c>
      <c r="B1101" t="s">
        <v>2503</v>
      </c>
      <c r="C1101" t="s">
        <v>21</v>
      </c>
      <c r="D1101" t="s">
        <v>209</v>
      </c>
      <c r="E1101" t="s">
        <v>210</v>
      </c>
      <c r="F1101">
        <v>80</v>
      </c>
      <c r="G1101" t="s">
        <v>24</v>
      </c>
      <c r="H1101" t="s">
        <v>2504</v>
      </c>
      <c r="I1101">
        <f>52-55-9012-123</f>
        <v>-9138</v>
      </c>
      <c r="J1101" s="1">
        <v>43668</v>
      </c>
      <c r="K1101" s="1">
        <v>45299</v>
      </c>
      <c r="L1101">
        <v>290100.8</v>
      </c>
      <c r="M1101">
        <v>103000.25</v>
      </c>
      <c r="N1101">
        <v>825</v>
      </c>
      <c r="O1101">
        <v>300000</v>
      </c>
      <c r="P1101" t="s">
        <v>36</v>
      </c>
      <c r="Q1101" t="s">
        <v>27</v>
      </c>
      <c r="R1101">
        <v>0</v>
      </c>
      <c r="S1101" t="s">
        <v>28</v>
      </c>
    </row>
    <row r="1102" spans="1:19">
      <c r="A1102" t="s">
        <v>226</v>
      </c>
      <c r="B1102" t="s">
        <v>2505</v>
      </c>
      <c r="C1102" t="s">
        <v>57</v>
      </c>
      <c r="D1102" t="s">
        <v>228</v>
      </c>
      <c r="E1102" t="s">
        <v>678</v>
      </c>
      <c r="F1102">
        <v>55</v>
      </c>
      <c r="G1102" t="s">
        <v>34</v>
      </c>
      <c r="H1102" t="s">
        <v>2506</v>
      </c>
      <c r="I1102">
        <f>254-749-12-345</f>
        <v>-852</v>
      </c>
      <c r="J1102" s="1">
        <v>45404</v>
      </c>
      <c r="K1102" s="1">
        <v>45305</v>
      </c>
      <c r="L1102">
        <v>39800.75</v>
      </c>
      <c r="M1102">
        <v>15200.4</v>
      </c>
      <c r="N1102">
        <v>725</v>
      </c>
      <c r="O1102">
        <v>76000</v>
      </c>
      <c r="P1102" t="s">
        <v>36</v>
      </c>
      <c r="Q1102" t="s">
        <v>27</v>
      </c>
      <c r="R1102">
        <v>0</v>
      </c>
      <c r="S1102" t="s">
        <v>28</v>
      </c>
    </row>
    <row r="1103" spans="1:19">
      <c r="A1103" t="s">
        <v>488</v>
      </c>
      <c r="B1103" t="s">
        <v>2507</v>
      </c>
      <c r="C1103" t="s">
        <v>39</v>
      </c>
      <c r="D1103" t="s">
        <v>304</v>
      </c>
      <c r="E1103" t="s">
        <v>304</v>
      </c>
      <c r="F1103">
        <v>72</v>
      </c>
      <c r="G1103" t="s">
        <v>24</v>
      </c>
      <c r="H1103" t="s">
        <v>2508</v>
      </c>
      <c r="I1103">
        <f>65-890-1234</f>
        <v>-2059</v>
      </c>
      <c r="J1103" s="1">
        <v>44147</v>
      </c>
      <c r="K1103" s="1">
        <v>45300</v>
      </c>
      <c r="L1103">
        <v>170300.6</v>
      </c>
      <c r="M1103">
        <v>103000.9</v>
      </c>
      <c r="N1103">
        <v>675</v>
      </c>
      <c r="O1103">
        <v>200000</v>
      </c>
      <c r="P1103" t="s">
        <v>76</v>
      </c>
      <c r="Q1103" t="s">
        <v>27</v>
      </c>
      <c r="R1103">
        <v>0</v>
      </c>
      <c r="S1103" t="s">
        <v>28</v>
      </c>
    </row>
    <row r="1104" spans="1:19">
      <c r="A1104" t="s">
        <v>491</v>
      </c>
      <c r="B1104" t="s">
        <v>2509</v>
      </c>
      <c r="C1104" t="s">
        <v>52</v>
      </c>
      <c r="D1104" t="s">
        <v>493</v>
      </c>
      <c r="E1104" t="s">
        <v>494</v>
      </c>
      <c r="F1104">
        <v>63</v>
      </c>
      <c r="G1104" t="s">
        <v>34</v>
      </c>
      <c r="H1104" t="s">
        <v>2510</v>
      </c>
      <c r="I1104">
        <f>30-717-890-1234</f>
        <v>-2811</v>
      </c>
      <c r="J1104" s="1">
        <v>44917</v>
      </c>
      <c r="K1104" s="1">
        <v>45302</v>
      </c>
      <c r="L1104">
        <v>67300.399999999994</v>
      </c>
      <c r="M1104">
        <v>42000.25</v>
      </c>
      <c r="N1104">
        <v>705</v>
      </c>
      <c r="O1104">
        <v>108000</v>
      </c>
      <c r="P1104" t="s">
        <v>26</v>
      </c>
      <c r="Q1104" t="s">
        <v>27</v>
      </c>
      <c r="R1104">
        <v>0</v>
      </c>
      <c r="S1104" t="s">
        <v>28</v>
      </c>
    </row>
    <row r="1105" spans="1:19">
      <c r="A1105" t="s">
        <v>496</v>
      </c>
      <c r="B1105" t="s">
        <v>2511</v>
      </c>
      <c r="C1105" t="s">
        <v>46</v>
      </c>
      <c r="D1105" t="s">
        <v>321</v>
      </c>
      <c r="E1105" t="s">
        <v>498</v>
      </c>
      <c r="F1105">
        <v>66</v>
      </c>
      <c r="G1105" t="s">
        <v>24</v>
      </c>
      <c r="H1105" t="s">
        <v>2512</v>
      </c>
      <c r="I1105">
        <f>61-449-12-345</f>
        <v>-745</v>
      </c>
      <c r="J1105" s="1">
        <v>44399</v>
      </c>
      <c r="K1105" s="1">
        <v>45301</v>
      </c>
      <c r="L1105">
        <v>113100.75</v>
      </c>
      <c r="M1105">
        <v>63100.800000000003</v>
      </c>
      <c r="N1105">
        <v>730</v>
      </c>
      <c r="O1105">
        <v>174000</v>
      </c>
      <c r="P1105" t="s">
        <v>26</v>
      </c>
      <c r="Q1105" t="s">
        <v>27</v>
      </c>
      <c r="R1105">
        <v>0</v>
      </c>
      <c r="S1105" t="s">
        <v>28</v>
      </c>
    </row>
    <row r="1106" spans="1:19">
      <c r="A1106" t="s">
        <v>324</v>
      </c>
      <c r="B1106" t="s">
        <v>2513</v>
      </c>
      <c r="C1106" t="s">
        <v>31</v>
      </c>
      <c r="D1106" t="s">
        <v>313</v>
      </c>
      <c r="E1106" t="s">
        <v>314</v>
      </c>
      <c r="F1106">
        <v>51</v>
      </c>
      <c r="G1106" t="s">
        <v>34</v>
      </c>
      <c r="H1106" t="s">
        <v>2514</v>
      </c>
      <c r="I1106">
        <f>92-347-3210987</f>
        <v>-3211242</v>
      </c>
      <c r="J1106" s="1">
        <v>45532</v>
      </c>
      <c r="K1106" s="1">
        <v>45306</v>
      </c>
      <c r="L1106">
        <v>17800.900000000001</v>
      </c>
      <c r="M1106">
        <v>10300.75</v>
      </c>
      <c r="N1106">
        <v>685</v>
      </c>
      <c r="O1106">
        <v>61000</v>
      </c>
      <c r="P1106" t="s">
        <v>26</v>
      </c>
      <c r="Q1106" t="s">
        <v>43</v>
      </c>
      <c r="R1106">
        <v>0</v>
      </c>
      <c r="S1106" t="s">
        <v>28</v>
      </c>
    </row>
    <row r="1107" spans="1:19">
      <c r="A1107" t="s">
        <v>503</v>
      </c>
      <c r="B1107" t="s">
        <v>2515</v>
      </c>
      <c r="C1107" t="s">
        <v>21</v>
      </c>
      <c r="D1107" t="s">
        <v>32</v>
      </c>
      <c r="E1107" t="s">
        <v>33</v>
      </c>
      <c r="F1107">
        <v>83</v>
      </c>
      <c r="G1107" t="s">
        <v>24</v>
      </c>
      <c r="H1107" t="s">
        <v>2516</v>
      </c>
      <c r="I1107">
        <f>81-80-7890-1234</f>
        <v>-9123</v>
      </c>
      <c r="J1107" s="1">
        <v>43395</v>
      </c>
      <c r="K1107" s="1">
        <v>45299</v>
      </c>
      <c r="L1107">
        <v>301000.25</v>
      </c>
      <c r="M1107">
        <v>107000.4</v>
      </c>
      <c r="N1107">
        <v>840</v>
      </c>
      <c r="O1107">
        <v>315000</v>
      </c>
      <c r="P1107" t="s">
        <v>36</v>
      </c>
      <c r="Q1107" t="s">
        <v>27</v>
      </c>
      <c r="R1107">
        <v>0</v>
      </c>
      <c r="S1107" t="s">
        <v>28</v>
      </c>
    </row>
    <row r="1108" spans="1:19">
      <c r="A1108" t="s">
        <v>506</v>
      </c>
      <c r="B1108" t="s">
        <v>2517</v>
      </c>
      <c r="C1108" t="s">
        <v>39</v>
      </c>
      <c r="D1108" t="s">
        <v>68</v>
      </c>
      <c r="E1108" t="s">
        <v>69</v>
      </c>
      <c r="F1108">
        <v>75</v>
      </c>
      <c r="G1108" t="s">
        <v>34</v>
      </c>
      <c r="H1108" t="s">
        <v>2518</v>
      </c>
      <c r="I1108">
        <f>234-839-12-3456</f>
        <v>-4073</v>
      </c>
      <c r="J1108" s="1">
        <v>43912</v>
      </c>
      <c r="K1108" s="1">
        <v>45300</v>
      </c>
      <c r="L1108">
        <v>181400.4</v>
      </c>
      <c r="M1108">
        <v>107000.75</v>
      </c>
      <c r="N1108">
        <v>650</v>
      </c>
      <c r="O1108">
        <v>210000</v>
      </c>
      <c r="P1108" t="s">
        <v>76</v>
      </c>
      <c r="Q1108" t="s">
        <v>27</v>
      </c>
      <c r="R1108">
        <v>0</v>
      </c>
      <c r="S1108" t="s">
        <v>28</v>
      </c>
    </row>
    <row r="1109" spans="1:19">
      <c r="A1109" t="s">
        <v>509</v>
      </c>
      <c r="B1109" t="s">
        <v>2519</v>
      </c>
      <c r="C1109" t="s">
        <v>46</v>
      </c>
      <c r="D1109" t="s">
        <v>73</v>
      </c>
      <c r="E1109" t="s">
        <v>126</v>
      </c>
      <c r="F1109">
        <v>62</v>
      </c>
      <c r="G1109" t="s">
        <v>24</v>
      </c>
      <c r="H1109" t="s">
        <v>2520</v>
      </c>
      <c r="I1109">
        <f>49-201-2345678</f>
        <v>-2345830</v>
      </c>
      <c r="J1109" s="1">
        <v>45129</v>
      </c>
      <c r="K1109" s="1">
        <v>45303</v>
      </c>
      <c r="L1109">
        <v>101900.4</v>
      </c>
      <c r="M1109">
        <v>57300.25</v>
      </c>
      <c r="N1109">
        <v>745</v>
      </c>
      <c r="O1109">
        <v>154000</v>
      </c>
      <c r="P1109" t="s">
        <v>26</v>
      </c>
      <c r="Q1109" t="s">
        <v>27</v>
      </c>
      <c r="R1109">
        <v>0</v>
      </c>
      <c r="S1109" t="s">
        <v>28</v>
      </c>
    </row>
    <row r="1110" spans="1:19">
      <c r="A1110" t="s">
        <v>513</v>
      </c>
      <c r="B1110" t="s">
        <v>2521</v>
      </c>
      <c r="C1110" t="s">
        <v>57</v>
      </c>
      <c r="D1110" t="s">
        <v>58</v>
      </c>
      <c r="E1110" t="s">
        <v>59</v>
      </c>
      <c r="F1110">
        <v>57</v>
      </c>
      <c r="G1110" t="s">
        <v>34</v>
      </c>
      <c r="H1110" t="s">
        <v>2522</v>
      </c>
      <c r="I1110">
        <f>86-137-2345-6789</f>
        <v>-9185</v>
      </c>
      <c r="J1110" s="1">
        <v>45313</v>
      </c>
      <c r="K1110" s="1">
        <v>45302</v>
      </c>
      <c r="L1110">
        <v>42000.800000000003</v>
      </c>
      <c r="M1110">
        <v>16400.900000000001</v>
      </c>
      <c r="N1110">
        <v>765</v>
      </c>
      <c r="O1110">
        <v>86000</v>
      </c>
      <c r="P1110" t="s">
        <v>36</v>
      </c>
      <c r="Q1110" t="s">
        <v>27</v>
      </c>
      <c r="R1110">
        <v>0</v>
      </c>
      <c r="S1110" t="s">
        <v>28</v>
      </c>
    </row>
    <row r="1111" spans="1:19">
      <c r="A1111" t="s">
        <v>516</v>
      </c>
      <c r="B1111" t="s">
        <v>2523</v>
      </c>
      <c r="C1111" t="s">
        <v>52</v>
      </c>
      <c r="D1111" t="s">
        <v>277</v>
      </c>
      <c r="E1111" t="s">
        <v>278</v>
      </c>
      <c r="F1111">
        <v>70</v>
      </c>
      <c r="G1111" t="s">
        <v>24</v>
      </c>
      <c r="H1111" t="s">
        <v>2524</v>
      </c>
      <c r="I1111">
        <f>20-122-432-1098</f>
        <v>-1632</v>
      </c>
      <c r="J1111" s="1">
        <v>44583</v>
      </c>
      <c r="K1111" s="1">
        <v>45301</v>
      </c>
      <c r="L1111">
        <v>75300.75</v>
      </c>
      <c r="M1111">
        <v>48400.4</v>
      </c>
      <c r="N1111">
        <v>675</v>
      </c>
      <c r="O1111">
        <v>126000</v>
      </c>
      <c r="P1111" t="s">
        <v>26</v>
      </c>
      <c r="Q1111" t="s">
        <v>27</v>
      </c>
      <c r="R1111">
        <v>0</v>
      </c>
      <c r="S1111" t="s">
        <v>28</v>
      </c>
    </row>
    <row r="1112" spans="1:19">
      <c r="A1112" t="s">
        <v>519</v>
      </c>
      <c r="B1112" t="s">
        <v>2525</v>
      </c>
      <c r="C1112" t="s">
        <v>84</v>
      </c>
      <c r="D1112" t="s">
        <v>183</v>
      </c>
      <c r="E1112" t="s">
        <v>273</v>
      </c>
      <c r="F1112">
        <v>49</v>
      </c>
      <c r="G1112" t="s">
        <v>34</v>
      </c>
      <c r="H1112" t="s">
        <v>2526</v>
      </c>
      <c r="I1112">
        <f>33-6-9012-3456</f>
        <v>-12441</v>
      </c>
      <c r="J1112" s="1">
        <v>45547</v>
      </c>
      <c r="K1112" s="1">
        <v>45304</v>
      </c>
      <c r="L1112">
        <v>4700.25</v>
      </c>
      <c r="M1112">
        <v>15400.6</v>
      </c>
      <c r="N1112">
        <v>615</v>
      </c>
      <c r="O1112">
        <v>46000</v>
      </c>
      <c r="P1112" t="s">
        <v>76</v>
      </c>
      <c r="Q1112" t="s">
        <v>43</v>
      </c>
      <c r="R1112">
        <v>0</v>
      </c>
      <c r="S1112" t="s">
        <v>28</v>
      </c>
    </row>
    <row r="1113" spans="1:19">
      <c r="A1113" t="s">
        <v>522</v>
      </c>
      <c r="B1113" t="s">
        <v>2527</v>
      </c>
      <c r="C1113" t="s">
        <v>39</v>
      </c>
      <c r="D1113" t="s">
        <v>40</v>
      </c>
      <c r="E1113" t="s">
        <v>94</v>
      </c>
      <c r="F1113">
        <v>77</v>
      </c>
      <c r="G1113" t="s">
        <v>24</v>
      </c>
      <c r="H1113" t="s">
        <v>2528</v>
      </c>
      <c r="I1113">
        <f>91-987-654-3210</f>
        <v>-4760</v>
      </c>
      <c r="J1113" s="1">
        <v>43883</v>
      </c>
      <c r="K1113" s="1">
        <v>45299</v>
      </c>
      <c r="L1113">
        <v>216000.8</v>
      </c>
      <c r="M1113">
        <v>120000.25</v>
      </c>
      <c r="N1113">
        <v>660</v>
      </c>
      <c r="O1113">
        <v>245000</v>
      </c>
      <c r="P1113" t="s">
        <v>76</v>
      </c>
      <c r="Q1113" t="s">
        <v>27</v>
      </c>
      <c r="R1113">
        <v>0</v>
      </c>
      <c r="S1113" t="s">
        <v>28</v>
      </c>
    </row>
    <row r="1114" spans="1:19">
      <c r="A1114" t="s">
        <v>306</v>
      </c>
      <c r="B1114" t="s">
        <v>2529</v>
      </c>
      <c r="C1114" t="s">
        <v>46</v>
      </c>
      <c r="D1114" t="s">
        <v>209</v>
      </c>
      <c r="E1114" t="s">
        <v>210</v>
      </c>
      <c r="F1114">
        <v>64</v>
      </c>
      <c r="G1114" t="s">
        <v>34</v>
      </c>
      <c r="H1114" t="s">
        <v>2530</v>
      </c>
      <c r="I1114">
        <f>52-55-123-123</f>
        <v>-249</v>
      </c>
      <c r="J1114" s="1">
        <v>44734</v>
      </c>
      <c r="K1114" s="1">
        <v>45302</v>
      </c>
      <c r="L1114">
        <v>96400.9</v>
      </c>
      <c r="M1114">
        <v>54200.75</v>
      </c>
      <c r="N1114">
        <v>730</v>
      </c>
      <c r="O1114">
        <v>149000</v>
      </c>
      <c r="P1114" t="s">
        <v>26</v>
      </c>
      <c r="Q1114" t="s">
        <v>27</v>
      </c>
      <c r="R1114">
        <v>0</v>
      </c>
      <c r="S1114" t="s">
        <v>28</v>
      </c>
    </row>
    <row r="1115" spans="1:19">
      <c r="A1115" t="s">
        <v>527</v>
      </c>
      <c r="B1115" t="s">
        <v>2531</v>
      </c>
      <c r="C1115" t="s">
        <v>31</v>
      </c>
      <c r="D1115" t="s">
        <v>32</v>
      </c>
      <c r="E1115" t="s">
        <v>90</v>
      </c>
      <c r="F1115">
        <v>53</v>
      </c>
      <c r="G1115" t="s">
        <v>34</v>
      </c>
      <c r="H1115" t="s">
        <v>2532</v>
      </c>
      <c r="I1115">
        <f>81-90-8901-2345</f>
        <v>-11255</v>
      </c>
      <c r="J1115" s="1">
        <v>45543</v>
      </c>
      <c r="K1115" s="1">
        <v>45305</v>
      </c>
      <c r="L1115">
        <v>18900.400000000001</v>
      </c>
      <c r="M1115">
        <v>10400.25</v>
      </c>
      <c r="N1115">
        <v>705</v>
      </c>
      <c r="O1115">
        <v>63000</v>
      </c>
      <c r="P1115" t="s">
        <v>26</v>
      </c>
      <c r="Q1115" t="s">
        <v>43</v>
      </c>
      <c r="R1115">
        <v>0</v>
      </c>
      <c r="S1115" t="s">
        <v>28</v>
      </c>
    </row>
    <row r="1116" spans="1:19">
      <c r="A1116" t="s">
        <v>530</v>
      </c>
      <c r="B1116" t="s">
        <v>2533</v>
      </c>
      <c r="C1116" t="s">
        <v>57</v>
      </c>
      <c r="D1116" t="s">
        <v>219</v>
      </c>
      <c r="E1116" t="s">
        <v>220</v>
      </c>
      <c r="F1116">
        <v>58</v>
      </c>
      <c r="G1116" t="s">
        <v>24</v>
      </c>
      <c r="H1116" t="s">
        <v>2534</v>
      </c>
      <c r="I1116">
        <f>233-80-123-4567</f>
        <v>-4537</v>
      </c>
      <c r="J1116" s="1">
        <v>45282</v>
      </c>
      <c r="K1116" s="1">
        <v>45303</v>
      </c>
      <c r="L1116">
        <v>40900.6</v>
      </c>
      <c r="M1116">
        <v>15800.8</v>
      </c>
      <c r="N1116">
        <v>710</v>
      </c>
      <c r="O1116">
        <v>79000</v>
      </c>
      <c r="P1116" t="s">
        <v>36</v>
      </c>
      <c r="Q1116" t="s">
        <v>27</v>
      </c>
      <c r="R1116">
        <v>0</v>
      </c>
      <c r="S1116" t="s">
        <v>28</v>
      </c>
    </row>
    <row r="1117" spans="1:19">
      <c r="A1117" t="s">
        <v>533</v>
      </c>
      <c r="B1117" t="s">
        <v>2535</v>
      </c>
      <c r="C1117" t="s">
        <v>52</v>
      </c>
      <c r="D1117" t="s">
        <v>204</v>
      </c>
      <c r="E1117" t="s">
        <v>205</v>
      </c>
      <c r="F1117">
        <v>65</v>
      </c>
      <c r="G1117" t="s">
        <v>34</v>
      </c>
      <c r="H1117" t="s">
        <v>2536</v>
      </c>
      <c r="I1117">
        <f>7-921-210-98-76</f>
        <v>-1298</v>
      </c>
      <c r="J1117" s="1">
        <v>44583</v>
      </c>
      <c r="K1117" s="1">
        <v>45301</v>
      </c>
      <c r="L1117">
        <v>72200.25</v>
      </c>
      <c r="M1117">
        <v>45300.9</v>
      </c>
      <c r="N1117">
        <v>695</v>
      </c>
      <c r="O1117">
        <v>114000</v>
      </c>
      <c r="P1117" t="s">
        <v>26</v>
      </c>
      <c r="Q1117" t="s">
        <v>27</v>
      </c>
      <c r="R1117">
        <v>0</v>
      </c>
      <c r="S1117" t="s">
        <v>28</v>
      </c>
    </row>
    <row r="1118" spans="1:19">
      <c r="A1118" t="s">
        <v>536</v>
      </c>
      <c r="B1118" t="s">
        <v>2537</v>
      </c>
      <c r="C1118" t="s">
        <v>39</v>
      </c>
      <c r="D1118" t="s">
        <v>195</v>
      </c>
      <c r="E1118" t="s">
        <v>196</v>
      </c>
      <c r="F1118">
        <v>73</v>
      </c>
      <c r="G1118" t="s">
        <v>24</v>
      </c>
      <c r="H1118" t="s">
        <v>2538</v>
      </c>
      <c r="I1118">
        <f>353-12-12-3456</f>
        <v>-3127</v>
      </c>
      <c r="J1118" s="1">
        <v>44034</v>
      </c>
      <c r="K1118" s="1">
        <v>45300</v>
      </c>
      <c r="L1118">
        <v>148200.4</v>
      </c>
      <c r="M1118">
        <v>94000.6</v>
      </c>
      <c r="N1118">
        <v>670</v>
      </c>
      <c r="O1118">
        <v>181000</v>
      </c>
      <c r="P1118" t="s">
        <v>76</v>
      </c>
      <c r="Q1118" t="s">
        <v>27</v>
      </c>
      <c r="R1118">
        <v>0</v>
      </c>
      <c r="S1118" t="s">
        <v>28</v>
      </c>
    </row>
    <row r="1119" spans="1:19">
      <c r="A1119" t="s">
        <v>539</v>
      </c>
      <c r="B1119" t="s">
        <v>2539</v>
      </c>
      <c r="C1119" t="s">
        <v>21</v>
      </c>
      <c r="D1119" t="s">
        <v>58</v>
      </c>
      <c r="E1119" t="s">
        <v>122</v>
      </c>
      <c r="F1119">
        <v>81</v>
      </c>
      <c r="G1119" t="s">
        <v>34</v>
      </c>
      <c r="H1119" t="s">
        <v>2540</v>
      </c>
      <c r="I1119">
        <f>86-139-9012-3456</f>
        <v>-12521</v>
      </c>
      <c r="J1119" s="1">
        <v>43607</v>
      </c>
      <c r="K1119" s="1">
        <v>45299</v>
      </c>
      <c r="L1119">
        <v>315100.75</v>
      </c>
      <c r="M1119">
        <v>111000.8</v>
      </c>
      <c r="N1119">
        <v>835</v>
      </c>
      <c r="O1119">
        <v>326000</v>
      </c>
      <c r="P1119" t="s">
        <v>36</v>
      </c>
      <c r="Q1119" t="s">
        <v>27</v>
      </c>
      <c r="R1119">
        <v>0</v>
      </c>
      <c r="S1119" t="s">
        <v>28</v>
      </c>
    </row>
    <row r="1120" spans="1:19">
      <c r="A1120" t="s">
        <v>542</v>
      </c>
      <c r="B1120" t="s">
        <v>2541</v>
      </c>
      <c r="C1120" t="s">
        <v>52</v>
      </c>
      <c r="D1120" t="s">
        <v>68</v>
      </c>
      <c r="E1120" t="s">
        <v>114</v>
      </c>
      <c r="F1120">
        <v>68</v>
      </c>
      <c r="G1120" t="s">
        <v>34</v>
      </c>
      <c r="H1120" t="s">
        <v>2542</v>
      </c>
      <c r="I1120">
        <f>234-840-123-4567</f>
        <v>-5296</v>
      </c>
      <c r="J1120" s="1">
        <v>44552</v>
      </c>
      <c r="K1120" s="1">
        <v>45302</v>
      </c>
      <c r="L1120">
        <v>80900.600000000006</v>
      </c>
      <c r="M1120">
        <v>50900.25</v>
      </c>
      <c r="N1120">
        <v>665</v>
      </c>
      <c r="O1120">
        <v>134000</v>
      </c>
      <c r="P1120" t="s">
        <v>26</v>
      </c>
      <c r="Q1120" t="s">
        <v>27</v>
      </c>
      <c r="R1120">
        <v>0</v>
      </c>
      <c r="S1120" t="s">
        <v>28</v>
      </c>
    </row>
    <row r="1121" spans="1:19">
      <c r="A1121" t="s">
        <v>545</v>
      </c>
      <c r="B1121" t="s">
        <v>2543</v>
      </c>
      <c r="C1121" t="s">
        <v>46</v>
      </c>
      <c r="D1121" t="s">
        <v>241</v>
      </c>
      <c r="E1121" t="s">
        <v>242</v>
      </c>
      <c r="F1121">
        <v>60</v>
      </c>
      <c r="G1121" t="s">
        <v>24</v>
      </c>
      <c r="H1121" t="s">
        <v>2544</v>
      </c>
      <c r="I1121">
        <f>39-374-890-1234</f>
        <v>-2459</v>
      </c>
      <c r="J1121" s="1">
        <v>45191</v>
      </c>
      <c r="K1121" s="1">
        <v>45303</v>
      </c>
      <c r="L1121">
        <v>104200.8</v>
      </c>
      <c r="M1121">
        <v>58400.4</v>
      </c>
      <c r="N1121">
        <v>750</v>
      </c>
      <c r="O1121">
        <v>160000</v>
      </c>
      <c r="P1121" t="s">
        <v>26</v>
      </c>
      <c r="Q1121" t="s">
        <v>27</v>
      </c>
      <c r="R1121">
        <v>0</v>
      </c>
      <c r="S1121" t="s">
        <v>28</v>
      </c>
    </row>
    <row r="1122" spans="1:19">
      <c r="A1122" t="s">
        <v>548</v>
      </c>
      <c r="B1122" t="s">
        <v>2545</v>
      </c>
      <c r="C1122" t="s">
        <v>57</v>
      </c>
      <c r="D1122" t="s">
        <v>22</v>
      </c>
      <c r="E1122" t="s">
        <v>282</v>
      </c>
      <c r="F1122">
        <v>56</v>
      </c>
      <c r="G1122" t="s">
        <v>34</v>
      </c>
      <c r="H1122" t="s">
        <v>2546</v>
      </c>
      <c r="I1122">
        <f>1-206-555-198</f>
        <v>-958</v>
      </c>
      <c r="J1122" s="1">
        <v>45373</v>
      </c>
      <c r="K1122" s="1">
        <v>45305</v>
      </c>
      <c r="L1122">
        <v>43100.9</v>
      </c>
      <c r="M1122">
        <v>16800.75</v>
      </c>
      <c r="N1122">
        <v>770</v>
      </c>
      <c r="O1122">
        <v>91000</v>
      </c>
      <c r="P1122" t="s">
        <v>36</v>
      </c>
      <c r="Q1122" t="s">
        <v>27</v>
      </c>
      <c r="R1122">
        <v>0</v>
      </c>
      <c r="S1122" t="s">
        <v>28</v>
      </c>
    </row>
    <row r="1123" spans="1:19">
      <c r="A1123" t="s">
        <v>551</v>
      </c>
      <c r="B1123" t="s">
        <v>2547</v>
      </c>
      <c r="C1123" t="s">
        <v>39</v>
      </c>
      <c r="D1123" t="s">
        <v>313</v>
      </c>
      <c r="E1123" t="s">
        <v>385</v>
      </c>
      <c r="F1123">
        <v>79</v>
      </c>
      <c r="G1123" t="s">
        <v>24</v>
      </c>
      <c r="H1123" t="s">
        <v>2548</v>
      </c>
      <c r="I1123">
        <f>92-326-3210987</f>
        <v>-3211221</v>
      </c>
      <c r="J1123" s="1">
        <v>43791</v>
      </c>
      <c r="K1123" s="1">
        <v>45299</v>
      </c>
      <c r="L1123">
        <v>201300.25</v>
      </c>
      <c r="M1123">
        <v>115000.8</v>
      </c>
      <c r="N1123">
        <v>645</v>
      </c>
      <c r="O1123">
        <v>231000</v>
      </c>
      <c r="P1123" t="s">
        <v>76</v>
      </c>
      <c r="Q1123" t="s">
        <v>27</v>
      </c>
      <c r="R1123">
        <v>0</v>
      </c>
      <c r="S1123" t="s">
        <v>28</v>
      </c>
    </row>
    <row r="1124" spans="1:19">
      <c r="A1124" t="s">
        <v>554</v>
      </c>
      <c r="B1124" t="s">
        <v>2549</v>
      </c>
      <c r="C1124" t="s">
        <v>31</v>
      </c>
      <c r="D1124" t="s">
        <v>214</v>
      </c>
      <c r="E1124" t="s">
        <v>215</v>
      </c>
      <c r="F1124">
        <v>52</v>
      </c>
      <c r="G1124" t="s">
        <v>34</v>
      </c>
      <c r="H1124" t="s">
        <v>2550</v>
      </c>
      <c r="I1124">
        <f>34-649-12-345</f>
        <v>-972</v>
      </c>
      <c r="J1124" s="1">
        <v>45547</v>
      </c>
      <c r="K1124" s="1">
        <v>45306</v>
      </c>
      <c r="L1124">
        <v>36200.5</v>
      </c>
      <c r="M1124">
        <v>16400.400000000001</v>
      </c>
      <c r="N1124">
        <v>720</v>
      </c>
      <c r="O1124">
        <v>68000</v>
      </c>
      <c r="P1124" t="s">
        <v>36</v>
      </c>
      <c r="Q1124" t="s">
        <v>27</v>
      </c>
      <c r="R1124">
        <v>0</v>
      </c>
      <c r="S1124" t="s">
        <v>28</v>
      </c>
    </row>
    <row r="1125" spans="1:19">
      <c r="A1125" t="s">
        <v>108</v>
      </c>
      <c r="B1125" t="s">
        <v>2551</v>
      </c>
      <c r="C1125" t="s">
        <v>84</v>
      </c>
      <c r="D1125" t="s">
        <v>32</v>
      </c>
      <c r="E1125" t="s">
        <v>33</v>
      </c>
      <c r="F1125">
        <v>48</v>
      </c>
      <c r="G1125" t="s">
        <v>24</v>
      </c>
      <c r="H1125" t="s">
        <v>2552</v>
      </c>
      <c r="I1125">
        <f>81-90-1234-5678</f>
        <v>-6921</v>
      </c>
      <c r="J1125" s="1">
        <v>45550</v>
      </c>
      <c r="K1125" s="1">
        <v>45304</v>
      </c>
      <c r="L1125">
        <v>4450.8</v>
      </c>
      <c r="M1125">
        <v>13800.25</v>
      </c>
      <c r="N1125">
        <v>605</v>
      </c>
      <c r="O1125">
        <v>44000</v>
      </c>
      <c r="P1125" t="s">
        <v>76</v>
      </c>
      <c r="Q1125" t="s">
        <v>43</v>
      </c>
      <c r="R1125">
        <v>0</v>
      </c>
      <c r="S1125" t="s">
        <v>28</v>
      </c>
    </row>
    <row r="1126" spans="1:19">
      <c r="A1126" t="s">
        <v>559</v>
      </c>
      <c r="B1126" t="s">
        <v>2553</v>
      </c>
      <c r="C1126" t="s">
        <v>46</v>
      </c>
      <c r="D1126" t="s">
        <v>254</v>
      </c>
      <c r="E1126" t="s">
        <v>255</v>
      </c>
      <c r="F1126">
        <v>62</v>
      </c>
      <c r="G1126" t="s">
        <v>34</v>
      </c>
      <c r="H1126" t="s">
        <v>2554</v>
      </c>
      <c r="I1126">
        <f>221-4-890-1234</f>
        <v>-1907</v>
      </c>
      <c r="J1126" s="1">
        <v>45068</v>
      </c>
      <c r="K1126" s="1">
        <v>45302</v>
      </c>
      <c r="L1126">
        <v>90900.4</v>
      </c>
      <c r="M1126">
        <v>53100.75</v>
      </c>
      <c r="N1126">
        <v>710</v>
      </c>
      <c r="O1126">
        <v>142000</v>
      </c>
      <c r="P1126" t="s">
        <v>26</v>
      </c>
      <c r="Q1126" t="s">
        <v>27</v>
      </c>
      <c r="R1126">
        <v>0</v>
      </c>
      <c r="S1126" t="s">
        <v>28</v>
      </c>
    </row>
    <row r="1127" spans="1:19">
      <c r="A1127" t="s">
        <v>562</v>
      </c>
      <c r="B1127" t="s">
        <v>2555</v>
      </c>
      <c r="C1127" t="s">
        <v>39</v>
      </c>
      <c r="D1127" t="s">
        <v>47</v>
      </c>
      <c r="E1127" t="s">
        <v>98</v>
      </c>
      <c r="F1127">
        <v>76</v>
      </c>
      <c r="G1127" t="s">
        <v>24</v>
      </c>
      <c r="H1127" t="s">
        <v>2556</v>
      </c>
      <c r="I1127">
        <f>44-79-1234-5678</f>
        <v>-6947</v>
      </c>
      <c r="J1127" s="1">
        <v>43943</v>
      </c>
      <c r="K1127" s="1">
        <v>45300</v>
      </c>
      <c r="L1127">
        <v>181500.6</v>
      </c>
      <c r="M1127">
        <v>108000.25</v>
      </c>
      <c r="N1127">
        <v>675</v>
      </c>
      <c r="O1127">
        <v>211000</v>
      </c>
      <c r="P1127" t="s">
        <v>76</v>
      </c>
      <c r="Q1127" t="s">
        <v>27</v>
      </c>
      <c r="R1127">
        <v>0</v>
      </c>
      <c r="S1127" t="s">
        <v>28</v>
      </c>
    </row>
    <row r="1128" spans="1:19">
      <c r="A1128" t="s">
        <v>565</v>
      </c>
      <c r="B1128" t="s">
        <v>2557</v>
      </c>
      <c r="C1128" t="s">
        <v>52</v>
      </c>
      <c r="D1128" t="s">
        <v>233</v>
      </c>
      <c r="E1128" t="s">
        <v>234</v>
      </c>
      <c r="F1128">
        <v>61</v>
      </c>
      <c r="G1128" t="s">
        <v>34</v>
      </c>
      <c r="H1128" t="s">
        <v>2558</v>
      </c>
      <c r="I1128">
        <f>82-10-123-4567</f>
        <v>-4618</v>
      </c>
      <c r="J1128" s="1">
        <v>44856</v>
      </c>
      <c r="K1128" s="1">
        <v>45301</v>
      </c>
      <c r="L1128">
        <v>67300.75</v>
      </c>
      <c r="M1128">
        <v>44200.800000000003</v>
      </c>
      <c r="N1128">
        <v>725</v>
      </c>
      <c r="O1128">
        <v>108000</v>
      </c>
      <c r="P1128" t="s">
        <v>26</v>
      </c>
      <c r="Q1128" t="s">
        <v>27</v>
      </c>
      <c r="R1128">
        <v>0</v>
      </c>
      <c r="S1128" t="s">
        <v>28</v>
      </c>
    </row>
    <row r="1129" spans="1:19">
      <c r="A1129" t="s">
        <v>568</v>
      </c>
      <c r="B1129" t="s">
        <v>2559</v>
      </c>
      <c r="C1129" t="s">
        <v>57</v>
      </c>
      <c r="D1129" t="s">
        <v>79</v>
      </c>
      <c r="E1129" t="s">
        <v>80</v>
      </c>
      <c r="F1129">
        <v>59</v>
      </c>
      <c r="G1129" t="s">
        <v>24</v>
      </c>
      <c r="H1129" t="s">
        <v>2560</v>
      </c>
      <c r="I1129">
        <f>971-50-234-5678</f>
        <v>-4991</v>
      </c>
      <c r="J1129" s="1">
        <v>45313</v>
      </c>
      <c r="K1129" s="1">
        <v>45303</v>
      </c>
      <c r="L1129">
        <v>45300.4</v>
      </c>
      <c r="M1129">
        <v>17600.900000000001</v>
      </c>
      <c r="N1129">
        <v>740</v>
      </c>
      <c r="O1129">
        <v>94000</v>
      </c>
      <c r="P1129" t="s">
        <v>36</v>
      </c>
      <c r="Q1129" t="s">
        <v>27</v>
      </c>
      <c r="R1129">
        <v>0</v>
      </c>
      <c r="S1129" t="s">
        <v>28</v>
      </c>
    </row>
    <row r="1130" spans="1:19">
      <c r="A1130" t="s">
        <v>571</v>
      </c>
      <c r="B1130" t="s">
        <v>2561</v>
      </c>
      <c r="C1130" t="s">
        <v>21</v>
      </c>
      <c r="D1130" t="s">
        <v>63</v>
      </c>
      <c r="E1130" t="s">
        <v>64</v>
      </c>
      <c r="F1130">
        <v>82</v>
      </c>
      <c r="G1130" t="s">
        <v>34</v>
      </c>
      <c r="H1130" t="s">
        <v>2562</v>
      </c>
      <c r="I1130">
        <f>55-11-99934-5678</f>
        <v>-105568</v>
      </c>
      <c r="J1130" s="1">
        <v>43487</v>
      </c>
      <c r="K1130" s="1">
        <v>45299</v>
      </c>
      <c r="L1130">
        <v>270400.90000000002</v>
      </c>
      <c r="M1130">
        <v>98000.6</v>
      </c>
      <c r="N1130">
        <v>830</v>
      </c>
      <c r="O1130">
        <v>306000</v>
      </c>
      <c r="P1130" t="s">
        <v>36</v>
      </c>
      <c r="Q1130" t="s">
        <v>27</v>
      </c>
      <c r="R1130">
        <v>0</v>
      </c>
      <c r="S1130" t="s">
        <v>28</v>
      </c>
    </row>
    <row r="1131" spans="1:19">
      <c r="A1131" t="s">
        <v>574</v>
      </c>
      <c r="B1131" t="s">
        <v>2563</v>
      </c>
      <c r="C1131" t="s">
        <v>39</v>
      </c>
      <c r="D1131" t="s">
        <v>68</v>
      </c>
      <c r="E1131" t="s">
        <v>179</v>
      </c>
      <c r="F1131">
        <v>74</v>
      </c>
      <c r="G1131" t="s">
        <v>24</v>
      </c>
      <c r="H1131" t="s">
        <v>2564</v>
      </c>
      <c r="I1131">
        <f>234-841-234-5678</f>
        <v>-6519</v>
      </c>
      <c r="J1131" s="1">
        <v>44086</v>
      </c>
      <c r="K1131" s="1">
        <v>45300</v>
      </c>
      <c r="L1131">
        <v>159300.25</v>
      </c>
      <c r="M1131">
        <v>100000.4</v>
      </c>
      <c r="N1131">
        <v>655</v>
      </c>
      <c r="O1131">
        <v>196000</v>
      </c>
      <c r="P1131" t="s">
        <v>76</v>
      </c>
      <c r="Q1131" t="s">
        <v>27</v>
      </c>
      <c r="R1131">
        <v>0</v>
      </c>
      <c r="S1131" t="s">
        <v>28</v>
      </c>
    </row>
    <row r="1132" spans="1:19">
      <c r="A1132" t="s">
        <v>577</v>
      </c>
      <c r="B1132" t="s">
        <v>2565</v>
      </c>
      <c r="C1132" t="s">
        <v>46</v>
      </c>
      <c r="D1132" t="s">
        <v>85</v>
      </c>
      <c r="E1132" t="s">
        <v>86</v>
      </c>
      <c r="F1132">
        <v>63</v>
      </c>
      <c r="G1132" t="s">
        <v>34</v>
      </c>
      <c r="H1132" t="s">
        <v>2566</v>
      </c>
      <c r="I1132">
        <f>1-647-555-198</f>
        <v>-1399</v>
      </c>
      <c r="J1132" s="1">
        <v>44979</v>
      </c>
      <c r="K1132" s="1">
        <v>45302</v>
      </c>
      <c r="L1132">
        <v>109800.6</v>
      </c>
      <c r="M1132">
        <v>61100.75</v>
      </c>
      <c r="N1132">
        <v>760</v>
      </c>
      <c r="O1132">
        <v>165000</v>
      </c>
      <c r="P1132" t="s">
        <v>26</v>
      </c>
      <c r="Q1132" t="s">
        <v>27</v>
      </c>
      <c r="R1132">
        <v>0</v>
      </c>
      <c r="S1132" t="s">
        <v>28</v>
      </c>
    </row>
    <row r="1133" spans="1:19">
      <c r="A1133" t="s">
        <v>458</v>
      </c>
      <c r="B1133" t="s">
        <v>2567</v>
      </c>
      <c r="C1133" t="s">
        <v>31</v>
      </c>
      <c r="D1133" t="s">
        <v>460</v>
      </c>
      <c r="E1133" t="s">
        <v>663</v>
      </c>
      <c r="F1133">
        <v>54</v>
      </c>
      <c r="G1133" t="s">
        <v>24</v>
      </c>
      <c r="H1133" t="s">
        <v>2568</v>
      </c>
      <c r="I1133">
        <f>62-838-9012-3456</f>
        <v>-13244</v>
      </c>
      <c r="J1133" s="1">
        <v>45543</v>
      </c>
      <c r="K1133" s="1">
        <v>45306</v>
      </c>
      <c r="L1133">
        <v>21400.25</v>
      </c>
      <c r="M1133">
        <v>12700.8</v>
      </c>
      <c r="N1133">
        <v>695</v>
      </c>
      <c r="O1133">
        <v>65000</v>
      </c>
      <c r="P1133" t="s">
        <v>26</v>
      </c>
      <c r="Q1133" t="s">
        <v>43</v>
      </c>
      <c r="R1133">
        <v>0</v>
      </c>
      <c r="S1133" t="s">
        <v>28</v>
      </c>
    </row>
    <row r="1134" spans="1:19">
      <c r="A1134" t="s">
        <v>582</v>
      </c>
      <c r="B1134" t="s">
        <v>2569</v>
      </c>
      <c r="C1134" t="s">
        <v>57</v>
      </c>
      <c r="D1134" t="s">
        <v>22</v>
      </c>
      <c r="E1134" t="s">
        <v>23</v>
      </c>
      <c r="F1134">
        <v>57</v>
      </c>
      <c r="G1134" t="s">
        <v>34</v>
      </c>
      <c r="H1134" t="s">
        <v>2570</v>
      </c>
      <c r="I1134">
        <f>1-646-555-198</f>
        <v>-1398</v>
      </c>
      <c r="J1134" s="1">
        <v>45252</v>
      </c>
      <c r="K1134" s="1">
        <v>45303</v>
      </c>
      <c r="L1134">
        <v>44200.9</v>
      </c>
      <c r="M1134">
        <v>17200.25</v>
      </c>
      <c r="N1134">
        <v>755</v>
      </c>
      <c r="O1134">
        <v>87000</v>
      </c>
      <c r="P1134" t="s">
        <v>36</v>
      </c>
      <c r="Q1134" t="s">
        <v>27</v>
      </c>
      <c r="R1134">
        <v>0</v>
      </c>
      <c r="S1134" t="s">
        <v>28</v>
      </c>
    </row>
    <row r="1135" spans="1:19">
      <c r="A1135" t="s">
        <v>55</v>
      </c>
      <c r="B1135" t="s">
        <v>2571</v>
      </c>
      <c r="C1135" t="s">
        <v>39</v>
      </c>
      <c r="D1135" t="s">
        <v>58</v>
      </c>
      <c r="E1135" t="s">
        <v>122</v>
      </c>
      <c r="F1135">
        <v>75</v>
      </c>
      <c r="G1135" t="s">
        <v>24</v>
      </c>
      <c r="H1135" t="s">
        <v>2572</v>
      </c>
      <c r="I1135">
        <f>86-138-3456-7890</f>
        <v>-11398</v>
      </c>
      <c r="J1135" s="1">
        <v>44004</v>
      </c>
      <c r="K1135" s="1">
        <v>45300</v>
      </c>
      <c r="L1135">
        <v>192200.4</v>
      </c>
      <c r="M1135">
        <v>113000.75</v>
      </c>
      <c r="N1135">
        <v>685</v>
      </c>
      <c r="O1135">
        <v>221000</v>
      </c>
      <c r="P1135" t="s">
        <v>76</v>
      </c>
      <c r="Q1135" t="s">
        <v>27</v>
      </c>
      <c r="R1135">
        <v>0</v>
      </c>
      <c r="S1135" t="s">
        <v>28</v>
      </c>
    </row>
    <row r="1136" spans="1:19">
      <c r="A1136" t="s">
        <v>469</v>
      </c>
      <c r="B1136" t="s">
        <v>2573</v>
      </c>
      <c r="C1136" t="s">
        <v>52</v>
      </c>
      <c r="D1136" t="s">
        <v>471</v>
      </c>
      <c r="E1136" t="s">
        <v>472</v>
      </c>
      <c r="F1136">
        <v>66</v>
      </c>
      <c r="G1136" t="s">
        <v>34</v>
      </c>
      <c r="H1136" t="s">
        <v>2574</v>
      </c>
      <c r="I1136">
        <f>48-726-890-123</f>
        <v>-1691</v>
      </c>
      <c r="J1136" s="1">
        <v>44642</v>
      </c>
      <c r="K1136" s="1">
        <v>45301</v>
      </c>
      <c r="L1136">
        <v>74200.800000000003</v>
      </c>
      <c r="M1136">
        <v>47300.6</v>
      </c>
      <c r="N1136">
        <v>715</v>
      </c>
      <c r="O1136">
        <v>120000</v>
      </c>
      <c r="P1136" t="s">
        <v>26</v>
      </c>
      <c r="Q1136" t="s">
        <v>27</v>
      </c>
      <c r="R1136">
        <v>0</v>
      </c>
      <c r="S1136" t="s">
        <v>28</v>
      </c>
    </row>
    <row r="1137" spans="1:19">
      <c r="A1137" t="s">
        <v>474</v>
      </c>
      <c r="B1137" t="s">
        <v>2575</v>
      </c>
      <c r="C1137" t="s">
        <v>46</v>
      </c>
      <c r="D1137" t="s">
        <v>345</v>
      </c>
      <c r="E1137" t="s">
        <v>476</v>
      </c>
      <c r="F1137">
        <v>69</v>
      </c>
      <c r="G1137" t="s">
        <v>24</v>
      </c>
      <c r="H1137" t="s">
        <v>2576</v>
      </c>
      <c r="I1137">
        <f>880-1812-12345</f>
        <v>-13277</v>
      </c>
      <c r="J1137" s="1">
        <v>44552</v>
      </c>
      <c r="K1137" s="1">
        <v>45302</v>
      </c>
      <c r="L1137">
        <v>102000.25</v>
      </c>
      <c r="M1137">
        <v>57300.4</v>
      </c>
      <c r="N1137">
        <v>680</v>
      </c>
      <c r="O1137">
        <v>149000</v>
      </c>
      <c r="P1137" t="s">
        <v>26</v>
      </c>
      <c r="Q1137" t="s">
        <v>27</v>
      </c>
      <c r="R1137">
        <v>0</v>
      </c>
      <c r="S1137" t="s">
        <v>28</v>
      </c>
    </row>
    <row r="1138" spans="1:19">
      <c r="A1138" t="s">
        <v>592</v>
      </c>
      <c r="B1138" t="s">
        <v>2577</v>
      </c>
      <c r="C1138" t="s">
        <v>84</v>
      </c>
      <c r="D1138" t="s">
        <v>32</v>
      </c>
      <c r="E1138" t="s">
        <v>90</v>
      </c>
      <c r="F1138">
        <v>49</v>
      </c>
      <c r="G1138" t="s">
        <v>34</v>
      </c>
      <c r="H1138" t="s">
        <v>2578</v>
      </c>
      <c r="I1138">
        <f>81-90-2345-6789</f>
        <v>-9143</v>
      </c>
      <c r="J1138" s="1">
        <v>45557</v>
      </c>
      <c r="K1138" s="1">
        <v>45304</v>
      </c>
      <c r="L1138">
        <v>4550.3999999999996</v>
      </c>
      <c r="M1138">
        <v>14400.75</v>
      </c>
      <c r="N1138">
        <v>610</v>
      </c>
      <c r="O1138">
        <v>45000</v>
      </c>
      <c r="P1138" t="s">
        <v>76</v>
      </c>
      <c r="Q1138" t="s">
        <v>43</v>
      </c>
      <c r="R1138">
        <v>0</v>
      </c>
      <c r="S1138" t="s">
        <v>28</v>
      </c>
    </row>
    <row r="1139" spans="1:19">
      <c r="A1139" t="s">
        <v>595</v>
      </c>
      <c r="B1139" t="s">
        <v>2579</v>
      </c>
      <c r="C1139" t="s">
        <v>21</v>
      </c>
      <c r="D1139" t="s">
        <v>209</v>
      </c>
      <c r="E1139" t="s">
        <v>210</v>
      </c>
      <c r="F1139">
        <v>81</v>
      </c>
      <c r="G1139" t="s">
        <v>24</v>
      </c>
      <c r="H1139" t="s">
        <v>2580</v>
      </c>
      <c r="I1139">
        <f>52-55-123-123</f>
        <v>-249</v>
      </c>
      <c r="J1139" s="1">
        <v>43699</v>
      </c>
      <c r="K1139" s="1">
        <v>45299</v>
      </c>
      <c r="L1139">
        <v>290200.8</v>
      </c>
      <c r="M1139">
        <v>104000.25</v>
      </c>
      <c r="N1139">
        <v>825</v>
      </c>
      <c r="O1139">
        <v>301000</v>
      </c>
      <c r="P1139" t="s">
        <v>36</v>
      </c>
      <c r="Q1139" t="s">
        <v>27</v>
      </c>
      <c r="R1139">
        <v>0</v>
      </c>
      <c r="S1139" t="s">
        <v>28</v>
      </c>
    </row>
    <row r="1140" spans="1:19">
      <c r="A1140" t="s">
        <v>226</v>
      </c>
      <c r="B1140" t="s">
        <v>2581</v>
      </c>
      <c r="C1140" t="s">
        <v>57</v>
      </c>
      <c r="D1140" t="s">
        <v>228</v>
      </c>
      <c r="E1140" t="s">
        <v>229</v>
      </c>
      <c r="F1140">
        <v>56</v>
      </c>
      <c r="G1140" t="s">
        <v>34</v>
      </c>
      <c r="H1140" t="s">
        <v>2582</v>
      </c>
      <c r="I1140">
        <f>254-750-123-456</f>
        <v>-1075</v>
      </c>
      <c r="J1140" s="1">
        <v>45434</v>
      </c>
      <c r="K1140" s="1">
        <v>45305</v>
      </c>
      <c r="L1140">
        <v>40900.75</v>
      </c>
      <c r="M1140">
        <v>15600.4</v>
      </c>
      <c r="N1140">
        <v>725</v>
      </c>
      <c r="O1140">
        <v>77000</v>
      </c>
      <c r="P1140" t="s">
        <v>36</v>
      </c>
      <c r="Q1140" t="s">
        <v>27</v>
      </c>
      <c r="R1140">
        <v>0</v>
      </c>
      <c r="S1140" t="s">
        <v>28</v>
      </c>
    </row>
    <row r="1141" spans="1:19">
      <c r="A1141" t="s">
        <v>488</v>
      </c>
      <c r="B1141" t="s">
        <v>2583</v>
      </c>
      <c r="C1141" t="s">
        <v>39</v>
      </c>
      <c r="D1141" t="s">
        <v>304</v>
      </c>
      <c r="E1141" t="s">
        <v>304</v>
      </c>
      <c r="F1141">
        <v>73</v>
      </c>
      <c r="G1141" t="s">
        <v>24</v>
      </c>
      <c r="H1141" t="s">
        <v>2584</v>
      </c>
      <c r="I1141">
        <f>65-990-1234</f>
        <v>-2159</v>
      </c>
      <c r="J1141" s="1">
        <v>44177</v>
      </c>
      <c r="K1141" s="1">
        <v>45300</v>
      </c>
      <c r="L1141">
        <v>170400.6</v>
      </c>
      <c r="M1141">
        <v>104000.9</v>
      </c>
      <c r="N1141">
        <v>675</v>
      </c>
      <c r="O1141">
        <v>201000</v>
      </c>
      <c r="P1141" t="s">
        <v>76</v>
      </c>
      <c r="Q1141" t="s">
        <v>27</v>
      </c>
      <c r="R1141">
        <v>0</v>
      </c>
      <c r="S1141" t="s">
        <v>28</v>
      </c>
    </row>
    <row r="1142" spans="1:19">
      <c r="A1142" t="s">
        <v>491</v>
      </c>
      <c r="B1142" t="s">
        <v>2585</v>
      </c>
      <c r="C1142" t="s">
        <v>52</v>
      </c>
      <c r="D1142" t="s">
        <v>493</v>
      </c>
      <c r="E1142" t="s">
        <v>494</v>
      </c>
      <c r="F1142">
        <v>64</v>
      </c>
      <c r="G1142" t="s">
        <v>34</v>
      </c>
      <c r="H1142" t="s">
        <v>2586</v>
      </c>
      <c r="I1142">
        <f>30-718-901-2345</f>
        <v>-3934</v>
      </c>
      <c r="J1142" s="1">
        <v>44948</v>
      </c>
      <c r="K1142" s="1">
        <v>45302</v>
      </c>
      <c r="L1142">
        <v>68400.399999999994</v>
      </c>
      <c r="M1142">
        <v>43100.25</v>
      </c>
      <c r="N1142">
        <v>705</v>
      </c>
      <c r="O1142">
        <v>109000</v>
      </c>
      <c r="P1142" t="s">
        <v>26</v>
      </c>
      <c r="Q1142" t="s">
        <v>27</v>
      </c>
      <c r="R1142">
        <v>0</v>
      </c>
      <c r="S1142" t="s">
        <v>28</v>
      </c>
    </row>
    <row r="1143" spans="1:19">
      <c r="A1143" t="s">
        <v>496</v>
      </c>
      <c r="B1143" t="s">
        <v>2587</v>
      </c>
      <c r="C1143" t="s">
        <v>46</v>
      </c>
      <c r="D1143" t="s">
        <v>321</v>
      </c>
      <c r="E1143" t="s">
        <v>322</v>
      </c>
      <c r="F1143">
        <v>67</v>
      </c>
      <c r="G1143" t="s">
        <v>24</v>
      </c>
      <c r="H1143" t="s">
        <v>2588</v>
      </c>
      <c r="I1143">
        <f>61-450-123-456</f>
        <v>-968</v>
      </c>
      <c r="J1143" s="1">
        <v>44430</v>
      </c>
      <c r="K1143" s="1">
        <v>45301</v>
      </c>
      <c r="L1143">
        <v>114100.75</v>
      </c>
      <c r="M1143">
        <v>64200.800000000003</v>
      </c>
      <c r="N1143">
        <v>730</v>
      </c>
      <c r="O1143">
        <v>175000</v>
      </c>
      <c r="P1143" t="s">
        <v>26</v>
      </c>
      <c r="Q1143" t="s">
        <v>27</v>
      </c>
      <c r="R1143">
        <v>0</v>
      </c>
      <c r="S1143" t="s">
        <v>28</v>
      </c>
    </row>
    <row r="1144" spans="1:19">
      <c r="A1144" t="s">
        <v>324</v>
      </c>
      <c r="B1144" t="s">
        <v>2589</v>
      </c>
      <c r="C1144" t="s">
        <v>31</v>
      </c>
      <c r="D1144" t="s">
        <v>313</v>
      </c>
      <c r="E1144" t="s">
        <v>501</v>
      </c>
      <c r="F1144">
        <v>52</v>
      </c>
      <c r="G1144" t="s">
        <v>34</v>
      </c>
      <c r="H1144" t="s">
        <v>2590</v>
      </c>
      <c r="I1144">
        <f>92-348-2109876</f>
        <v>-2110132</v>
      </c>
      <c r="J1144" s="1">
        <v>45550</v>
      </c>
      <c r="K1144" s="1">
        <v>45306</v>
      </c>
      <c r="L1144">
        <v>18200.900000000001</v>
      </c>
      <c r="M1144">
        <v>10500.75</v>
      </c>
      <c r="N1144">
        <v>685</v>
      </c>
      <c r="O1144">
        <v>62000</v>
      </c>
      <c r="P1144" t="s">
        <v>26</v>
      </c>
      <c r="Q1144" t="s">
        <v>43</v>
      </c>
      <c r="R1144">
        <v>0</v>
      </c>
      <c r="S1144" t="s">
        <v>28</v>
      </c>
    </row>
    <row r="1145" spans="1:19">
      <c r="A1145" t="s">
        <v>503</v>
      </c>
      <c r="B1145" t="s">
        <v>2591</v>
      </c>
      <c r="C1145" t="s">
        <v>21</v>
      </c>
      <c r="D1145" t="s">
        <v>32</v>
      </c>
      <c r="E1145" t="s">
        <v>33</v>
      </c>
      <c r="F1145">
        <v>84</v>
      </c>
      <c r="G1145" t="s">
        <v>24</v>
      </c>
      <c r="H1145" t="s">
        <v>2592</v>
      </c>
      <c r="I1145">
        <f>81-80-8901-2345</f>
        <v>-11245</v>
      </c>
      <c r="J1145" s="1">
        <v>43426</v>
      </c>
      <c r="K1145" s="1">
        <v>45299</v>
      </c>
      <c r="L1145">
        <v>301100.25</v>
      </c>
      <c r="M1145">
        <v>108000.4</v>
      </c>
      <c r="N1145">
        <v>840</v>
      </c>
      <c r="O1145">
        <v>316000</v>
      </c>
      <c r="P1145" t="s">
        <v>36</v>
      </c>
      <c r="Q1145" t="s">
        <v>27</v>
      </c>
      <c r="R1145">
        <v>0</v>
      </c>
      <c r="S1145" t="s">
        <v>28</v>
      </c>
    </row>
    <row r="1146" spans="1:19">
      <c r="A1146" t="s">
        <v>506</v>
      </c>
      <c r="B1146" t="s">
        <v>2593</v>
      </c>
      <c r="C1146" t="s">
        <v>39</v>
      </c>
      <c r="D1146" t="s">
        <v>68</v>
      </c>
      <c r="E1146" t="s">
        <v>69</v>
      </c>
      <c r="F1146">
        <v>76</v>
      </c>
      <c r="G1146" t="s">
        <v>34</v>
      </c>
      <c r="H1146" t="s">
        <v>2594</v>
      </c>
      <c r="I1146">
        <f>234-840-123-4567</f>
        <v>-5296</v>
      </c>
      <c r="J1146" s="1">
        <v>43943</v>
      </c>
      <c r="K1146" s="1">
        <v>45300</v>
      </c>
      <c r="L1146">
        <v>181500.4</v>
      </c>
      <c r="M1146">
        <v>108000.75</v>
      </c>
      <c r="N1146">
        <v>650</v>
      </c>
      <c r="O1146">
        <v>211000</v>
      </c>
      <c r="P1146" t="s">
        <v>76</v>
      </c>
      <c r="Q1146" t="s">
        <v>27</v>
      </c>
      <c r="R1146">
        <v>0</v>
      </c>
      <c r="S1146" t="s">
        <v>28</v>
      </c>
    </row>
    <row r="1147" spans="1:19">
      <c r="A1147" t="s">
        <v>509</v>
      </c>
      <c r="B1147" t="s">
        <v>2595</v>
      </c>
      <c r="C1147" t="s">
        <v>46</v>
      </c>
      <c r="D1147" t="s">
        <v>73</v>
      </c>
      <c r="E1147" t="s">
        <v>158</v>
      </c>
      <c r="F1147">
        <v>63</v>
      </c>
      <c r="G1147" t="s">
        <v>24</v>
      </c>
      <c r="H1147" t="s">
        <v>2596</v>
      </c>
      <c r="I1147">
        <f>49-202-3456789</f>
        <v>-3456942</v>
      </c>
      <c r="J1147" s="1">
        <v>45160</v>
      </c>
      <c r="K1147" s="1">
        <v>45303</v>
      </c>
      <c r="L1147">
        <v>102900.4</v>
      </c>
      <c r="M1147">
        <v>58400.25</v>
      </c>
      <c r="N1147">
        <v>745</v>
      </c>
      <c r="O1147">
        <v>155000</v>
      </c>
      <c r="P1147" t="s">
        <v>26</v>
      </c>
      <c r="Q1147" t="s">
        <v>27</v>
      </c>
      <c r="R1147">
        <v>0</v>
      </c>
      <c r="S1147" t="s">
        <v>28</v>
      </c>
    </row>
    <row r="1148" spans="1:19">
      <c r="A1148" t="s">
        <v>513</v>
      </c>
      <c r="B1148" t="s">
        <v>2597</v>
      </c>
      <c r="C1148" t="s">
        <v>57</v>
      </c>
      <c r="D1148" t="s">
        <v>58</v>
      </c>
      <c r="E1148" t="s">
        <v>59</v>
      </c>
      <c r="F1148">
        <v>58</v>
      </c>
      <c r="G1148" t="s">
        <v>34</v>
      </c>
      <c r="H1148" t="s">
        <v>2598</v>
      </c>
      <c r="I1148">
        <f>86-137-3456-7890</f>
        <v>-11397</v>
      </c>
      <c r="J1148" s="1">
        <v>45344</v>
      </c>
      <c r="K1148" s="1">
        <v>45302</v>
      </c>
      <c r="L1148">
        <v>43100.800000000003</v>
      </c>
      <c r="M1148">
        <v>16800.900000000001</v>
      </c>
      <c r="N1148">
        <v>765</v>
      </c>
      <c r="O1148">
        <v>87000</v>
      </c>
      <c r="P1148" t="s">
        <v>36</v>
      </c>
      <c r="Q1148" t="s">
        <v>27</v>
      </c>
      <c r="R1148">
        <v>0</v>
      </c>
      <c r="S1148" t="s">
        <v>28</v>
      </c>
    </row>
    <row r="1149" spans="1:19">
      <c r="A1149" t="s">
        <v>516</v>
      </c>
      <c r="B1149" t="s">
        <v>2599</v>
      </c>
      <c r="C1149" t="s">
        <v>52</v>
      </c>
      <c r="D1149" t="s">
        <v>277</v>
      </c>
      <c r="E1149" t="s">
        <v>404</v>
      </c>
      <c r="F1149">
        <v>71</v>
      </c>
      <c r="G1149" t="s">
        <v>24</v>
      </c>
      <c r="H1149" t="s">
        <v>2600</v>
      </c>
      <c r="I1149">
        <f>20-122-321-987</f>
        <v>-1410</v>
      </c>
      <c r="J1149" s="1">
        <v>44614</v>
      </c>
      <c r="K1149" s="1">
        <v>45301</v>
      </c>
      <c r="L1149">
        <v>76400.75</v>
      </c>
      <c r="M1149">
        <v>49500.4</v>
      </c>
      <c r="N1149">
        <v>675</v>
      </c>
      <c r="O1149">
        <v>127000</v>
      </c>
      <c r="P1149" t="s">
        <v>26</v>
      </c>
      <c r="Q1149" t="s">
        <v>27</v>
      </c>
      <c r="R1149">
        <v>0</v>
      </c>
      <c r="S1149" t="s">
        <v>28</v>
      </c>
    </row>
    <row r="1150" spans="1:19">
      <c r="A1150" t="s">
        <v>519</v>
      </c>
      <c r="B1150" t="s">
        <v>2601</v>
      </c>
      <c r="C1150" t="s">
        <v>84</v>
      </c>
      <c r="D1150" t="s">
        <v>183</v>
      </c>
      <c r="E1150" t="s">
        <v>184</v>
      </c>
      <c r="F1150">
        <v>50</v>
      </c>
      <c r="G1150" t="s">
        <v>34</v>
      </c>
      <c r="H1150" t="s">
        <v>2602</v>
      </c>
      <c r="I1150">
        <f>33-6-123-4567</f>
        <v>-4663</v>
      </c>
      <c r="J1150" s="1">
        <v>45563</v>
      </c>
      <c r="K1150" s="1">
        <v>45304</v>
      </c>
      <c r="L1150">
        <v>4800.25</v>
      </c>
      <c r="M1150">
        <v>15600.6</v>
      </c>
      <c r="N1150">
        <v>615</v>
      </c>
      <c r="O1150">
        <v>47000</v>
      </c>
      <c r="P1150" t="s">
        <v>76</v>
      </c>
      <c r="Q1150" t="s">
        <v>43</v>
      </c>
      <c r="R1150">
        <v>0</v>
      </c>
      <c r="S1150" t="s">
        <v>28</v>
      </c>
    </row>
    <row r="1151" spans="1:19">
      <c r="A1151" t="s">
        <v>522</v>
      </c>
      <c r="B1151" t="s">
        <v>2603</v>
      </c>
      <c r="C1151" t="s">
        <v>39</v>
      </c>
      <c r="D1151" t="s">
        <v>40</v>
      </c>
      <c r="E1151" t="s">
        <v>94</v>
      </c>
      <c r="F1151">
        <v>78</v>
      </c>
      <c r="G1151" t="s">
        <v>24</v>
      </c>
      <c r="H1151" t="s">
        <v>2604</v>
      </c>
      <c r="I1151">
        <f>91-987-654-3210</f>
        <v>-4760</v>
      </c>
      <c r="J1151" s="1">
        <v>43912</v>
      </c>
      <c r="K1151" s="1">
        <v>45299</v>
      </c>
      <c r="L1151">
        <v>216100.8</v>
      </c>
      <c r="M1151">
        <v>121000.25</v>
      </c>
      <c r="N1151">
        <v>660</v>
      </c>
      <c r="O1151">
        <v>246000</v>
      </c>
      <c r="P1151" t="s">
        <v>76</v>
      </c>
      <c r="Q1151" t="s">
        <v>27</v>
      </c>
      <c r="R1151">
        <v>0</v>
      </c>
      <c r="S1151" t="s">
        <v>28</v>
      </c>
    </row>
    <row r="1152" spans="1:19">
      <c r="A1152" t="s">
        <v>306</v>
      </c>
      <c r="B1152" t="s">
        <v>2605</v>
      </c>
      <c r="C1152" t="s">
        <v>46</v>
      </c>
      <c r="D1152" t="s">
        <v>209</v>
      </c>
      <c r="E1152" t="s">
        <v>703</v>
      </c>
      <c r="F1152">
        <v>65</v>
      </c>
      <c r="G1152" t="s">
        <v>34</v>
      </c>
      <c r="H1152" t="s">
        <v>2606</v>
      </c>
      <c r="I1152">
        <f>52-81-1234-123</f>
        <v>-1386</v>
      </c>
      <c r="J1152" s="1">
        <v>44764</v>
      </c>
      <c r="K1152" s="1">
        <v>45302</v>
      </c>
      <c r="L1152">
        <v>97500.9</v>
      </c>
      <c r="M1152">
        <v>55300.75</v>
      </c>
      <c r="N1152">
        <v>730</v>
      </c>
      <c r="O1152">
        <v>150000</v>
      </c>
      <c r="P1152" t="s">
        <v>26</v>
      </c>
      <c r="Q1152" t="s">
        <v>27</v>
      </c>
      <c r="R1152">
        <v>0</v>
      </c>
      <c r="S1152" t="s">
        <v>28</v>
      </c>
    </row>
    <row r="1153" spans="1:19">
      <c r="A1153" t="s">
        <v>527</v>
      </c>
      <c r="B1153" t="s">
        <v>2607</v>
      </c>
      <c r="C1153" t="s">
        <v>31</v>
      </c>
      <c r="D1153" t="s">
        <v>32</v>
      </c>
      <c r="E1153" t="s">
        <v>90</v>
      </c>
      <c r="F1153">
        <v>54</v>
      </c>
      <c r="G1153" t="s">
        <v>34</v>
      </c>
      <c r="H1153" t="s">
        <v>2608</v>
      </c>
      <c r="I1153">
        <f>81-90-9012-3456</f>
        <v>-12477</v>
      </c>
      <c r="J1153" s="1">
        <v>45557</v>
      </c>
      <c r="K1153" s="1">
        <v>45305</v>
      </c>
      <c r="L1153">
        <v>19300.400000000001</v>
      </c>
      <c r="M1153">
        <v>10600.25</v>
      </c>
      <c r="N1153">
        <v>705</v>
      </c>
      <c r="O1153">
        <v>64000</v>
      </c>
      <c r="P1153" t="s">
        <v>26</v>
      </c>
      <c r="Q1153" t="s">
        <v>43</v>
      </c>
      <c r="R1153">
        <v>0</v>
      </c>
      <c r="S1153" t="s">
        <v>28</v>
      </c>
    </row>
    <row r="1154" spans="1:19">
      <c r="A1154" t="s">
        <v>530</v>
      </c>
      <c r="B1154" t="s">
        <v>2609</v>
      </c>
      <c r="C1154" t="s">
        <v>57</v>
      </c>
      <c r="D1154" t="s">
        <v>219</v>
      </c>
      <c r="E1154" t="s">
        <v>220</v>
      </c>
      <c r="F1154">
        <v>59</v>
      </c>
      <c r="G1154" t="s">
        <v>24</v>
      </c>
      <c r="H1154" t="s">
        <v>2610</v>
      </c>
      <c r="I1154">
        <f>233-81-234-5678</f>
        <v>-5760</v>
      </c>
      <c r="J1154" s="1">
        <v>45313</v>
      </c>
      <c r="K1154" s="1">
        <v>45303</v>
      </c>
      <c r="L1154">
        <v>42000.6</v>
      </c>
      <c r="M1154">
        <v>16200.8</v>
      </c>
      <c r="N1154">
        <v>710</v>
      </c>
      <c r="O1154">
        <v>80000</v>
      </c>
      <c r="P1154" t="s">
        <v>36</v>
      </c>
      <c r="Q1154" t="s">
        <v>27</v>
      </c>
      <c r="R1154">
        <v>0</v>
      </c>
      <c r="S1154" t="s">
        <v>28</v>
      </c>
    </row>
    <row r="1155" spans="1:19">
      <c r="A1155" t="s">
        <v>533</v>
      </c>
      <c r="B1155" t="s">
        <v>2611</v>
      </c>
      <c r="C1155" t="s">
        <v>52</v>
      </c>
      <c r="D1155" t="s">
        <v>204</v>
      </c>
      <c r="E1155" t="s">
        <v>259</v>
      </c>
      <c r="F1155">
        <v>66</v>
      </c>
      <c r="G1155" t="s">
        <v>34</v>
      </c>
      <c r="H1155" t="s">
        <v>2612</v>
      </c>
      <c r="I1155">
        <f>7-921-98-76-54</f>
        <v>-1142</v>
      </c>
      <c r="J1155" s="1">
        <v>44614</v>
      </c>
      <c r="K1155" s="1">
        <v>45301</v>
      </c>
      <c r="L1155">
        <v>73300.25</v>
      </c>
      <c r="M1155">
        <v>46400.9</v>
      </c>
      <c r="N1155">
        <v>695</v>
      </c>
      <c r="O1155">
        <v>115000</v>
      </c>
      <c r="P1155" t="s">
        <v>26</v>
      </c>
      <c r="Q1155" t="s">
        <v>27</v>
      </c>
      <c r="R1155">
        <v>0</v>
      </c>
      <c r="S1155" t="s">
        <v>28</v>
      </c>
    </row>
    <row r="1156" spans="1:19">
      <c r="A1156" t="s">
        <v>536</v>
      </c>
      <c r="B1156" t="s">
        <v>2613</v>
      </c>
      <c r="C1156" t="s">
        <v>39</v>
      </c>
      <c r="D1156" t="s">
        <v>195</v>
      </c>
      <c r="E1156" t="s">
        <v>196</v>
      </c>
      <c r="F1156">
        <v>74</v>
      </c>
      <c r="G1156" t="s">
        <v>24</v>
      </c>
      <c r="H1156" t="s">
        <v>2614</v>
      </c>
      <c r="I1156">
        <f>353-13-123-4567</f>
        <v>-4350</v>
      </c>
      <c r="J1156" s="1">
        <v>44065</v>
      </c>
      <c r="K1156" s="1">
        <v>45300</v>
      </c>
      <c r="L1156">
        <v>148300.4</v>
      </c>
      <c r="M1156">
        <v>95000.6</v>
      </c>
      <c r="N1156">
        <v>670</v>
      </c>
      <c r="O1156">
        <v>182000</v>
      </c>
      <c r="P1156" t="s">
        <v>76</v>
      </c>
      <c r="Q1156" t="s">
        <v>27</v>
      </c>
      <c r="R1156">
        <v>0</v>
      </c>
      <c r="S1156" t="s">
        <v>28</v>
      </c>
    </row>
    <row r="1157" spans="1:19">
      <c r="A1157" t="s">
        <v>539</v>
      </c>
      <c r="B1157" t="s">
        <v>2615</v>
      </c>
      <c r="C1157" t="s">
        <v>21</v>
      </c>
      <c r="D1157" t="s">
        <v>58</v>
      </c>
      <c r="E1157" t="s">
        <v>59</v>
      </c>
      <c r="F1157">
        <v>82</v>
      </c>
      <c r="G1157" t="s">
        <v>34</v>
      </c>
      <c r="H1157" t="s">
        <v>2616</v>
      </c>
      <c r="I1157">
        <f>86-139-123-4567</f>
        <v>-4743</v>
      </c>
      <c r="J1157" s="1">
        <v>43638</v>
      </c>
      <c r="K1157" s="1">
        <v>45299</v>
      </c>
      <c r="L1157">
        <v>315200.75</v>
      </c>
      <c r="M1157">
        <v>112000.8</v>
      </c>
      <c r="N1157">
        <v>835</v>
      </c>
      <c r="O1157">
        <v>327000</v>
      </c>
      <c r="P1157" t="s">
        <v>36</v>
      </c>
      <c r="Q1157" t="s">
        <v>27</v>
      </c>
      <c r="R1157">
        <v>0</v>
      </c>
      <c r="S1157" t="s">
        <v>28</v>
      </c>
    </row>
    <row r="1158" spans="1:19">
      <c r="A1158" t="s">
        <v>542</v>
      </c>
      <c r="B1158" t="s">
        <v>2617</v>
      </c>
      <c r="C1158" t="s">
        <v>52</v>
      </c>
      <c r="D1158" t="s">
        <v>68</v>
      </c>
      <c r="E1158" t="s">
        <v>69</v>
      </c>
      <c r="F1158">
        <v>69</v>
      </c>
      <c r="G1158" t="s">
        <v>34</v>
      </c>
      <c r="H1158" t="s">
        <v>2618</v>
      </c>
      <c r="I1158">
        <f>234-841-234-5678</f>
        <v>-6519</v>
      </c>
      <c r="J1158" s="1">
        <v>44583</v>
      </c>
      <c r="K1158" s="1">
        <v>45302</v>
      </c>
      <c r="L1158">
        <v>82000.600000000006</v>
      </c>
      <c r="M1158">
        <v>52000.25</v>
      </c>
      <c r="N1158">
        <v>665</v>
      </c>
      <c r="O1158">
        <v>135000</v>
      </c>
      <c r="P1158" t="s">
        <v>26</v>
      </c>
      <c r="Q1158" t="s">
        <v>27</v>
      </c>
      <c r="R1158">
        <v>0</v>
      </c>
      <c r="S1158" t="s">
        <v>28</v>
      </c>
    </row>
    <row r="1159" spans="1:19">
      <c r="A1159" t="s">
        <v>545</v>
      </c>
      <c r="B1159" t="s">
        <v>2619</v>
      </c>
      <c r="C1159" t="s">
        <v>46</v>
      </c>
      <c r="D1159" t="s">
        <v>241</v>
      </c>
      <c r="E1159" t="s">
        <v>242</v>
      </c>
      <c r="F1159">
        <v>61</v>
      </c>
      <c r="G1159" t="s">
        <v>24</v>
      </c>
      <c r="H1159" t="s">
        <v>2620</v>
      </c>
      <c r="I1159">
        <f>39-375-901-2345</f>
        <v>-3582</v>
      </c>
      <c r="J1159" s="1">
        <v>45221</v>
      </c>
      <c r="K1159" s="1">
        <v>45303</v>
      </c>
      <c r="L1159">
        <v>105300.8</v>
      </c>
      <c r="M1159">
        <v>59500.4</v>
      </c>
      <c r="N1159">
        <v>750</v>
      </c>
      <c r="O1159">
        <v>161000</v>
      </c>
      <c r="P1159" t="s">
        <v>26</v>
      </c>
      <c r="Q1159" t="s">
        <v>27</v>
      </c>
      <c r="R1159">
        <v>0</v>
      </c>
      <c r="S1159" t="s">
        <v>28</v>
      </c>
    </row>
    <row r="1160" spans="1:19">
      <c r="A1160" t="s">
        <v>548</v>
      </c>
      <c r="B1160" t="s">
        <v>2621</v>
      </c>
      <c r="C1160" t="s">
        <v>57</v>
      </c>
      <c r="D1160" t="s">
        <v>22</v>
      </c>
      <c r="E1160" t="s">
        <v>118</v>
      </c>
      <c r="F1160">
        <v>57</v>
      </c>
      <c r="G1160" t="s">
        <v>34</v>
      </c>
      <c r="H1160" t="s">
        <v>2622</v>
      </c>
      <c r="I1160">
        <f>1-310-555-194</f>
        <v>-1058</v>
      </c>
      <c r="J1160" s="1">
        <v>45404</v>
      </c>
      <c r="K1160" s="1">
        <v>45305</v>
      </c>
      <c r="L1160">
        <v>44200.9</v>
      </c>
      <c r="M1160">
        <v>17200.75</v>
      </c>
      <c r="N1160">
        <v>770</v>
      </c>
      <c r="O1160">
        <v>92000</v>
      </c>
      <c r="P1160" t="s">
        <v>36</v>
      </c>
      <c r="Q1160" t="s">
        <v>27</v>
      </c>
      <c r="R1160">
        <v>0</v>
      </c>
      <c r="S1160" t="s">
        <v>28</v>
      </c>
    </row>
    <row r="1161" spans="1:19">
      <c r="A1161" t="s">
        <v>551</v>
      </c>
      <c r="B1161" t="s">
        <v>2623</v>
      </c>
      <c r="C1161" t="s">
        <v>39</v>
      </c>
      <c r="D1161" t="s">
        <v>313</v>
      </c>
      <c r="E1161" t="s">
        <v>314</v>
      </c>
      <c r="F1161">
        <v>80</v>
      </c>
      <c r="G1161" t="s">
        <v>24</v>
      </c>
      <c r="H1161" t="s">
        <v>2624</v>
      </c>
      <c r="I1161">
        <f>92-327-2109876</f>
        <v>-2110111</v>
      </c>
      <c r="J1161" s="1">
        <v>43821</v>
      </c>
      <c r="K1161" s="1">
        <v>45299</v>
      </c>
      <c r="L1161">
        <v>201400.25</v>
      </c>
      <c r="M1161">
        <v>116000.8</v>
      </c>
      <c r="N1161">
        <v>645</v>
      </c>
      <c r="O1161">
        <v>232000</v>
      </c>
      <c r="P1161" t="s">
        <v>76</v>
      </c>
      <c r="Q1161" t="s">
        <v>27</v>
      </c>
      <c r="R1161">
        <v>0</v>
      </c>
      <c r="S1161" t="s">
        <v>28</v>
      </c>
    </row>
    <row r="1162" spans="1:19">
      <c r="A1162" t="s">
        <v>554</v>
      </c>
      <c r="B1162" t="s">
        <v>2625</v>
      </c>
      <c r="C1162" t="s">
        <v>31</v>
      </c>
      <c r="D1162" t="s">
        <v>214</v>
      </c>
      <c r="E1162" t="s">
        <v>724</v>
      </c>
      <c r="F1162">
        <v>53</v>
      </c>
      <c r="G1162" t="s">
        <v>34</v>
      </c>
      <c r="H1162" t="s">
        <v>2626</v>
      </c>
      <c r="I1162">
        <f>34-650-123-456</f>
        <v>-1195</v>
      </c>
      <c r="J1162" s="1">
        <v>45563</v>
      </c>
      <c r="K1162" s="1">
        <v>45306</v>
      </c>
      <c r="L1162">
        <v>37200.5</v>
      </c>
      <c r="M1162">
        <v>16800.400000000001</v>
      </c>
      <c r="N1162">
        <v>720</v>
      </c>
      <c r="O1162">
        <v>69000</v>
      </c>
      <c r="P1162" t="s">
        <v>36</v>
      </c>
      <c r="Q1162" t="s">
        <v>27</v>
      </c>
      <c r="R1162">
        <v>0</v>
      </c>
      <c r="S1162" t="s">
        <v>28</v>
      </c>
    </row>
    <row r="1163" spans="1:19">
      <c r="A1163" t="s">
        <v>108</v>
      </c>
      <c r="B1163" t="s">
        <v>2627</v>
      </c>
      <c r="C1163" t="s">
        <v>84</v>
      </c>
      <c r="D1163" t="s">
        <v>32</v>
      </c>
      <c r="E1163" t="s">
        <v>33</v>
      </c>
      <c r="F1163">
        <v>49</v>
      </c>
      <c r="G1163" t="s">
        <v>24</v>
      </c>
      <c r="H1163" t="s">
        <v>2628</v>
      </c>
      <c r="I1163">
        <f>81-90-2345-6789</f>
        <v>-9143</v>
      </c>
      <c r="J1163" s="1">
        <v>45563</v>
      </c>
      <c r="K1163" s="1">
        <v>45304</v>
      </c>
      <c r="L1163">
        <v>4550.8</v>
      </c>
      <c r="M1163">
        <v>14000.25</v>
      </c>
      <c r="N1163">
        <v>605</v>
      </c>
      <c r="O1163">
        <v>45000</v>
      </c>
      <c r="P1163" t="s">
        <v>76</v>
      </c>
      <c r="Q1163" t="s">
        <v>43</v>
      </c>
      <c r="R1163">
        <v>0</v>
      </c>
      <c r="S1163" t="s">
        <v>28</v>
      </c>
    </row>
    <row r="1164" spans="1:19">
      <c r="A1164" t="s">
        <v>559</v>
      </c>
      <c r="B1164" t="s">
        <v>2629</v>
      </c>
      <c r="C1164" t="s">
        <v>46</v>
      </c>
      <c r="D1164" t="s">
        <v>254</v>
      </c>
      <c r="E1164" t="s">
        <v>255</v>
      </c>
      <c r="F1164">
        <v>63</v>
      </c>
      <c r="G1164" t="s">
        <v>34</v>
      </c>
      <c r="H1164" t="s">
        <v>2630</v>
      </c>
      <c r="I1164">
        <f>221-5-901-2345</f>
        <v>-3030</v>
      </c>
      <c r="J1164" s="1">
        <v>45099</v>
      </c>
      <c r="K1164" s="1">
        <v>45302</v>
      </c>
      <c r="L1164">
        <v>92000.4</v>
      </c>
      <c r="M1164">
        <v>54200.75</v>
      </c>
      <c r="N1164">
        <v>710</v>
      </c>
      <c r="O1164">
        <v>143000</v>
      </c>
      <c r="P1164" t="s">
        <v>26</v>
      </c>
      <c r="Q1164" t="s">
        <v>27</v>
      </c>
      <c r="R1164">
        <v>0</v>
      </c>
      <c r="S1164" t="s">
        <v>28</v>
      </c>
    </row>
    <row r="1165" spans="1:19">
      <c r="A1165" t="s">
        <v>562</v>
      </c>
      <c r="B1165" t="s">
        <v>2631</v>
      </c>
      <c r="C1165" t="s">
        <v>39</v>
      </c>
      <c r="D1165" t="s">
        <v>47</v>
      </c>
      <c r="E1165" t="s">
        <v>98</v>
      </c>
      <c r="F1165">
        <v>77</v>
      </c>
      <c r="G1165" t="s">
        <v>24</v>
      </c>
      <c r="H1165" t="s">
        <v>2632</v>
      </c>
      <c r="I1165">
        <f>44-79-2345-6789</f>
        <v>-9169</v>
      </c>
      <c r="J1165" s="1">
        <v>43973</v>
      </c>
      <c r="K1165" s="1">
        <v>45300</v>
      </c>
      <c r="L1165">
        <v>181600.6</v>
      </c>
      <c r="M1165">
        <v>109000.25</v>
      </c>
      <c r="N1165">
        <v>675</v>
      </c>
      <c r="O1165">
        <v>212000</v>
      </c>
      <c r="P1165" t="s">
        <v>76</v>
      </c>
      <c r="Q1165" t="s">
        <v>27</v>
      </c>
      <c r="R1165">
        <v>0</v>
      </c>
      <c r="S1165" t="s">
        <v>28</v>
      </c>
    </row>
    <row r="1166" spans="1:19">
      <c r="A1166" t="s">
        <v>565</v>
      </c>
      <c r="B1166" t="s">
        <v>2633</v>
      </c>
      <c r="C1166" t="s">
        <v>52</v>
      </c>
      <c r="D1166" t="s">
        <v>233</v>
      </c>
      <c r="E1166" t="s">
        <v>234</v>
      </c>
      <c r="F1166">
        <v>62</v>
      </c>
      <c r="G1166" t="s">
        <v>34</v>
      </c>
      <c r="H1166" t="s">
        <v>2634</v>
      </c>
      <c r="I1166">
        <f>82-10-1234-5678</f>
        <v>-6840</v>
      </c>
      <c r="J1166" s="1">
        <v>44887</v>
      </c>
      <c r="K1166" s="1">
        <v>45301</v>
      </c>
      <c r="L1166">
        <v>68400.75</v>
      </c>
      <c r="M1166">
        <v>45300.800000000003</v>
      </c>
      <c r="N1166">
        <v>725</v>
      </c>
      <c r="O1166">
        <v>109000</v>
      </c>
      <c r="P1166" t="s">
        <v>26</v>
      </c>
      <c r="Q1166" t="s">
        <v>27</v>
      </c>
      <c r="R1166">
        <v>0</v>
      </c>
      <c r="S1166" t="s">
        <v>28</v>
      </c>
    </row>
    <row r="1167" spans="1:19">
      <c r="A1167" t="s">
        <v>568</v>
      </c>
      <c r="B1167" t="s">
        <v>2635</v>
      </c>
      <c r="C1167" t="s">
        <v>57</v>
      </c>
      <c r="D1167" t="s">
        <v>79</v>
      </c>
      <c r="E1167" t="s">
        <v>80</v>
      </c>
      <c r="F1167">
        <v>60</v>
      </c>
      <c r="G1167" t="s">
        <v>24</v>
      </c>
      <c r="H1167" t="s">
        <v>2636</v>
      </c>
      <c r="I1167">
        <f>971-50-345-6789</f>
        <v>-6213</v>
      </c>
      <c r="J1167" s="1">
        <v>45344</v>
      </c>
      <c r="K1167" s="1">
        <v>45303</v>
      </c>
      <c r="L1167">
        <v>46400.4</v>
      </c>
      <c r="M1167">
        <v>18000.900000000001</v>
      </c>
      <c r="N1167">
        <v>740</v>
      </c>
      <c r="O1167">
        <v>95000</v>
      </c>
      <c r="P1167" t="s">
        <v>36</v>
      </c>
      <c r="Q1167" t="s">
        <v>27</v>
      </c>
      <c r="R1167">
        <v>0</v>
      </c>
      <c r="S1167" t="s">
        <v>28</v>
      </c>
    </row>
    <row r="1168" spans="1:19">
      <c r="A1168" t="s">
        <v>571</v>
      </c>
      <c r="B1168" t="s">
        <v>2637</v>
      </c>
      <c r="C1168" t="s">
        <v>21</v>
      </c>
      <c r="D1168" t="s">
        <v>63</v>
      </c>
      <c r="E1168" t="s">
        <v>64</v>
      </c>
      <c r="F1168">
        <v>83</v>
      </c>
      <c r="G1168" t="s">
        <v>34</v>
      </c>
      <c r="H1168" t="s">
        <v>2638</v>
      </c>
      <c r="I1168">
        <f>55-11-99945-6789</f>
        <v>-106690</v>
      </c>
      <c r="J1168" s="1">
        <v>43518</v>
      </c>
      <c r="K1168" s="1">
        <v>45299</v>
      </c>
      <c r="L1168">
        <v>270500.90000000002</v>
      </c>
      <c r="M1168">
        <v>99000.6</v>
      </c>
      <c r="N1168">
        <v>830</v>
      </c>
      <c r="O1168">
        <v>307000</v>
      </c>
      <c r="P1168" t="s">
        <v>36</v>
      </c>
      <c r="Q1168" t="s">
        <v>27</v>
      </c>
      <c r="R1168">
        <v>0</v>
      </c>
      <c r="S1168" t="s">
        <v>28</v>
      </c>
    </row>
    <row r="1169" spans="1:19">
      <c r="A1169" t="s">
        <v>574</v>
      </c>
      <c r="B1169" t="s">
        <v>2639</v>
      </c>
      <c r="C1169" t="s">
        <v>39</v>
      </c>
      <c r="D1169" t="s">
        <v>68</v>
      </c>
      <c r="E1169" t="s">
        <v>114</v>
      </c>
      <c r="F1169">
        <v>75</v>
      </c>
      <c r="G1169" t="s">
        <v>24</v>
      </c>
      <c r="H1169" t="s">
        <v>2640</v>
      </c>
      <c r="I1169">
        <f>234-842-345-6789</f>
        <v>-7742</v>
      </c>
      <c r="J1169" s="1">
        <v>44116</v>
      </c>
      <c r="K1169" s="1">
        <v>45300</v>
      </c>
      <c r="L1169">
        <v>159400.25</v>
      </c>
      <c r="M1169">
        <v>101000.4</v>
      </c>
      <c r="N1169">
        <v>655</v>
      </c>
      <c r="O1169">
        <v>197000</v>
      </c>
      <c r="P1169" t="s">
        <v>76</v>
      </c>
      <c r="Q1169" t="s">
        <v>27</v>
      </c>
      <c r="R1169">
        <v>0</v>
      </c>
      <c r="S1169" t="s">
        <v>28</v>
      </c>
    </row>
    <row r="1170" spans="1:19">
      <c r="A1170" t="s">
        <v>577</v>
      </c>
      <c r="B1170" t="s">
        <v>2641</v>
      </c>
      <c r="C1170" t="s">
        <v>46</v>
      </c>
      <c r="D1170" t="s">
        <v>85</v>
      </c>
      <c r="E1170" t="s">
        <v>162</v>
      </c>
      <c r="F1170">
        <v>64</v>
      </c>
      <c r="G1170" t="s">
        <v>34</v>
      </c>
      <c r="H1170" t="s">
        <v>2642</v>
      </c>
      <c r="I1170">
        <f>1-514-555-194</f>
        <v>-1262</v>
      </c>
      <c r="J1170" s="1">
        <v>45007</v>
      </c>
      <c r="K1170" s="1">
        <v>45302</v>
      </c>
      <c r="L1170">
        <v>110900.6</v>
      </c>
      <c r="M1170">
        <v>62200.75</v>
      </c>
      <c r="N1170">
        <v>760</v>
      </c>
      <c r="O1170">
        <v>166000</v>
      </c>
      <c r="P1170" t="s">
        <v>26</v>
      </c>
      <c r="Q1170" t="s">
        <v>27</v>
      </c>
      <c r="R1170">
        <v>0</v>
      </c>
      <c r="S1170" t="s">
        <v>28</v>
      </c>
    </row>
    <row r="1171" spans="1:19">
      <c r="A1171" t="s">
        <v>458</v>
      </c>
      <c r="B1171" t="s">
        <v>2643</v>
      </c>
      <c r="C1171" t="s">
        <v>31</v>
      </c>
      <c r="D1171" t="s">
        <v>460</v>
      </c>
      <c r="E1171" t="s">
        <v>461</v>
      </c>
      <c r="F1171">
        <v>55</v>
      </c>
      <c r="G1171" t="s">
        <v>24</v>
      </c>
      <c r="H1171" t="s">
        <v>2644</v>
      </c>
      <c r="I1171">
        <f>62-839-123-4567</f>
        <v>-5467</v>
      </c>
      <c r="J1171" s="1">
        <v>45563</v>
      </c>
      <c r="K1171" s="1">
        <v>45306</v>
      </c>
      <c r="L1171">
        <v>21900.25</v>
      </c>
      <c r="M1171">
        <v>13000.8</v>
      </c>
      <c r="N1171">
        <v>695</v>
      </c>
      <c r="O1171">
        <v>66000</v>
      </c>
      <c r="P1171" t="s">
        <v>26</v>
      </c>
      <c r="Q1171" t="s">
        <v>43</v>
      </c>
      <c r="R1171">
        <v>0</v>
      </c>
      <c r="S1171" t="s">
        <v>28</v>
      </c>
    </row>
    <row r="1172" spans="1:19">
      <c r="A1172" t="s">
        <v>582</v>
      </c>
      <c r="B1172" t="s">
        <v>2645</v>
      </c>
      <c r="C1172" t="s">
        <v>57</v>
      </c>
      <c r="D1172" t="s">
        <v>22</v>
      </c>
      <c r="E1172" t="s">
        <v>53</v>
      </c>
      <c r="F1172">
        <v>58</v>
      </c>
      <c r="G1172" t="s">
        <v>34</v>
      </c>
      <c r="H1172" t="s">
        <v>2646</v>
      </c>
      <c r="I1172">
        <f>1-773-555-198</f>
        <v>-1525</v>
      </c>
      <c r="J1172" s="1">
        <v>45282</v>
      </c>
      <c r="K1172" s="1">
        <v>45303</v>
      </c>
      <c r="L1172">
        <v>45300.9</v>
      </c>
      <c r="M1172">
        <v>17600.25</v>
      </c>
      <c r="N1172">
        <v>755</v>
      </c>
      <c r="O1172">
        <v>88000</v>
      </c>
      <c r="P1172" t="s">
        <v>36</v>
      </c>
      <c r="Q1172" t="s">
        <v>27</v>
      </c>
      <c r="R1172">
        <v>0</v>
      </c>
      <c r="S1172" t="s">
        <v>28</v>
      </c>
    </row>
    <row r="1173" spans="1:19">
      <c r="A1173" t="s">
        <v>55</v>
      </c>
      <c r="B1173" t="s">
        <v>2647</v>
      </c>
      <c r="C1173" t="s">
        <v>39</v>
      </c>
      <c r="D1173" t="s">
        <v>58</v>
      </c>
      <c r="E1173" t="s">
        <v>122</v>
      </c>
      <c r="F1173">
        <v>76</v>
      </c>
      <c r="G1173" t="s">
        <v>24</v>
      </c>
      <c r="H1173" t="s">
        <v>2648</v>
      </c>
      <c r="I1173">
        <f>86-138-4567-8901</f>
        <v>-13520</v>
      </c>
      <c r="J1173" s="1">
        <v>44034</v>
      </c>
      <c r="K1173" s="1">
        <v>45300</v>
      </c>
      <c r="L1173">
        <v>192300.4</v>
      </c>
      <c r="M1173">
        <v>114000.75</v>
      </c>
      <c r="N1173">
        <v>685</v>
      </c>
      <c r="O1173">
        <v>222000</v>
      </c>
      <c r="P1173" t="s">
        <v>76</v>
      </c>
      <c r="Q1173" t="s">
        <v>27</v>
      </c>
      <c r="R1173">
        <v>0</v>
      </c>
      <c r="S1173" t="s">
        <v>28</v>
      </c>
    </row>
    <row r="1174" spans="1:19">
      <c r="A1174" t="s">
        <v>469</v>
      </c>
      <c r="B1174" t="s">
        <v>2649</v>
      </c>
      <c r="C1174" t="s">
        <v>52</v>
      </c>
      <c r="D1174" t="s">
        <v>471</v>
      </c>
      <c r="E1174" t="s">
        <v>472</v>
      </c>
      <c r="F1174">
        <v>67</v>
      </c>
      <c r="G1174" t="s">
        <v>34</v>
      </c>
      <c r="H1174" t="s">
        <v>2650</v>
      </c>
      <c r="I1174">
        <f>48-727-901-234</f>
        <v>-1814</v>
      </c>
      <c r="J1174" s="1">
        <v>44673</v>
      </c>
      <c r="K1174" s="1">
        <v>45301</v>
      </c>
      <c r="L1174">
        <v>75300.800000000003</v>
      </c>
      <c r="M1174">
        <v>48400.6</v>
      </c>
      <c r="N1174">
        <v>715</v>
      </c>
      <c r="O1174">
        <v>121000</v>
      </c>
      <c r="P1174" t="s">
        <v>26</v>
      </c>
      <c r="Q1174" t="s">
        <v>27</v>
      </c>
      <c r="R1174">
        <v>0</v>
      </c>
      <c r="S1174" t="s">
        <v>28</v>
      </c>
    </row>
    <row r="1175" spans="1:19">
      <c r="A1175" t="s">
        <v>474</v>
      </c>
      <c r="B1175" t="s">
        <v>2651</v>
      </c>
      <c r="C1175" t="s">
        <v>46</v>
      </c>
      <c r="D1175" t="s">
        <v>345</v>
      </c>
      <c r="E1175" t="s">
        <v>346</v>
      </c>
      <c r="F1175">
        <v>70</v>
      </c>
      <c r="G1175" t="s">
        <v>24</v>
      </c>
      <c r="H1175" t="s">
        <v>2652</v>
      </c>
      <c r="I1175">
        <f>880-1812-123456</f>
        <v>-124388</v>
      </c>
      <c r="J1175" s="1">
        <v>44583</v>
      </c>
      <c r="K1175" s="1">
        <v>45302</v>
      </c>
      <c r="L1175">
        <v>103100.25</v>
      </c>
      <c r="M1175">
        <v>58400.4</v>
      </c>
      <c r="N1175">
        <v>680</v>
      </c>
      <c r="O1175">
        <v>150000</v>
      </c>
      <c r="P1175" t="s">
        <v>26</v>
      </c>
      <c r="Q1175" t="s">
        <v>27</v>
      </c>
      <c r="R1175">
        <v>0</v>
      </c>
      <c r="S1175" t="s">
        <v>28</v>
      </c>
    </row>
    <row r="1176" spans="1:19">
      <c r="A1176" t="s">
        <v>592</v>
      </c>
      <c r="B1176" t="s">
        <v>2653</v>
      </c>
      <c r="C1176" t="s">
        <v>84</v>
      </c>
      <c r="D1176" t="s">
        <v>32</v>
      </c>
      <c r="E1176" t="s">
        <v>90</v>
      </c>
      <c r="F1176">
        <v>50</v>
      </c>
      <c r="G1176" t="s">
        <v>34</v>
      </c>
      <c r="H1176" t="s">
        <v>2654</v>
      </c>
      <c r="I1176">
        <f>81-90-3456-7890</f>
        <v>-11355</v>
      </c>
      <c r="J1176" s="1">
        <v>45570</v>
      </c>
      <c r="K1176" s="1">
        <v>45304</v>
      </c>
      <c r="L1176">
        <v>4650.3999999999996</v>
      </c>
      <c r="M1176">
        <v>14600.75</v>
      </c>
      <c r="N1176">
        <v>610</v>
      </c>
      <c r="O1176">
        <v>46000</v>
      </c>
      <c r="P1176" t="s">
        <v>76</v>
      </c>
      <c r="Q1176" t="s">
        <v>43</v>
      </c>
      <c r="R1176">
        <v>0</v>
      </c>
      <c r="S1176" t="s">
        <v>28</v>
      </c>
    </row>
    <row r="1177" spans="1:19">
      <c r="A1177" t="s">
        <v>595</v>
      </c>
      <c r="B1177" t="s">
        <v>2655</v>
      </c>
      <c r="C1177" t="s">
        <v>21</v>
      </c>
      <c r="D1177" t="s">
        <v>209</v>
      </c>
      <c r="E1177" t="s">
        <v>210</v>
      </c>
      <c r="F1177">
        <v>82</v>
      </c>
      <c r="G1177" t="s">
        <v>24</v>
      </c>
      <c r="H1177" t="s">
        <v>2656</v>
      </c>
      <c r="I1177">
        <f>52-55-1234-123</f>
        <v>-1360</v>
      </c>
      <c r="J1177" s="1">
        <v>43730</v>
      </c>
      <c r="K1177" s="1">
        <v>45299</v>
      </c>
      <c r="L1177">
        <v>290300.79999999999</v>
      </c>
      <c r="M1177">
        <v>105000.25</v>
      </c>
      <c r="N1177">
        <v>825</v>
      </c>
      <c r="O1177">
        <v>302000</v>
      </c>
      <c r="P1177" t="s">
        <v>36</v>
      </c>
      <c r="Q1177" t="s">
        <v>27</v>
      </c>
      <c r="R1177">
        <v>0</v>
      </c>
      <c r="S1177" t="s">
        <v>28</v>
      </c>
    </row>
    <row r="1178" spans="1:19">
      <c r="A1178" t="s">
        <v>226</v>
      </c>
      <c r="B1178" t="s">
        <v>2657</v>
      </c>
      <c r="C1178" t="s">
        <v>57</v>
      </c>
      <c r="D1178" t="s">
        <v>228</v>
      </c>
      <c r="E1178" t="s">
        <v>229</v>
      </c>
      <c r="F1178">
        <v>57</v>
      </c>
      <c r="G1178" t="s">
        <v>34</v>
      </c>
      <c r="H1178" t="s">
        <v>2658</v>
      </c>
      <c r="I1178">
        <f>254-751-234-567</f>
        <v>-1298</v>
      </c>
      <c r="J1178" s="1">
        <v>45465</v>
      </c>
      <c r="K1178" s="1">
        <v>45305</v>
      </c>
      <c r="L1178">
        <v>42000.75</v>
      </c>
      <c r="M1178">
        <v>16000.4</v>
      </c>
      <c r="N1178">
        <v>725</v>
      </c>
      <c r="O1178">
        <v>78000</v>
      </c>
      <c r="P1178" t="s">
        <v>36</v>
      </c>
      <c r="Q1178" t="s">
        <v>27</v>
      </c>
      <c r="R1178">
        <v>0</v>
      </c>
      <c r="S1178" t="s">
        <v>28</v>
      </c>
    </row>
    <row r="1179" spans="1:19">
      <c r="A1179" t="s">
        <v>488</v>
      </c>
      <c r="B1179" t="s">
        <v>2659</v>
      </c>
      <c r="C1179" t="s">
        <v>39</v>
      </c>
      <c r="D1179" t="s">
        <v>304</v>
      </c>
      <c r="E1179" t="s">
        <v>304</v>
      </c>
      <c r="F1179">
        <v>74</v>
      </c>
      <c r="G1179" t="s">
        <v>24</v>
      </c>
      <c r="H1179" t="s">
        <v>2660</v>
      </c>
      <c r="I1179">
        <f>65-1090-1234</f>
        <v>-2259</v>
      </c>
      <c r="J1179" s="1">
        <v>44208</v>
      </c>
      <c r="K1179" s="1">
        <v>45300</v>
      </c>
      <c r="L1179">
        <v>170500.6</v>
      </c>
      <c r="M1179">
        <v>105000.9</v>
      </c>
      <c r="N1179">
        <v>675</v>
      </c>
      <c r="O1179">
        <v>202000</v>
      </c>
      <c r="P1179" t="s">
        <v>76</v>
      </c>
      <c r="Q1179" t="s">
        <v>27</v>
      </c>
      <c r="R1179">
        <v>0</v>
      </c>
      <c r="S1179" t="s">
        <v>28</v>
      </c>
    </row>
    <row r="1180" spans="1:19">
      <c r="A1180" t="s">
        <v>491</v>
      </c>
      <c r="B1180" t="s">
        <v>2661</v>
      </c>
      <c r="C1180" t="s">
        <v>52</v>
      </c>
      <c r="D1180" t="s">
        <v>493</v>
      </c>
      <c r="E1180" t="s">
        <v>494</v>
      </c>
      <c r="F1180">
        <v>65</v>
      </c>
      <c r="G1180" t="s">
        <v>34</v>
      </c>
      <c r="H1180" t="s">
        <v>2662</v>
      </c>
      <c r="I1180">
        <f>30-719-12-3456</f>
        <v>-4157</v>
      </c>
      <c r="J1180" s="1">
        <v>44979</v>
      </c>
      <c r="K1180" s="1">
        <v>45302</v>
      </c>
      <c r="L1180">
        <v>69500.399999999994</v>
      </c>
      <c r="M1180">
        <v>44200.25</v>
      </c>
      <c r="N1180">
        <v>705</v>
      </c>
      <c r="O1180">
        <v>110000</v>
      </c>
      <c r="P1180" t="s">
        <v>26</v>
      </c>
      <c r="Q1180" t="s">
        <v>27</v>
      </c>
      <c r="R1180">
        <v>0</v>
      </c>
      <c r="S1180" t="s">
        <v>28</v>
      </c>
    </row>
    <row r="1181" spans="1:19">
      <c r="A1181" t="s">
        <v>496</v>
      </c>
      <c r="B1181" t="s">
        <v>2663</v>
      </c>
      <c r="C1181" t="s">
        <v>46</v>
      </c>
      <c r="D1181" t="s">
        <v>321</v>
      </c>
      <c r="E1181" t="s">
        <v>322</v>
      </c>
      <c r="F1181">
        <v>68</v>
      </c>
      <c r="G1181" t="s">
        <v>24</v>
      </c>
      <c r="H1181" t="s">
        <v>2664</v>
      </c>
      <c r="I1181">
        <f>61-451-234-567</f>
        <v>-1191</v>
      </c>
      <c r="J1181" s="1">
        <v>44461</v>
      </c>
      <c r="K1181" s="1">
        <v>45301</v>
      </c>
      <c r="L1181">
        <v>115100.75</v>
      </c>
      <c r="M1181">
        <v>65300.800000000003</v>
      </c>
      <c r="N1181">
        <v>730</v>
      </c>
      <c r="O1181">
        <v>176000</v>
      </c>
      <c r="P1181" t="s">
        <v>26</v>
      </c>
      <c r="Q1181" t="s">
        <v>27</v>
      </c>
      <c r="R1181">
        <v>0</v>
      </c>
      <c r="S1181" t="s">
        <v>28</v>
      </c>
    </row>
    <row r="1182" spans="1:19">
      <c r="A1182" t="s">
        <v>324</v>
      </c>
      <c r="B1182" t="s">
        <v>2665</v>
      </c>
      <c r="C1182" t="s">
        <v>31</v>
      </c>
      <c r="D1182" t="s">
        <v>313</v>
      </c>
      <c r="E1182" t="s">
        <v>385</v>
      </c>
      <c r="F1182">
        <v>53</v>
      </c>
      <c r="G1182" t="s">
        <v>34</v>
      </c>
      <c r="H1182" t="s">
        <v>2666</v>
      </c>
      <c r="I1182">
        <f>92-349-1098765</f>
        <v>-1099022</v>
      </c>
      <c r="J1182" s="1">
        <v>45563</v>
      </c>
      <c r="K1182" s="1">
        <v>45306</v>
      </c>
      <c r="L1182">
        <v>18600.900000000001</v>
      </c>
      <c r="M1182">
        <v>10700.75</v>
      </c>
      <c r="N1182">
        <v>685</v>
      </c>
      <c r="O1182">
        <v>63000</v>
      </c>
      <c r="P1182" t="s">
        <v>26</v>
      </c>
      <c r="Q1182" t="s">
        <v>43</v>
      </c>
      <c r="R1182">
        <v>0</v>
      </c>
      <c r="S1182" t="s">
        <v>28</v>
      </c>
    </row>
    <row r="1183" spans="1:19">
      <c r="A1183" t="s">
        <v>503</v>
      </c>
      <c r="B1183" t="s">
        <v>2667</v>
      </c>
      <c r="C1183" t="s">
        <v>21</v>
      </c>
      <c r="D1183" t="s">
        <v>32</v>
      </c>
      <c r="E1183" t="s">
        <v>33</v>
      </c>
      <c r="F1183">
        <v>85</v>
      </c>
      <c r="G1183" t="s">
        <v>24</v>
      </c>
      <c r="H1183" t="s">
        <v>2668</v>
      </c>
      <c r="I1183">
        <f>81-80-9012-3456</f>
        <v>-12467</v>
      </c>
      <c r="J1183" s="1">
        <v>43456</v>
      </c>
      <c r="K1183" s="1">
        <v>45299</v>
      </c>
      <c r="L1183">
        <v>301200.25</v>
      </c>
      <c r="M1183">
        <v>109000.4</v>
      </c>
      <c r="N1183">
        <v>840</v>
      </c>
      <c r="O1183">
        <v>317000</v>
      </c>
      <c r="P1183" t="s">
        <v>36</v>
      </c>
      <c r="Q1183" t="s">
        <v>27</v>
      </c>
      <c r="R1183">
        <v>0</v>
      </c>
      <c r="S1183" t="s">
        <v>28</v>
      </c>
    </row>
    <row r="1184" spans="1:19">
      <c r="A1184" t="s">
        <v>506</v>
      </c>
      <c r="B1184" t="s">
        <v>2669</v>
      </c>
      <c r="C1184" t="s">
        <v>39</v>
      </c>
      <c r="D1184" t="s">
        <v>68</v>
      </c>
      <c r="E1184" t="s">
        <v>69</v>
      </c>
      <c r="F1184">
        <v>77</v>
      </c>
      <c r="G1184" t="s">
        <v>34</v>
      </c>
      <c r="H1184" t="s">
        <v>2670</v>
      </c>
      <c r="I1184">
        <f>234-841-234-5678</f>
        <v>-6519</v>
      </c>
      <c r="J1184" s="1">
        <v>43973</v>
      </c>
      <c r="K1184" s="1">
        <v>45300</v>
      </c>
      <c r="L1184">
        <v>181600.4</v>
      </c>
      <c r="M1184">
        <v>109000.75</v>
      </c>
      <c r="N1184">
        <v>650</v>
      </c>
      <c r="O1184">
        <v>212000</v>
      </c>
      <c r="P1184" t="s">
        <v>76</v>
      </c>
      <c r="Q1184" t="s">
        <v>27</v>
      </c>
      <c r="R1184">
        <v>0</v>
      </c>
      <c r="S1184" t="s">
        <v>28</v>
      </c>
    </row>
    <row r="1185" spans="1:19">
      <c r="A1185" t="s">
        <v>509</v>
      </c>
      <c r="B1185" t="s">
        <v>2671</v>
      </c>
      <c r="C1185" t="s">
        <v>46</v>
      </c>
      <c r="D1185" t="s">
        <v>73</v>
      </c>
      <c r="E1185" t="s">
        <v>74</v>
      </c>
      <c r="F1185">
        <v>64</v>
      </c>
      <c r="G1185" t="s">
        <v>24</v>
      </c>
      <c r="H1185" t="s">
        <v>2672</v>
      </c>
      <c r="I1185">
        <f>49-203-4567890</f>
        <v>-4568044</v>
      </c>
      <c r="J1185" s="1">
        <v>45191</v>
      </c>
      <c r="K1185" s="1">
        <v>45303</v>
      </c>
      <c r="L1185">
        <v>103900.4</v>
      </c>
      <c r="M1185">
        <v>59500.25</v>
      </c>
      <c r="N1185">
        <v>745</v>
      </c>
      <c r="O1185">
        <v>156000</v>
      </c>
      <c r="P1185" t="s">
        <v>26</v>
      </c>
      <c r="Q1185" t="s">
        <v>27</v>
      </c>
      <c r="R1185">
        <v>0</v>
      </c>
      <c r="S1185" t="s">
        <v>28</v>
      </c>
    </row>
    <row r="1186" spans="1:19">
      <c r="A1186" t="s">
        <v>513</v>
      </c>
      <c r="B1186" t="s">
        <v>2673</v>
      </c>
      <c r="C1186" t="s">
        <v>57</v>
      </c>
      <c r="D1186" t="s">
        <v>58</v>
      </c>
      <c r="E1186" t="s">
        <v>122</v>
      </c>
      <c r="F1186">
        <v>59</v>
      </c>
      <c r="G1186" t="s">
        <v>34</v>
      </c>
      <c r="H1186" t="s">
        <v>2674</v>
      </c>
      <c r="I1186">
        <f>86-137-4567-8901</f>
        <v>-13519</v>
      </c>
      <c r="J1186" s="1">
        <v>45373</v>
      </c>
      <c r="K1186" s="1">
        <v>45302</v>
      </c>
      <c r="L1186">
        <v>44200.800000000003</v>
      </c>
      <c r="M1186">
        <v>17200.900000000001</v>
      </c>
      <c r="N1186">
        <v>765</v>
      </c>
      <c r="O1186">
        <v>88000</v>
      </c>
      <c r="P1186" t="s">
        <v>36</v>
      </c>
      <c r="Q1186" t="s">
        <v>27</v>
      </c>
      <c r="R1186">
        <v>0</v>
      </c>
      <c r="S1186" t="s">
        <v>28</v>
      </c>
    </row>
    <row r="1187" spans="1:19">
      <c r="A1187" t="s">
        <v>516</v>
      </c>
      <c r="B1187" t="s">
        <v>2675</v>
      </c>
      <c r="C1187" t="s">
        <v>52</v>
      </c>
      <c r="D1187" t="s">
        <v>277</v>
      </c>
      <c r="E1187" t="s">
        <v>404</v>
      </c>
      <c r="F1187">
        <v>72</v>
      </c>
      <c r="G1187" t="s">
        <v>24</v>
      </c>
      <c r="H1187" t="s">
        <v>2676</v>
      </c>
      <c r="I1187">
        <f>20-122-210-9876</f>
        <v>-10188</v>
      </c>
      <c r="J1187" s="1">
        <v>44642</v>
      </c>
      <c r="K1187" s="1">
        <v>45301</v>
      </c>
      <c r="L1187">
        <v>77500.75</v>
      </c>
      <c r="M1187">
        <v>50600.4</v>
      </c>
      <c r="N1187">
        <v>675</v>
      </c>
      <c r="O1187">
        <v>128000</v>
      </c>
      <c r="P1187" t="s">
        <v>26</v>
      </c>
      <c r="Q1187" t="s">
        <v>27</v>
      </c>
      <c r="R1187">
        <v>0</v>
      </c>
      <c r="S1187" t="s">
        <v>28</v>
      </c>
    </row>
    <row r="1188" spans="1:19">
      <c r="A1188" t="s">
        <v>519</v>
      </c>
      <c r="B1188" t="s">
        <v>2677</v>
      </c>
      <c r="C1188" t="s">
        <v>84</v>
      </c>
      <c r="D1188" t="s">
        <v>183</v>
      </c>
      <c r="E1188" t="s">
        <v>184</v>
      </c>
      <c r="F1188">
        <v>51</v>
      </c>
      <c r="G1188" t="s">
        <v>34</v>
      </c>
      <c r="H1188" t="s">
        <v>2678</v>
      </c>
      <c r="I1188">
        <f>33-6-1234-5678</f>
        <v>-6885</v>
      </c>
      <c r="J1188" s="1">
        <v>45577</v>
      </c>
      <c r="K1188" s="1">
        <v>45304</v>
      </c>
      <c r="L1188">
        <v>4900.25</v>
      </c>
      <c r="M1188">
        <v>15800.6</v>
      </c>
      <c r="N1188">
        <v>615</v>
      </c>
      <c r="O1188">
        <v>48000</v>
      </c>
      <c r="P1188" t="s">
        <v>76</v>
      </c>
      <c r="Q1188" t="s">
        <v>43</v>
      </c>
      <c r="R1188">
        <v>0</v>
      </c>
      <c r="S1188" t="s">
        <v>28</v>
      </c>
    </row>
    <row r="1189" spans="1:19">
      <c r="A1189" t="s">
        <v>522</v>
      </c>
      <c r="B1189" t="s">
        <v>2679</v>
      </c>
      <c r="C1189" t="s">
        <v>39</v>
      </c>
      <c r="D1189" t="s">
        <v>40</v>
      </c>
      <c r="E1189" t="s">
        <v>41</v>
      </c>
      <c r="F1189">
        <v>79</v>
      </c>
      <c r="G1189" t="s">
        <v>24</v>
      </c>
      <c r="H1189" t="s">
        <v>2680</v>
      </c>
      <c r="I1189">
        <f>91-987-654-3210</f>
        <v>-4760</v>
      </c>
      <c r="J1189" s="1">
        <v>43943</v>
      </c>
      <c r="K1189" s="1">
        <v>45299</v>
      </c>
      <c r="L1189">
        <v>216200.8</v>
      </c>
      <c r="M1189">
        <v>122000.25</v>
      </c>
      <c r="N1189">
        <v>660</v>
      </c>
      <c r="O1189">
        <v>247000</v>
      </c>
      <c r="P1189" t="s">
        <v>76</v>
      </c>
      <c r="Q1189" t="s">
        <v>27</v>
      </c>
      <c r="R1189">
        <v>0</v>
      </c>
      <c r="S1189" t="s">
        <v>28</v>
      </c>
    </row>
    <row r="1190" spans="1:19">
      <c r="A1190" t="s">
        <v>306</v>
      </c>
      <c r="B1190" t="s">
        <v>2681</v>
      </c>
      <c r="C1190" t="s">
        <v>46</v>
      </c>
      <c r="D1190" t="s">
        <v>209</v>
      </c>
      <c r="E1190" t="s">
        <v>447</v>
      </c>
      <c r="F1190">
        <v>66</v>
      </c>
      <c r="G1190" t="s">
        <v>34</v>
      </c>
      <c r="H1190" t="s">
        <v>2682</v>
      </c>
      <c r="I1190">
        <f>52-33-2345-123</f>
        <v>-2449</v>
      </c>
      <c r="J1190" s="1">
        <v>44795</v>
      </c>
      <c r="K1190" s="1">
        <v>45302</v>
      </c>
      <c r="L1190">
        <v>98600.9</v>
      </c>
      <c r="M1190">
        <v>56400.75</v>
      </c>
      <c r="N1190">
        <v>730</v>
      </c>
      <c r="O1190">
        <v>151000</v>
      </c>
      <c r="P1190" t="s">
        <v>26</v>
      </c>
      <c r="Q1190" t="s">
        <v>27</v>
      </c>
      <c r="R1190">
        <v>0</v>
      </c>
      <c r="S1190" t="s">
        <v>28</v>
      </c>
    </row>
    <row r="1191" spans="1:19">
      <c r="A1191" t="s">
        <v>527</v>
      </c>
      <c r="B1191" t="s">
        <v>2683</v>
      </c>
      <c r="C1191" t="s">
        <v>31</v>
      </c>
      <c r="D1191" t="s">
        <v>32</v>
      </c>
      <c r="E1191" t="s">
        <v>90</v>
      </c>
      <c r="F1191">
        <v>55</v>
      </c>
      <c r="G1191" t="s">
        <v>34</v>
      </c>
      <c r="H1191" t="s">
        <v>2684</v>
      </c>
      <c r="I1191">
        <f>81-90-4567-8901</f>
        <v>-13477</v>
      </c>
      <c r="J1191" s="1">
        <v>45573</v>
      </c>
      <c r="K1191" s="1">
        <v>45305</v>
      </c>
      <c r="L1191">
        <v>19700.400000000001</v>
      </c>
      <c r="M1191">
        <v>10800.25</v>
      </c>
      <c r="N1191">
        <v>705</v>
      </c>
      <c r="O1191">
        <v>65000</v>
      </c>
      <c r="P1191" t="s">
        <v>26</v>
      </c>
      <c r="Q1191" t="s">
        <v>43</v>
      </c>
      <c r="R1191">
        <v>0</v>
      </c>
      <c r="S1191" t="s">
        <v>28</v>
      </c>
    </row>
    <row r="1192" spans="1:19">
      <c r="A1192" t="s">
        <v>530</v>
      </c>
      <c r="B1192" t="s">
        <v>2685</v>
      </c>
      <c r="C1192" t="s">
        <v>57</v>
      </c>
      <c r="D1192" t="s">
        <v>219</v>
      </c>
      <c r="E1192" t="s">
        <v>220</v>
      </c>
      <c r="F1192">
        <v>60</v>
      </c>
      <c r="G1192" t="s">
        <v>24</v>
      </c>
      <c r="H1192" t="s">
        <v>2686</v>
      </c>
      <c r="I1192">
        <f>233-82-345-6789</f>
        <v>-6983</v>
      </c>
      <c r="J1192" s="1">
        <v>45344</v>
      </c>
      <c r="K1192" s="1">
        <v>45303</v>
      </c>
      <c r="L1192">
        <v>43100.6</v>
      </c>
      <c r="M1192">
        <v>16600.8</v>
      </c>
      <c r="N1192">
        <v>710</v>
      </c>
      <c r="O1192">
        <v>81000</v>
      </c>
      <c r="P1192" t="s">
        <v>36</v>
      </c>
      <c r="Q1192" t="s">
        <v>27</v>
      </c>
      <c r="R1192">
        <v>0</v>
      </c>
      <c r="S1192" t="s">
        <v>28</v>
      </c>
    </row>
    <row r="1193" spans="1:19">
      <c r="A1193" t="s">
        <v>533</v>
      </c>
      <c r="B1193" t="s">
        <v>2687</v>
      </c>
      <c r="C1193" t="s">
        <v>52</v>
      </c>
      <c r="D1193" t="s">
        <v>204</v>
      </c>
      <c r="E1193" t="s">
        <v>259</v>
      </c>
      <c r="F1193">
        <v>67</v>
      </c>
      <c r="G1193" t="s">
        <v>34</v>
      </c>
      <c r="H1193" t="s">
        <v>2688</v>
      </c>
      <c r="I1193">
        <f>7-921-987-65-43</f>
        <v>-2009</v>
      </c>
      <c r="J1193" s="1">
        <v>44642</v>
      </c>
      <c r="K1193" s="1">
        <v>45301</v>
      </c>
      <c r="L1193">
        <v>74400.25</v>
      </c>
      <c r="M1193">
        <v>47500.9</v>
      </c>
      <c r="N1193">
        <v>695</v>
      </c>
      <c r="O1193">
        <v>116000</v>
      </c>
      <c r="P1193" t="s">
        <v>26</v>
      </c>
      <c r="Q1193" t="s">
        <v>27</v>
      </c>
      <c r="R1193">
        <v>0</v>
      </c>
      <c r="S1193" t="s">
        <v>28</v>
      </c>
    </row>
    <row r="1194" spans="1:19">
      <c r="A1194" t="s">
        <v>536</v>
      </c>
      <c r="B1194" t="s">
        <v>2689</v>
      </c>
      <c r="C1194" t="s">
        <v>39</v>
      </c>
      <c r="D1194" t="s">
        <v>195</v>
      </c>
      <c r="E1194" t="s">
        <v>300</v>
      </c>
      <c r="F1194">
        <v>75</v>
      </c>
      <c r="G1194" t="s">
        <v>24</v>
      </c>
      <c r="H1194" t="s">
        <v>2690</v>
      </c>
      <c r="I1194">
        <f>353-14-234-5678</f>
        <v>-5573</v>
      </c>
      <c r="J1194" s="1">
        <v>44096</v>
      </c>
      <c r="K1194" s="1">
        <v>45300</v>
      </c>
      <c r="L1194">
        <v>148400.4</v>
      </c>
      <c r="M1194">
        <v>96000.6</v>
      </c>
      <c r="N1194">
        <v>670</v>
      </c>
      <c r="O1194">
        <v>183000</v>
      </c>
      <c r="P1194" t="s">
        <v>76</v>
      </c>
      <c r="Q1194" t="s">
        <v>27</v>
      </c>
      <c r="R1194">
        <v>0</v>
      </c>
      <c r="S1194" t="s">
        <v>28</v>
      </c>
    </row>
    <row r="1195" spans="1:19">
      <c r="A1195" t="s">
        <v>539</v>
      </c>
      <c r="B1195" t="s">
        <v>2691</v>
      </c>
      <c r="C1195" t="s">
        <v>21</v>
      </c>
      <c r="D1195" t="s">
        <v>58</v>
      </c>
      <c r="E1195" t="s">
        <v>59</v>
      </c>
      <c r="F1195">
        <v>83</v>
      </c>
      <c r="G1195" t="s">
        <v>34</v>
      </c>
      <c r="H1195" t="s">
        <v>2692</v>
      </c>
      <c r="I1195">
        <f>86-139-1234-5678</f>
        <v>-6965</v>
      </c>
      <c r="J1195" s="1">
        <v>43668</v>
      </c>
      <c r="K1195" s="1">
        <v>45299</v>
      </c>
      <c r="L1195">
        <v>315300.75</v>
      </c>
      <c r="M1195">
        <v>113000.8</v>
      </c>
      <c r="N1195">
        <v>835</v>
      </c>
      <c r="O1195">
        <v>328000</v>
      </c>
      <c r="P1195" t="s">
        <v>36</v>
      </c>
      <c r="Q1195" t="s">
        <v>27</v>
      </c>
      <c r="R1195">
        <v>0</v>
      </c>
      <c r="S1195" t="s">
        <v>28</v>
      </c>
    </row>
    <row r="1196" spans="1:19">
      <c r="A1196" t="s">
        <v>542</v>
      </c>
      <c r="B1196" t="s">
        <v>2693</v>
      </c>
      <c r="C1196" t="s">
        <v>52</v>
      </c>
      <c r="D1196" t="s">
        <v>68</v>
      </c>
      <c r="E1196" t="s">
        <v>179</v>
      </c>
      <c r="F1196">
        <v>70</v>
      </c>
      <c r="G1196" t="s">
        <v>34</v>
      </c>
      <c r="H1196" t="s">
        <v>2694</v>
      </c>
      <c r="I1196">
        <f>234-842-345-6789</f>
        <v>-7742</v>
      </c>
      <c r="J1196" s="1">
        <v>44614</v>
      </c>
      <c r="K1196" s="1">
        <v>45302</v>
      </c>
      <c r="L1196">
        <v>83100.600000000006</v>
      </c>
      <c r="M1196">
        <v>53100.25</v>
      </c>
      <c r="N1196">
        <v>665</v>
      </c>
      <c r="O1196">
        <v>136000</v>
      </c>
      <c r="P1196" t="s">
        <v>26</v>
      </c>
      <c r="Q1196" t="s">
        <v>27</v>
      </c>
      <c r="R1196">
        <v>0</v>
      </c>
      <c r="S1196" t="s">
        <v>28</v>
      </c>
    </row>
    <row r="1197" spans="1:19">
      <c r="A1197" t="s">
        <v>545</v>
      </c>
      <c r="B1197" t="s">
        <v>2695</v>
      </c>
      <c r="C1197" t="s">
        <v>46</v>
      </c>
      <c r="D1197" t="s">
        <v>241</v>
      </c>
      <c r="E1197" t="s">
        <v>389</v>
      </c>
      <c r="F1197">
        <v>62</v>
      </c>
      <c r="G1197" t="s">
        <v>24</v>
      </c>
      <c r="H1197" t="s">
        <v>2696</v>
      </c>
      <c r="I1197">
        <f>39-376-12-3456</f>
        <v>-3805</v>
      </c>
      <c r="J1197" s="1">
        <v>45252</v>
      </c>
      <c r="K1197" s="1">
        <v>45303</v>
      </c>
      <c r="L1197">
        <v>106400.8</v>
      </c>
      <c r="M1197">
        <v>60600.4</v>
      </c>
      <c r="N1197">
        <v>750</v>
      </c>
      <c r="O1197">
        <v>162000</v>
      </c>
      <c r="P1197" t="s">
        <v>26</v>
      </c>
      <c r="Q1197" t="s">
        <v>27</v>
      </c>
      <c r="R1197">
        <v>0</v>
      </c>
      <c r="S1197" t="s">
        <v>28</v>
      </c>
    </row>
    <row r="1198" spans="1:19">
      <c r="A1198" t="s">
        <v>548</v>
      </c>
      <c r="B1198" t="s">
        <v>2697</v>
      </c>
      <c r="C1198" t="s">
        <v>57</v>
      </c>
      <c r="D1198" t="s">
        <v>22</v>
      </c>
      <c r="E1198" t="s">
        <v>381</v>
      </c>
      <c r="F1198">
        <v>58</v>
      </c>
      <c r="G1198" t="s">
        <v>34</v>
      </c>
      <c r="H1198" t="s">
        <v>2698</v>
      </c>
      <c r="I1198">
        <f>1-415-555-198</f>
        <v>-1167</v>
      </c>
      <c r="J1198" s="1">
        <v>45434</v>
      </c>
      <c r="K1198" s="1">
        <v>45305</v>
      </c>
      <c r="L1198">
        <v>45300.9</v>
      </c>
      <c r="M1198">
        <v>17600.75</v>
      </c>
      <c r="N1198">
        <v>770</v>
      </c>
      <c r="O1198">
        <v>93000</v>
      </c>
      <c r="P1198" t="s">
        <v>36</v>
      </c>
      <c r="Q1198" t="s">
        <v>27</v>
      </c>
      <c r="R1198">
        <v>0</v>
      </c>
      <c r="S1198" t="s">
        <v>28</v>
      </c>
    </row>
    <row r="1199" spans="1:19">
      <c r="A1199" t="s">
        <v>551</v>
      </c>
      <c r="B1199" t="s">
        <v>2699</v>
      </c>
      <c r="C1199" t="s">
        <v>39</v>
      </c>
      <c r="D1199" t="s">
        <v>313</v>
      </c>
      <c r="E1199" t="s">
        <v>501</v>
      </c>
      <c r="F1199">
        <v>81</v>
      </c>
      <c r="G1199" t="s">
        <v>24</v>
      </c>
      <c r="H1199" t="s">
        <v>2700</v>
      </c>
      <c r="I1199">
        <f>92-328-1098765</f>
        <v>-1099001</v>
      </c>
      <c r="J1199" s="1">
        <v>43852</v>
      </c>
      <c r="K1199" s="1">
        <v>45299</v>
      </c>
      <c r="L1199">
        <v>201500.25</v>
      </c>
      <c r="M1199">
        <v>117000.8</v>
      </c>
      <c r="N1199">
        <v>645</v>
      </c>
      <c r="O1199">
        <v>233000</v>
      </c>
      <c r="P1199" t="s">
        <v>76</v>
      </c>
      <c r="Q1199" t="s">
        <v>27</v>
      </c>
      <c r="R1199">
        <v>0</v>
      </c>
      <c r="S1199" t="s">
        <v>28</v>
      </c>
    </row>
    <row r="1200" spans="1:19">
      <c r="A1200" t="s">
        <v>554</v>
      </c>
      <c r="B1200" t="s">
        <v>2701</v>
      </c>
      <c r="C1200" t="s">
        <v>31</v>
      </c>
      <c r="D1200" t="s">
        <v>214</v>
      </c>
      <c r="E1200" t="s">
        <v>483</v>
      </c>
      <c r="F1200">
        <v>54</v>
      </c>
      <c r="G1200" t="s">
        <v>34</v>
      </c>
      <c r="H1200" t="s">
        <v>2702</v>
      </c>
      <c r="I1200">
        <f>34-651-234-567</f>
        <v>-1418</v>
      </c>
      <c r="J1200" s="1">
        <v>45577</v>
      </c>
      <c r="K1200" s="1">
        <v>45306</v>
      </c>
      <c r="L1200">
        <v>38200.5</v>
      </c>
      <c r="M1200">
        <v>17200.400000000001</v>
      </c>
      <c r="N1200">
        <v>720</v>
      </c>
      <c r="O1200">
        <v>70000</v>
      </c>
      <c r="P1200" t="s">
        <v>36</v>
      </c>
      <c r="Q1200" t="s">
        <v>27</v>
      </c>
      <c r="R1200">
        <v>0</v>
      </c>
      <c r="S1200" t="s">
        <v>28</v>
      </c>
    </row>
    <row r="1201" spans="1:19">
      <c r="A1201" t="s">
        <v>108</v>
      </c>
      <c r="B1201" t="s">
        <v>2703</v>
      </c>
      <c r="C1201" t="s">
        <v>84</v>
      </c>
      <c r="D1201" t="s">
        <v>32</v>
      </c>
      <c r="E1201" t="s">
        <v>33</v>
      </c>
      <c r="F1201">
        <v>50</v>
      </c>
      <c r="G1201" t="s">
        <v>24</v>
      </c>
      <c r="H1201" t="s">
        <v>2704</v>
      </c>
      <c r="I1201">
        <f>81-90-4567-8901</f>
        <v>-13477</v>
      </c>
      <c r="J1201" s="1">
        <v>45580</v>
      </c>
      <c r="K1201" s="1">
        <v>45304</v>
      </c>
      <c r="L1201">
        <v>4650.8</v>
      </c>
      <c r="M1201">
        <v>14200.25</v>
      </c>
      <c r="N1201">
        <v>605</v>
      </c>
      <c r="O1201">
        <v>46000</v>
      </c>
      <c r="P1201" t="s">
        <v>76</v>
      </c>
      <c r="Q1201" t="s">
        <v>43</v>
      </c>
      <c r="R1201">
        <v>0</v>
      </c>
      <c r="S1201" t="s">
        <v>28</v>
      </c>
    </row>
    <row r="1202" spans="1:19">
      <c r="A1202" t="s">
        <v>559</v>
      </c>
      <c r="B1202" t="s">
        <v>2705</v>
      </c>
      <c r="C1202" t="s">
        <v>46</v>
      </c>
      <c r="D1202" t="s">
        <v>254</v>
      </c>
      <c r="E1202" t="s">
        <v>255</v>
      </c>
      <c r="F1202">
        <v>64</v>
      </c>
      <c r="G1202" t="s">
        <v>34</v>
      </c>
      <c r="H1202" t="s">
        <v>2706</v>
      </c>
      <c r="I1202">
        <f>221-6-12-3456</f>
        <v>-3253</v>
      </c>
      <c r="J1202" s="1">
        <v>45129</v>
      </c>
      <c r="K1202" s="1">
        <v>45302</v>
      </c>
      <c r="L1202">
        <v>93100.4</v>
      </c>
      <c r="M1202">
        <v>55300.75</v>
      </c>
      <c r="N1202">
        <v>710</v>
      </c>
      <c r="O1202">
        <v>144000</v>
      </c>
      <c r="P1202" t="s">
        <v>26</v>
      </c>
      <c r="Q1202" t="s">
        <v>27</v>
      </c>
      <c r="R1202">
        <v>0</v>
      </c>
      <c r="S1202" t="s">
        <v>28</v>
      </c>
    </row>
    <row r="1203" spans="1:19">
      <c r="A1203" t="s">
        <v>562</v>
      </c>
      <c r="B1203" t="s">
        <v>2707</v>
      </c>
      <c r="C1203" t="s">
        <v>39</v>
      </c>
      <c r="D1203" t="s">
        <v>47</v>
      </c>
      <c r="E1203" t="s">
        <v>48</v>
      </c>
      <c r="F1203">
        <v>78</v>
      </c>
      <c r="G1203" t="s">
        <v>24</v>
      </c>
      <c r="H1203" t="s">
        <v>2708</v>
      </c>
      <c r="I1203">
        <f>44-79-3456-7890</f>
        <v>-11381</v>
      </c>
      <c r="J1203" s="1">
        <v>44004</v>
      </c>
      <c r="K1203" s="1">
        <v>45300</v>
      </c>
      <c r="L1203">
        <v>181700.6</v>
      </c>
      <c r="M1203">
        <v>110000.25</v>
      </c>
      <c r="N1203">
        <v>675</v>
      </c>
      <c r="O1203">
        <v>213000</v>
      </c>
      <c r="P1203" t="s">
        <v>76</v>
      </c>
      <c r="Q1203" t="s">
        <v>27</v>
      </c>
      <c r="R1203">
        <v>0</v>
      </c>
      <c r="S1203" t="s">
        <v>28</v>
      </c>
    </row>
    <row r="1204" spans="1:19">
      <c r="A1204" t="s">
        <v>565</v>
      </c>
      <c r="B1204" t="s">
        <v>2709</v>
      </c>
      <c r="C1204" t="s">
        <v>52</v>
      </c>
      <c r="D1204" t="s">
        <v>233</v>
      </c>
      <c r="E1204" t="s">
        <v>296</v>
      </c>
      <c r="F1204">
        <v>63</v>
      </c>
      <c r="G1204" t="s">
        <v>34</v>
      </c>
      <c r="H1204" t="s">
        <v>2710</v>
      </c>
      <c r="I1204">
        <f>82-10-2345-6789</f>
        <v>-9062</v>
      </c>
      <c r="J1204" s="1">
        <v>44917</v>
      </c>
      <c r="K1204" s="1">
        <v>45301</v>
      </c>
      <c r="L1204">
        <v>69500.75</v>
      </c>
      <c r="M1204">
        <v>46400.800000000003</v>
      </c>
      <c r="N1204">
        <v>725</v>
      </c>
      <c r="O1204">
        <v>110000</v>
      </c>
      <c r="P1204" t="s">
        <v>26</v>
      </c>
      <c r="Q1204" t="s">
        <v>27</v>
      </c>
      <c r="R1204">
        <v>0</v>
      </c>
      <c r="S1204" t="s">
        <v>28</v>
      </c>
    </row>
    <row r="1205" spans="1:19">
      <c r="A1205" t="s">
        <v>568</v>
      </c>
      <c r="B1205" t="s">
        <v>2711</v>
      </c>
      <c r="C1205" t="s">
        <v>57</v>
      </c>
      <c r="D1205" t="s">
        <v>79</v>
      </c>
      <c r="E1205" t="s">
        <v>102</v>
      </c>
      <c r="F1205">
        <v>61</v>
      </c>
      <c r="G1205" t="s">
        <v>24</v>
      </c>
      <c r="H1205" t="s">
        <v>2712</v>
      </c>
      <c r="I1205">
        <f>971-50-456-7890</f>
        <v>-7425</v>
      </c>
      <c r="J1205" s="1">
        <v>45373</v>
      </c>
      <c r="K1205" s="1">
        <v>45303</v>
      </c>
      <c r="L1205">
        <v>47500.4</v>
      </c>
      <c r="M1205">
        <v>18400.900000000001</v>
      </c>
      <c r="N1205">
        <v>740</v>
      </c>
      <c r="O1205">
        <v>96000</v>
      </c>
      <c r="P1205" t="s">
        <v>36</v>
      </c>
      <c r="Q1205" t="s">
        <v>27</v>
      </c>
      <c r="R1205">
        <v>0</v>
      </c>
      <c r="S1205" t="s">
        <v>28</v>
      </c>
    </row>
    <row r="1206" spans="1:19">
      <c r="A1206" t="s">
        <v>571</v>
      </c>
      <c r="B1206" t="s">
        <v>2713</v>
      </c>
      <c r="C1206" t="s">
        <v>21</v>
      </c>
      <c r="D1206" t="s">
        <v>63</v>
      </c>
      <c r="E1206" t="s">
        <v>106</v>
      </c>
      <c r="F1206">
        <v>84</v>
      </c>
      <c r="G1206" t="s">
        <v>34</v>
      </c>
      <c r="H1206" t="s">
        <v>2714</v>
      </c>
      <c r="I1206">
        <f>55-21-99956-7890</f>
        <v>-107812</v>
      </c>
      <c r="J1206" s="1">
        <v>43546</v>
      </c>
      <c r="K1206" s="1">
        <v>45299</v>
      </c>
      <c r="L1206">
        <v>270600.90000000002</v>
      </c>
      <c r="M1206">
        <v>100000.6</v>
      </c>
      <c r="N1206">
        <v>830</v>
      </c>
      <c r="O1206">
        <v>308000</v>
      </c>
      <c r="P1206" t="s">
        <v>36</v>
      </c>
      <c r="Q1206" t="s">
        <v>27</v>
      </c>
      <c r="R1206">
        <v>0</v>
      </c>
      <c r="S1206" t="s">
        <v>28</v>
      </c>
    </row>
    <row r="1207" spans="1:19">
      <c r="A1207" t="s">
        <v>574</v>
      </c>
      <c r="B1207" t="s">
        <v>2715</v>
      </c>
      <c r="C1207" t="s">
        <v>39</v>
      </c>
      <c r="D1207" t="s">
        <v>68</v>
      </c>
      <c r="E1207" t="s">
        <v>114</v>
      </c>
      <c r="F1207">
        <v>76</v>
      </c>
      <c r="G1207" t="s">
        <v>24</v>
      </c>
      <c r="H1207" t="s">
        <v>2716</v>
      </c>
      <c r="I1207">
        <f>234-843-456-7890</f>
        <v>-8955</v>
      </c>
      <c r="J1207" s="1">
        <v>44147</v>
      </c>
      <c r="K1207" s="1">
        <v>45300</v>
      </c>
      <c r="L1207">
        <v>159500.25</v>
      </c>
      <c r="M1207">
        <v>102000.4</v>
      </c>
      <c r="N1207">
        <v>655</v>
      </c>
      <c r="O1207">
        <v>198000</v>
      </c>
      <c r="P1207" t="s">
        <v>76</v>
      </c>
      <c r="Q1207" t="s">
        <v>27</v>
      </c>
      <c r="R1207">
        <v>0</v>
      </c>
      <c r="S1207" t="s">
        <v>28</v>
      </c>
    </row>
    <row r="1208" spans="1:19">
      <c r="A1208" t="s">
        <v>577</v>
      </c>
      <c r="B1208" t="s">
        <v>2717</v>
      </c>
      <c r="C1208" t="s">
        <v>46</v>
      </c>
      <c r="D1208" t="s">
        <v>85</v>
      </c>
      <c r="E1208" t="s">
        <v>130</v>
      </c>
      <c r="F1208">
        <v>65</v>
      </c>
      <c r="G1208" t="s">
        <v>34</v>
      </c>
      <c r="H1208" t="s">
        <v>2718</v>
      </c>
      <c r="I1208">
        <f>1-604-555-194</f>
        <v>-1352</v>
      </c>
      <c r="J1208" s="1">
        <v>45038</v>
      </c>
      <c r="K1208" s="1">
        <v>45302</v>
      </c>
      <c r="L1208">
        <v>112000.6</v>
      </c>
      <c r="M1208">
        <v>63300.75</v>
      </c>
      <c r="N1208">
        <v>760</v>
      </c>
      <c r="O1208">
        <v>167000</v>
      </c>
      <c r="P1208" t="s">
        <v>26</v>
      </c>
      <c r="Q1208" t="s">
        <v>27</v>
      </c>
      <c r="R1208">
        <v>0</v>
      </c>
      <c r="S1208" t="s">
        <v>28</v>
      </c>
    </row>
    <row r="1209" spans="1:19">
      <c r="A1209" t="s">
        <v>458</v>
      </c>
      <c r="B1209" t="s">
        <v>2719</v>
      </c>
      <c r="C1209" t="s">
        <v>31</v>
      </c>
      <c r="D1209" t="s">
        <v>460</v>
      </c>
      <c r="E1209" t="s">
        <v>663</v>
      </c>
      <c r="F1209">
        <v>56</v>
      </c>
      <c r="G1209" t="s">
        <v>24</v>
      </c>
      <c r="H1209" t="s">
        <v>2720</v>
      </c>
      <c r="I1209">
        <f>62-840-1234-5678</f>
        <v>-7690</v>
      </c>
      <c r="J1209" s="1">
        <v>45573</v>
      </c>
      <c r="K1209" s="1">
        <v>45306</v>
      </c>
      <c r="L1209">
        <v>22400.25</v>
      </c>
      <c r="M1209">
        <v>13300.8</v>
      </c>
      <c r="N1209">
        <v>695</v>
      </c>
      <c r="O1209">
        <v>67000</v>
      </c>
      <c r="P1209" t="s">
        <v>26</v>
      </c>
      <c r="Q1209" t="s">
        <v>43</v>
      </c>
      <c r="R1209">
        <v>0</v>
      </c>
      <c r="S1209" t="s">
        <v>28</v>
      </c>
    </row>
    <row r="1210" spans="1:19">
      <c r="A1210" t="s">
        <v>582</v>
      </c>
      <c r="B1210" t="s">
        <v>2721</v>
      </c>
      <c r="C1210" t="s">
        <v>57</v>
      </c>
      <c r="D1210" t="s">
        <v>22</v>
      </c>
      <c r="E1210" t="s">
        <v>23</v>
      </c>
      <c r="F1210">
        <v>59</v>
      </c>
      <c r="G1210" t="s">
        <v>34</v>
      </c>
      <c r="H1210" t="s">
        <v>2722</v>
      </c>
      <c r="I1210">
        <f>1-646-555-194</f>
        <v>-1394</v>
      </c>
      <c r="J1210" s="1">
        <v>45313</v>
      </c>
      <c r="K1210" s="1">
        <v>45303</v>
      </c>
      <c r="L1210">
        <v>46400.9</v>
      </c>
      <c r="M1210">
        <v>18000.25</v>
      </c>
      <c r="N1210">
        <v>755</v>
      </c>
      <c r="O1210">
        <v>89000</v>
      </c>
      <c r="P1210" t="s">
        <v>36</v>
      </c>
      <c r="Q1210" t="s">
        <v>27</v>
      </c>
      <c r="R1210">
        <v>0</v>
      </c>
      <c r="S1210" t="s">
        <v>28</v>
      </c>
    </row>
    <row r="1211" spans="1:19">
      <c r="A1211" t="s">
        <v>55</v>
      </c>
      <c r="B1211" t="s">
        <v>2723</v>
      </c>
      <c r="C1211" t="s">
        <v>39</v>
      </c>
      <c r="D1211" t="s">
        <v>58</v>
      </c>
      <c r="E1211" t="s">
        <v>122</v>
      </c>
      <c r="F1211">
        <v>77</v>
      </c>
      <c r="G1211" t="s">
        <v>24</v>
      </c>
      <c r="H1211" t="s">
        <v>2724</v>
      </c>
      <c r="I1211">
        <f>86-138-5678-9012</f>
        <v>-14742</v>
      </c>
      <c r="J1211" s="1">
        <v>44065</v>
      </c>
      <c r="K1211" s="1">
        <v>45300</v>
      </c>
      <c r="L1211">
        <v>192400.4</v>
      </c>
      <c r="M1211">
        <v>115000.75</v>
      </c>
      <c r="N1211">
        <v>685</v>
      </c>
      <c r="O1211">
        <v>223000</v>
      </c>
      <c r="P1211" t="s">
        <v>76</v>
      </c>
      <c r="Q1211" t="s">
        <v>27</v>
      </c>
      <c r="R1211">
        <v>0</v>
      </c>
      <c r="S1211" t="s">
        <v>28</v>
      </c>
    </row>
    <row r="1212" spans="1:19">
      <c r="A1212" t="s">
        <v>469</v>
      </c>
      <c r="B1212" t="s">
        <v>2725</v>
      </c>
      <c r="C1212" t="s">
        <v>52</v>
      </c>
      <c r="D1212" t="s">
        <v>471</v>
      </c>
      <c r="E1212" t="s">
        <v>472</v>
      </c>
      <c r="F1212">
        <v>68</v>
      </c>
      <c r="G1212" t="s">
        <v>34</v>
      </c>
      <c r="H1212" t="s">
        <v>2726</v>
      </c>
      <c r="I1212">
        <f>48-728-12-345</f>
        <v>-1037</v>
      </c>
      <c r="J1212" s="1">
        <v>44703</v>
      </c>
      <c r="K1212" s="1">
        <v>45301</v>
      </c>
      <c r="L1212">
        <v>76400.800000000003</v>
      </c>
      <c r="M1212">
        <v>49500.6</v>
      </c>
      <c r="N1212">
        <v>715</v>
      </c>
      <c r="O1212">
        <v>122000</v>
      </c>
      <c r="P1212" t="s">
        <v>26</v>
      </c>
      <c r="Q1212" t="s">
        <v>27</v>
      </c>
      <c r="R1212">
        <v>0</v>
      </c>
      <c r="S1212" t="s">
        <v>28</v>
      </c>
    </row>
    <row r="1213" spans="1:19">
      <c r="A1213" t="s">
        <v>474</v>
      </c>
      <c r="B1213" t="s">
        <v>2727</v>
      </c>
      <c r="C1213" t="s">
        <v>46</v>
      </c>
      <c r="D1213" t="s">
        <v>345</v>
      </c>
      <c r="E1213" t="s">
        <v>476</v>
      </c>
      <c r="F1213">
        <v>71</v>
      </c>
      <c r="G1213" t="s">
        <v>24</v>
      </c>
      <c r="H1213" t="s">
        <v>2728</v>
      </c>
      <c r="I1213">
        <f>880-1812-234567</f>
        <v>-235499</v>
      </c>
      <c r="J1213" s="1">
        <v>44614</v>
      </c>
      <c r="K1213" s="1">
        <v>45302</v>
      </c>
      <c r="L1213">
        <v>104200.25</v>
      </c>
      <c r="M1213">
        <v>59500.4</v>
      </c>
      <c r="N1213">
        <v>680</v>
      </c>
      <c r="O1213">
        <v>151000</v>
      </c>
      <c r="P1213" t="s">
        <v>26</v>
      </c>
      <c r="Q1213" t="s">
        <v>27</v>
      </c>
      <c r="R1213">
        <v>0</v>
      </c>
      <c r="S1213" t="s">
        <v>28</v>
      </c>
    </row>
    <row r="1214" spans="1:19">
      <c r="A1214" t="s">
        <v>592</v>
      </c>
      <c r="B1214" t="s">
        <v>2729</v>
      </c>
      <c r="C1214" t="s">
        <v>84</v>
      </c>
      <c r="D1214" t="s">
        <v>32</v>
      </c>
      <c r="E1214" t="s">
        <v>90</v>
      </c>
      <c r="F1214">
        <v>51</v>
      </c>
      <c r="G1214" t="s">
        <v>34</v>
      </c>
      <c r="H1214" t="s">
        <v>2730</v>
      </c>
      <c r="I1214">
        <f>81-90-5678-9012</f>
        <v>-14699</v>
      </c>
      <c r="J1214" s="1">
        <v>45587</v>
      </c>
      <c r="K1214" s="1">
        <v>45304</v>
      </c>
      <c r="L1214">
        <v>4750.3999999999996</v>
      </c>
      <c r="M1214">
        <v>14800.75</v>
      </c>
      <c r="N1214">
        <v>610</v>
      </c>
      <c r="O1214">
        <v>47000</v>
      </c>
      <c r="P1214" t="s">
        <v>76</v>
      </c>
      <c r="Q1214" t="s">
        <v>43</v>
      </c>
      <c r="R1214">
        <v>0</v>
      </c>
      <c r="S1214" t="s">
        <v>28</v>
      </c>
    </row>
    <row r="1215" spans="1:19">
      <c r="A1215" t="s">
        <v>595</v>
      </c>
      <c r="B1215" t="s">
        <v>2731</v>
      </c>
      <c r="C1215" t="s">
        <v>21</v>
      </c>
      <c r="D1215" t="s">
        <v>209</v>
      </c>
      <c r="E1215" t="s">
        <v>210</v>
      </c>
      <c r="F1215">
        <v>83</v>
      </c>
      <c r="G1215" t="s">
        <v>24</v>
      </c>
      <c r="H1215" t="s">
        <v>2732</v>
      </c>
      <c r="I1215">
        <f>52-55-2345-123</f>
        <v>-2471</v>
      </c>
      <c r="J1215" s="1">
        <v>43760</v>
      </c>
      <c r="K1215" s="1">
        <v>45299</v>
      </c>
      <c r="L1215">
        <v>290400.8</v>
      </c>
      <c r="M1215">
        <v>106000.25</v>
      </c>
      <c r="N1215">
        <v>825</v>
      </c>
      <c r="O1215">
        <v>303000</v>
      </c>
      <c r="P1215" t="s">
        <v>36</v>
      </c>
      <c r="Q1215" t="s">
        <v>27</v>
      </c>
      <c r="R1215">
        <v>0</v>
      </c>
      <c r="S1215" t="s">
        <v>28</v>
      </c>
    </row>
    <row r="1216" spans="1:19">
      <c r="A1216" t="s">
        <v>226</v>
      </c>
      <c r="B1216" t="s">
        <v>2733</v>
      </c>
      <c r="C1216" t="s">
        <v>57</v>
      </c>
      <c r="D1216" t="s">
        <v>228</v>
      </c>
      <c r="E1216" t="s">
        <v>678</v>
      </c>
      <c r="F1216">
        <v>58</v>
      </c>
      <c r="G1216" t="s">
        <v>34</v>
      </c>
      <c r="H1216" t="s">
        <v>2734</v>
      </c>
      <c r="I1216">
        <f>254-752-345-678</f>
        <v>-1521</v>
      </c>
      <c r="J1216" s="1">
        <v>45495</v>
      </c>
      <c r="K1216" s="1">
        <v>45305</v>
      </c>
      <c r="L1216">
        <v>43100.75</v>
      </c>
      <c r="M1216">
        <v>16400.400000000001</v>
      </c>
      <c r="N1216">
        <v>725</v>
      </c>
      <c r="O1216">
        <v>79000</v>
      </c>
      <c r="P1216" t="s">
        <v>36</v>
      </c>
      <c r="Q1216" t="s">
        <v>27</v>
      </c>
      <c r="R1216">
        <v>0</v>
      </c>
      <c r="S1216" t="s">
        <v>28</v>
      </c>
    </row>
    <row r="1217" spans="1:19">
      <c r="A1217" t="s">
        <v>488</v>
      </c>
      <c r="B1217" t="s">
        <v>2735</v>
      </c>
      <c r="C1217" t="s">
        <v>39</v>
      </c>
      <c r="D1217" t="s">
        <v>304</v>
      </c>
      <c r="E1217" t="s">
        <v>304</v>
      </c>
      <c r="F1217">
        <v>75</v>
      </c>
      <c r="G1217" t="s">
        <v>24</v>
      </c>
      <c r="H1217" t="s">
        <v>2736</v>
      </c>
      <c r="I1217">
        <f>65-1190-1234</f>
        <v>-2359</v>
      </c>
      <c r="J1217" s="1">
        <v>44239</v>
      </c>
      <c r="K1217" s="1">
        <v>45300</v>
      </c>
      <c r="L1217">
        <v>170600.6</v>
      </c>
      <c r="M1217">
        <v>106000.9</v>
      </c>
      <c r="N1217">
        <v>675</v>
      </c>
      <c r="O1217">
        <v>203000</v>
      </c>
      <c r="P1217" t="s">
        <v>76</v>
      </c>
      <c r="Q1217" t="s">
        <v>27</v>
      </c>
      <c r="R1217">
        <v>0</v>
      </c>
      <c r="S1217" t="s">
        <v>28</v>
      </c>
    </row>
    <row r="1218" spans="1:19">
      <c r="A1218" t="s">
        <v>491</v>
      </c>
      <c r="B1218" t="s">
        <v>2737</v>
      </c>
      <c r="C1218" t="s">
        <v>52</v>
      </c>
      <c r="D1218" t="s">
        <v>493</v>
      </c>
      <c r="E1218" t="s">
        <v>494</v>
      </c>
      <c r="F1218">
        <v>66</v>
      </c>
      <c r="G1218" t="s">
        <v>34</v>
      </c>
      <c r="H1218" t="s">
        <v>2738</v>
      </c>
      <c r="I1218">
        <f>30-720-123-4567</f>
        <v>-5380</v>
      </c>
      <c r="J1218" s="1">
        <v>45007</v>
      </c>
      <c r="K1218" s="1">
        <v>45302</v>
      </c>
      <c r="L1218">
        <v>70600.399999999994</v>
      </c>
      <c r="M1218">
        <v>45300.25</v>
      </c>
      <c r="N1218">
        <v>705</v>
      </c>
      <c r="O1218">
        <v>111000</v>
      </c>
      <c r="P1218" t="s">
        <v>26</v>
      </c>
      <c r="Q1218" t="s">
        <v>27</v>
      </c>
      <c r="R1218">
        <v>0</v>
      </c>
      <c r="S1218" t="s">
        <v>28</v>
      </c>
    </row>
    <row r="1219" spans="1:19">
      <c r="A1219" t="s">
        <v>496</v>
      </c>
      <c r="B1219" t="s">
        <v>2739</v>
      </c>
      <c r="C1219" t="s">
        <v>46</v>
      </c>
      <c r="D1219" t="s">
        <v>321</v>
      </c>
      <c r="E1219" t="s">
        <v>498</v>
      </c>
      <c r="F1219">
        <v>69</v>
      </c>
      <c r="G1219" t="s">
        <v>24</v>
      </c>
      <c r="H1219" t="s">
        <v>2740</v>
      </c>
      <c r="I1219">
        <f>61-452-345-678</f>
        <v>-1414</v>
      </c>
      <c r="J1219" s="1">
        <v>44491</v>
      </c>
      <c r="K1219" s="1">
        <v>45301</v>
      </c>
      <c r="L1219">
        <v>116100.75</v>
      </c>
      <c r="M1219">
        <v>66400.800000000003</v>
      </c>
      <c r="N1219">
        <v>730</v>
      </c>
      <c r="O1219">
        <v>177000</v>
      </c>
      <c r="P1219" t="s">
        <v>26</v>
      </c>
      <c r="Q1219" t="s">
        <v>27</v>
      </c>
      <c r="R1219">
        <v>0</v>
      </c>
      <c r="S1219" t="s">
        <v>28</v>
      </c>
    </row>
    <row r="1220" spans="1:19">
      <c r="A1220" t="s">
        <v>324</v>
      </c>
      <c r="B1220" t="s">
        <v>2741</v>
      </c>
      <c r="C1220" t="s">
        <v>31</v>
      </c>
      <c r="D1220" t="s">
        <v>313</v>
      </c>
      <c r="E1220" t="s">
        <v>314</v>
      </c>
      <c r="F1220">
        <v>54</v>
      </c>
      <c r="G1220" t="s">
        <v>34</v>
      </c>
      <c r="H1220" t="s">
        <v>2742</v>
      </c>
      <c r="I1220">
        <f>92-350-9876543</f>
        <v>-9876801</v>
      </c>
      <c r="J1220" s="1">
        <v>45580</v>
      </c>
      <c r="K1220" s="1">
        <v>45306</v>
      </c>
      <c r="L1220">
        <v>19000.900000000001</v>
      </c>
      <c r="M1220">
        <v>10900.75</v>
      </c>
      <c r="N1220">
        <v>685</v>
      </c>
      <c r="O1220">
        <v>64000</v>
      </c>
      <c r="P1220" t="s">
        <v>26</v>
      </c>
      <c r="Q1220" t="s">
        <v>43</v>
      </c>
      <c r="R1220">
        <v>0</v>
      </c>
      <c r="S1220" t="s">
        <v>28</v>
      </c>
    </row>
    <row r="1221" spans="1:19">
      <c r="A1221" t="s">
        <v>503</v>
      </c>
      <c r="B1221" t="s">
        <v>2743</v>
      </c>
      <c r="C1221" t="s">
        <v>21</v>
      </c>
      <c r="D1221" t="s">
        <v>32</v>
      </c>
      <c r="E1221" t="s">
        <v>33</v>
      </c>
      <c r="F1221">
        <v>86</v>
      </c>
      <c r="G1221" t="s">
        <v>24</v>
      </c>
      <c r="H1221" t="s">
        <v>2744</v>
      </c>
      <c r="I1221">
        <f>81-80-123-4567</f>
        <v>-4689</v>
      </c>
      <c r="J1221" s="1">
        <v>43487</v>
      </c>
      <c r="K1221" s="1">
        <v>45299</v>
      </c>
      <c r="L1221">
        <v>301300.25</v>
      </c>
      <c r="M1221">
        <v>110000.4</v>
      </c>
      <c r="N1221">
        <v>840</v>
      </c>
      <c r="O1221">
        <v>318000</v>
      </c>
      <c r="P1221" t="s">
        <v>36</v>
      </c>
      <c r="Q1221" t="s">
        <v>27</v>
      </c>
      <c r="R1221">
        <v>0</v>
      </c>
      <c r="S1221" t="s">
        <v>28</v>
      </c>
    </row>
    <row r="1222" spans="1:19">
      <c r="A1222" t="s">
        <v>506</v>
      </c>
      <c r="B1222" t="s">
        <v>2745</v>
      </c>
      <c r="C1222" t="s">
        <v>39</v>
      </c>
      <c r="D1222" t="s">
        <v>68</v>
      </c>
      <c r="E1222" t="s">
        <v>69</v>
      </c>
      <c r="F1222">
        <v>78</v>
      </c>
      <c r="G1222" t="s">
        <v>34</v>
      </c>
      <c r="H1222" t="s">
        <v>2746</v>
      </c>
      <c r="I1222">
        <f>234-842-345-6789</f>
        <v>-7742</v>
      </c>
      <c r="J1222" s="1">
        <v>44004</v>
      </c>
      <c r="K1222" s="1">
        <v>45300</v>
      </c>
      <c r="L1222">
        <v>181700.4</v>
      </c>
      <c r="M1222">
        <v>110000.75</v>
      </c>
      <c r="N1222">
        <v>650</v>
      </c>
      <c r="O1222">
        <v>213000</v>
      </c>
      <c r="P1222" t="s">
        <v>76</v>
      </c>
      <c r="Q1222" t="s">
        <v>27</v>
      </c>
      <c r="R1222">
        <v>0</v>
      </c>
      <c r="S1222" t="s">
        <v>28</v>
      </c>
    </row>
    <row r="1223" spans="1:19">
      <c r="A1223" t="s">
        <v>509</v>
      </c>
      <c r="B1223" t="s">
        <v>2747</v>
      </c>
      <c r="C1223" t="s">
        <v>46</v>
      </c>
      <c r="D1223" t="s">
        <v>73</v>
      </c>
      <c r="E1223" t="s">
        <v>126</v>
      </c>
      <c r="F1223">
        <v>65</v>
      </c>
      <c r="G1223" t="s">
        <v>24</v>
      </c>
      <c r="H1223" t="s">
        <v>2748</v>
      </c>
      <c r="I1223">
        <f>49-204-5678901</f>
        <v>-5679056</v>
      </c>
      <c r="J1223" s="1">
        <v>45221</v>
      </c>
      <c r="K1223" s="1">
        <v>45303</v>
      </c>
      <c r="L1223">
        <v>104900.4</v>
      </c>
      <c r="M1223">
        <v>60600.25</v>
      </c>
      <c r="N1223">
        <v>745</v>
      </c>
      <c r="O1223">
        <v>157000</v>
      </c>
      <c r="P1223" t="s">
        <v>26</v>
      </c>
      <c r="Q1223" t="s">
        <v>27</v>
      </c>
      <c r="R1223">
        <v>0</v>
      </c>
      <c r="S1223" t="s">
        <v>28</v>
      </c>
    </row>
    <row r="1224" spans="1:19">
      <c r="A1224" t="s">
        <v>513</v>
      </c>
      <c r="B1224" t="s">
        <v>2749</v>
      </c>
      <c r="C1224" t="s">
        <v>57</v>
      </c>
      <c r="D1224" t="s">
        <v>58</v>
      </c>
      <c r="E1224" t="s">
        <v>122</v>
      </c>
      <c r="F1224">
        <v>60</v>
      </c>
      <c r="G1224" t="s">
        <v>34</v>
      </c>
      <c r="H1224" t="s">
        <v>2750</v>
      </c>
      <c r="I1224">
        <f>86-137-5678-9012</f>
        <v>-14741</v>
      </c>
      <c r="J1224" s="1">
        <v>45404</v>
      </c>
      <c r="K1224" s="1">
        <v>45302</v>
      </c>
      <c r="L1224">
        <v>45300.800000000003</v>
      </c>
      <c r="M1224">
        <v>17600.900000000001</v>
      </c>
      <c r="N1224">
        <v>765</v>
      </c>
      <c r="O1224">
        <v>89000</v>
      </c>
      <c r="P1224" t="s">
        <v>36</v>
      </c>
      <c r="Q1224" t="s">
        <v>27</v>
      </c>
      <c r="R1224">
        <v>0</v>
      </c>
      <c r="S1224" t="s">
        <v>28</v>
      </c>
    </row>
    <row r="1225" spans="1:19">
      <c r="A1225" t="s">
        <v>516</v>
      </c>
      <c r="B1225" t="s">
        <v>2751</v>
      </c>
      <c r="C1225" t="s">
        <v>52</v>
      </c>
      <c r="D1225" t="s">
        <v>277</v>
      </c>
      <c r="E1225" t="s">
        <v>278</v>
      </c>
      <c r="F1225">
        <v>73</v>
      </c>
      <c r="G1225" t="s">
        <v>24</v>
      </c>
      <c r="H1225" t="s">
        <v>2752</v>
      </c>
      <c r="I1225">
        <f>20-122-98-7654</f>
        <v>-7854</v>
      </c>
      <c r="J1225" s="1">
        <v>44673</v>
      </c>
      <c r="K1225" s="1">
        <v>45301</v>
      </c>
      <c r="L1225">
        <v>78600.75</v>
      </c>
      <c r="M1225">
        <v>51700.4</v>
      </c>
      <c r="N1225">
        <v>675</v>
      </c>
      <c r="O1225">
        <v>129000</v>
      </c>
      <c r="P1225" t="s">
        <v>26</v>
      </c>
      <c r="Q1225" t="s">
        <v>27</v>
      </c>
      <c r="R1225">
        <v>0</v>
      </c>
      <c r="S1225" t="s">
        <v>28</v>
      </c>
    </row>
    <row r="1226" spans="1:19">
      <c r="A1226" t="s">
        <v>519</v>
      </c>
      <c r="B1226" t="s">
        <v>2753</v>
      </c>
      <c r="C1226" t="s">
        <v>84</v>
      </c>
      <c r="D1226" t="s">
        <v>183</v>
      </c>
      <c r="E1226" t="s">
        <v>273</v>
      </c>
      <c r="F1226">
        <v>52</v>
      </c>
      <c r="G1226" t="s">
        <v>34</v>
      </c>
      <c r="H1226" t="s">
        <v>2754</v>
      </c>
      <c r="I1226">
        <f>33-6-2345-6789</f>
        <v>-9107</v>
      </c>
      <c r="J1226" s="1">
        <v>45593</v>
      </c>
      <c r="K1226" s="1">
        <v>45304</v>
      </c>
      <c r="L1226">
        <v>5000.25</v>
      </c>
      <c r="M1226">
        <v>16000.6</v>
      </c>
      <c r="N1226">
        <v>615</v>
      </c>
      <c r="O1226">
        <v>49000</v>
      </c>
      <c r="P1226" t="s">
        <v>76</v>
      </c>
      <c r="Q1226" t="s">
        <v>43</v>
      </c>
      <c r="R1226">
        <v>0</v>
      </c>
      <c r="S1226" t="s">
        <v>28</v>
      </c>
    </row>
    <row r="1227" spans="1:19">
      <c r="A1227" t="s">
        <v>522</v>
      </c>
      <c r="B1227" t="s">
        <v>2755</v>
      </c>
      <c r="C1227" t="s">
        <v>39</v>
      </c>
      <c r="D1227" t="s">
        <v>40</v>
      </c>
      <c r="E1227" t="s">
        <v>94</v>
      </c>
      <c r="F1227">
        <v>80</v>
      </c>
      <c r="G1227" t="s">
        <v>24</v>
      </c>
      <c r="H1227" t="s">
        <v>2756</v>
      </c>
      <c r="I1227">
        <f>91-987-654-3210</f>
        <v>-4760</v>
      </c>
      <c r="J1227" s="1">
        <v>43973</v>
      </c>
      <c r="K1227" s="1">
        <v>45299</v>
      </c>
      <c r="L1227">
        <v>216300.79999999999</v>
      </c>
      <c r="M1227">
        <v>123000.25</v>
      </c>
      <c r="N1227">
        <v>660</v>
      </c>
      <c r="O1227">
        <v>248000</v>
      </c>
      <c r="P1227" t="s">
        <v>76</v>
      </c>
      <c r="Q1227" t="s">
        <v>27</v>
      </c>
      <c r="R1227">
        <v>0</v>
      </c>
      <c r="S1227" t="s">
        <v>28</v>
      </c>
    </row>
    <row r="1228" spans="1:19">
      <c r="A1228" t="s">
        <v>306</v>
      </c>
      <c r="B1228" t="s">
        <v>2757</v>
      </c>
      <c r="C1228" t="s">
        <v>46</v>
      </c>
      <c r="D1228" t="s">
        <v>209</v>
      </c>
      <c r="E1228" t="s">
        <v>210</v>
      </c>
      <c r="F1228">
        <v>67</v>
      </c>
      <c r="G1228" t="s">
        <v>34</v>
      </c>
      <c r="H1228" t="s">
        <v>2758</v>
      </c>
      <c r="I1228">
        <f>52-55-3456-123</f>
        <v>-3582</v>
      </c>
      <c r="J1228" s="1">
        <v>44826</v>
      </c>
      <c r="K1228" s="1">
        <v>45302</v>
      </c>
      <c r="L1228">
        <v>99700.9</v>
      </c>
      <c r="M1228">
        <v>57500.75</v>
      </c>
      <c r="N1228">
        <v>730</v>
      </c>
      <c r="O1228">
        <v>152000</v>
      </c>
      <c r="P1228" t="s">
        <v>26</v>
      </c>
      <c r="Q1228" t="s">
        <v>27</v>
      </c>
      <c r="R1228">
        <v>0</v>
      </c>
      <c r="S1228" t="s">
        <v>28</v>
      </c>
    </row>
    <row r="1229" spans="1:19">
      <c r="A1229" t="s">
        <v>527</v>
      </c>
      <c r="B1229" t="s">
        <v>2759</v>
      </c>
      <c r="C1229" t="s">
        <v>31</v>
      </c>
      <c r="D1229" t="s">
        <v>32</v>
      </c>
      <c r="E1229" t="s">
        <v>90</v>
      </c>
      <c r="F1229">
        <v>56</v>
      </c>
      <c r="G1229" t="s">
        <v>34</v>
      </c>
      <c r="H1229" t="s">
        <v>2760</v>
      </c>
      <c r="I1229">
        <f>81-90-5678-9012</f>
        <v>-14699</v>
      </c>
      <c r="J1229" s="1">
        <v>45587</v>
      </c>
      <c r="K1229" s="1">
        <v>45305</v>
      </c>
      <c r="L1229">
        <v>20100.400000000001</v>
      </c>
      <c r="M1229">
        <v>11000.25</v>
      </c>
      <c r="N1229">
        <v>705</v>
      </c>
      <c r="O1229">
        <v>66000</v>
      </c>
      <c r="P1229" t="s">
        <v>26</v>
      </c>
      <c r="Q1229" t="s">
        <v>43</v>
      </c>
      <c r="R1229">
        <v>0</v>
      </c>
      <c r="S1229" t="s">
        <v>28</v>
      </c>
    </row>
    <row r="1230" spans="1:19">
      <c r="A1230" t="s">
        <v>530</v>
      </c>
      <c r="B1230" t="s">
        <v>2761</v>
      </c>
      <c r="C1230" t="s">
        <v>57</v>
      </c>
      <c r="D1230" t="s">
        <v>219</v>
      </c>
      <c r="E1230" t="s">
        <v>220</v>
      </c>
      <c r="F1230">
        <v>61</v>
      </c>
      <c r="G1230" t="s">
        <v>24</v>
      </c>
      <c r="H1230" t="s">
        <v>2762</v>
      </c>
      <c r="I1230">
        <f>233-83-456-7890</f>
        <v>-8196</v>
      </c>
      <c r="J1230" s="1">
        <v>45373</v>
      </c>
      <c r="K1230" s="1">
        <v>45303</v>
      </c>
      <c r="L1230">
        <v>44200.6</v>
      </c>
      <c r="M1230">
        <v>17000.8</v>
      </c>
      <c r="N1230">
        <v>710</v>
      </c>
      <c r="O1230">
        <v>82000</v>
      </c>
      <c r="P1230" t="s">
        <v>36</v>
      </c>
      <c r="Q1230" t="s">
        <v>27</v>
      </c>
      <c r="R1230">
        <v>0</v>
      </c>
      <c r="S1230" t="s">
        <v>28</v>
      </c>
    </row>
    <row r="1231" spans="1:19">
      <c r="A1231" t="s">
        <v>533</v>
      </c>
      <c r="B1231" t="s">
        <v>2763</v>
      </c>
      <c r="C1231" t="s">
        <v>52</v>
      </c>
      <c r="D1231" t="s">
        <v>204</v>
      </c>
      <c r="E1231" t="s">
        <v>205</v>
      </c>
      <c r="F1231">
        <v>68</v>
      </c>
      <c r="G1231" t="s">
        <v>34</v>
      </c>
      <c r="H1231" t="s">
        <v>2764</v>
      </c>
      <c r="I1231">
        <f>7-921-876-54-32</f>
        <v>-1876</v>
      </c>
      <c r="J1231" s="1">
        <v>44673</v>
      </c>
      <c r="K1231" s="1">
        <v>45301</v>
      </c>
      <c r="L1231">
        <v>75500.25</v>
      </c>
      <c r="M1231">
        <v>48600.9</v>
      </c>
      <c r="N1231">
        <v>695</v>
      </c>
      <c r="O1231">
        <v>117000</v>
      </c>
      <c r="P1231" t="s">
        <v>26</v>
      </c>
      <c r="Q1231" t="s">
        <v>27</v>
      </c>
      <c r="R1231">
        <v>0</v>
      </c>
      <c r="S1231" t="s">
        <v>28</v>
      </c>
    </row>
    <row r="1232" spans="1:19">
      <c r="A1232" t="s">
        <v>536</v>
      </c>
      <c r="B1232" t="s">
        <v>2765</v>
      </c>
      <c r="C1232" t="s">
        <v>39</v>
      </c>
      <c r="D1232" t="s">
        <v>195</v>
      </c>
      <c r="E1232" t="s">
        <v>196</v>
      </c>
      <c r="F1232">
        <v>76</v>
      </c>
      <c r="G1232" t="s">
        <v>24</v>
      </c>
      <c r="H1232" t="s">
        <v>2766</v>
      </c>
      <c r="I1232">
        <f>353-15-345-6789</f>
        <v>-6796</v>
      </c>
      <c r="J1232" s="1">
        <v>44126</v>
      </c>
      <c r="K1232" s="1">
        <v>45300</v>
      </c>
      <c r="L1232">
        <v>148500.4</v>
      </c>
      <c r="M1232">
        <v>97000.6</v>
      </c>
      <c r="N1232">
        <v>670</v>
      </c>
      <c r="O1232">
        <v>184000</v>
      </c>
      <c r="P1232" t="s">
        <v>76</v>
      </c>
      <c r="Q1232" t="s">
        <v>27</v>
      </c>
      <c r="R1232">
        <v>0</v>
      </c>
      <c r="S1232" t="s">
        <v>28</v>
      </c>
    </row>
    <row r="1233" spans="1:19">
      <c r="A1233" t="s">
        <v>539</v>
      </c>
      <c r="B1233" t="s">
        <v>2767</v>
      </c>
      <c r="C1233" t="s">
        <v>21</v>
      </c>
      <c r="D1233" t="s">
        <v>58</v>
      </c>
      <c r="E1233" t="s">
        <v>59</v>
      </c>
      <c r="F1233">
        <v>84</v>
      </c>
      <c r="G1233" t="s">
        <v>34</v>
      </c>
      <c r="H1233" t="s">
        <v>2768</v>
      </c>
      <c r="I1233">
        <f>86-139-2345-6789</f>
        <v>-9187</v>
      </c>
      <c r="J1233" s="1">
        <v>43699</v>
      </c>
      <c r="K1233" s="1">
        <v>45299</v>
      </c>
      <c r="L1233">
        <v>315400.75</v>
      </c>
      <c r="M1233">
        <v>114000.8</v>
      </c>
      <c r="N1233">
        <v>835</v>
      </c>
      <c r="O1233">
        <v>329000</v>
      </c>
      <c r="P1233" t="s">
        <v>36</v>
      </c>
      <c r="Q1233" t="s">
        <v>27</v>
      </c>
      <c r="R1233">
        <v>0</v>
      </c>
      <c r="S1233" t="s">
        <v>28</v>
      </c>
    </row>
    <row r="1234" spans="1:19">
      <c r="A1234" t="s">
        <v>542</v>
      </c>
      <c r="B1234" t="s">
        <v>2769</v>
      </c>
      <c r="C1234" t="s">
        <v>52</v>
      </c>
      <c r="D1234" t="s">
        <v>68</v>
      </c>
      <c r="E1234" t="s">
        <v>114</v>
      </c>
      <c r="F1234">
        <v>71</v>
      </c>
      <c r="G1234" t="s">
        <v>34</v>
      </c>
      <c r="H1234" t="s">
        <v>2770</v>
      </c>
      <c r="I1234">
        <f>234-843-456-7890</f>
        <v>-8955</v>
      </c>
      <c r="J1234" s="1">
        <v>44642</v>
      </c>
      <c r="K1234" s="1">
        <v>45302</v>
      </c>
      <c r="L1234">
        <v>84200.6</v>
      </c>
      <c r="M1234">
        <v>54200.25</v>
      </c>
      <c r="N1234">
        <v>665</v>
      </c>
      <c r="O1234">
        <v>137000</v>
      </c>
      <c r="P1234" t="s">
        <v>26</v>
      </c>
      <c r="Q1234" t="s">
        <v>27</v>
      </c>
      <c r="R1234">
        <v>0</v>
      </c>
      <c r="S1234" t="s">
        <v>28</v>
      </c>
    </row>
    <row r="1235" spans="1:19">
      <c r="A1235" t="s">
        <v>545</v>
      </c>
      <c r="B1235" t="s">
        <v>2771</v>
      </c>
      <c r="C1235" t="s">
        <v>46</v>
      </c>
      <c r="D1235" t="s">
        <v>241</v>
      </c>
      <c r="E1235" t="s">
        <v>242</v>
      </c>
      <c r="F1235">
        <v>63</v>
      </c>
      <c r="G1235" t="s">
        <v>24</v>
      </c>
      <c r="H1235" t="s">
        <v>2772</v>
      </c>
      <c r="I1235">
        <f>39-377-123-4567</f>
        <v>-5028</v>
      </c>
      <c r="J1235" s="1">
        <v>45282</v>
      </c>
      <c r="K1235" s="1">
        <v>45303</v>
      </c>
      <c r="L1235">
        <v>107500.8</v>
      </c>
      <c r="M1235">
        <v>61700.4</v>
      </c>
      <c r="N1235">
        <v>750</v>
      </c>
      <c r="O1235">
        <v>163000</v>
      </c>
      <c r="P1235" t="s">
        <v>26</v>
      </c>
      <c r="Q1235" t="s">
        <v>27</v>
      </c>
      <c r="R1235">
        <v>0</v>
      </c>
      <c r="S1235" t="s">
        <v>28</v>
      </c>
    </row>
    <row r="1236" spans="1:19">
      <c r="A1236" t="s">
        <v>548</v>
      </c>
      <c r="B1236" t="s">
        <v>2773</v>
      </c>
      <c r="C1236" t="s">
        <v>57</v>
      </c>
      <c r="D1236" t="s">
        <v>22</v>
      </c>
      <c r="E1236" t="s">
        <v>282</v>
      </c>
      <c r="F1236">
        <v>59</v>
      </c>
      <c r="G1236" t="s">
        <v>34</v>
      </c>
      <c r="H1236" t="s">
        <v>2774</v>
      </c>
      <c r="I1236">
        <f>1-206-555-194</f>
        <v>-954</v>
      </c>
      <c r="J1236" s="1">
        <v>45465</v>
      </c>
      <c r="K1236" s="1">
        <v>45305</v>
      </c>
      <c r="L1236">
        <v>46400.9</v>
      </c>
      <c r="M1236">
        <v>18000.75</v>
      </c>
      <c r="N1236">
        <v>770</v>
      </c>
      <c r="O1236">
        <v>94000</v>
      </c>
      <c r="P1236" t="s">
        <v>36</v>
      </c>
      <c r="Q1236" t="s">
        <v>27</v>
      </c>
      <c r="R1236">
        <v>0</v>
      </c>
      <c r="S1236" t="s">
        <v>28</v>
      </c>
    </row>
    <row r="1237" spans="1:19">
      <c r="A1237" t="s">
        <v>551</v>
      </c>
      <c r="B1237" t="s">
        <v>2775</v>
      </c>
      <c r="C1237" t="s">
        <v>39</v>
      </c>
      <c r="D1237" t="s">
        <v>313</v>
      </c>
      <c r="E1237" t="s">
        <v>385</v>
      </c>
      <c r="F1237">
        <v>82</v>
      </c>
      <c r="G1237" t="s">
        <v>24</v>
      </c>
      <c r="H1237" t="s">
        <v>2776</v>
      </c>
      <c r="I1237">
        <f>92-329-9876543</f>
        <v>-9876780</v>
      </c>
      <c r="J1237" s="1">
        <v>43883</v>
      </c>
      <c r="K1237" s="1">
        <v>45299</v>
      </c>
      <c r="L1237">
        <v>201600.25</v>
      </c>
      <c r="M1237">
        <v>118000.8</v>
      </c>
      <c r="N1237">
        <v>645</v>
      </c>
      <c r="O1237">
        <v>234000</v>
      </c>
      <c r="P1237" t="s">
        <v>76</v>
      </c>
      <c r="Q1237" t="s">
        <v>27</v>
      </c>
      <c r="R1237">
        <v>0</v>
      </c>
      <c r="S1237" t="s">
        <v>28</v>
      </c>
    </row>
    <row r="1238" spans="1:19">
      <c r="A1238" t="s">
        <v>554</v>
      </c>
      <c r="B1238" t="s">
        <v>2777</v>
      </c>
      <c r="C1238" t="s">
        <v>31</v>
      </c>
      <c r="D1238" t="s">
        <v>214</v>
      </c>
      <c r="E1238" t="s">
        <v>215</v>
      </c>
      <c r="F1238">
        <v>55</v>
      </c>
      <c r="G1238" t="s">
        <v>34</v>
      </c>
      <c r="H1238" t="s">
        <v>2778</v>
      </c>
      <c r="I1238">
        <f>34-652-345-678</f>
        <v>-1641</v>
      </c>
      <c r="J1238" s="1">
        <v>45593</v>
      </c>
      <c r="K1238" s="1">
        <v>45306</v>
      </c>
      <c r="L1238">
        <v>39200.5</v>
      </c>
      <c r="M1238">
        <v>17600.400000000001</v>
      </c>
      <c r="N1238">
        <v>720</v>
      </c>
      <c r="O1238">
        <v>71000</v>
      </c>
      <c r="P1238" t="s">
        <v>36</v>
      </c>
      <c r="Q1238" t="s">
        <v>27</v>
      </c>
      <c r="R1238">
        <v>0</v>
      </c>
      <c r="S1238" t="s">
        <v>28</v>
      </c>
    </row>
    <row r="1239" spans="1:19">
      <c r="A1239" t="s">
        <v>108</v>
      </c>
      <c r="B1239" t="s">
        <v>2779</v>
      </c>
      <c r="C1239" t="s">
        <v>84</v>
      </c>
      <c r="D1239" t="s">
        <v>32</v>
      </c>
      <c r="E1239" t="s">
        <v>33</v>
      </c>
      <c r="F1239">
        <v>51</v>
      </c>
      <c r="G1239" t="s">
        <v>24</v>
      </c>
      <c r="H1239" t="s">
        <v>2780</v>
      </c>
      <c r="I1239">
        <f>81-90-5678-9012</f>
        <v>-14699</v>
      </c>
      <c r="J1239" s="1">
        <v>45593</v>
      </c>
      <c r="K1239" s="1">
        <v>45304</v>
      </c>
      <c r="L1239">
        <v>4750.8</v>
      </c>
      <c r="M1239">
        <v>14400.25</v>
      </c>
      <c r="N1239">
        <v>605</v>
      </c>
      <c r="O1239">
        <v>47000</v>
      </c>
      <c r="P1239" t="s">
        <v>76</v>
      </c>
      <c r="Q1239" t="s">
        <v>43</v>
      </c>
      <c r="R1239">
        <v>0</v>
      </c>
      <c r="S1239" t="s">
        <v>28</v>
      </c>
    </row>
    <row r="1240" spans="1:19">
      <c r="A1240" t="s">
        <v>559</v>
      </c>
      <c r="B1240" t="s">
        <v>2781</v>
      </c>
      <c r="C1240" t="s">
        <v>46</v>
      </c>
      <c r="D1240" t="s">
        <v>254</v>
      </c>
      <c r="E1240" t="s">
        <v>255</v>
      </c>
      <c r="F1240">
        <v>65</v>
      </c>
      <c r="G1240" t="s">
        <v>34</v>
      </c>
      <c r="H1240" t="s">
        <v>2782</v>
      </c>
      <c r="I1240">
        <f>221-7-123-4567</f>
        <v>-4476</v>
      </c>
      <c r="J1240" s="1">
        <v>45160</v>
      </c>
      <c r="K1240" s="1">
        <v>45302</v>
      </c>
      <c r="L1240">
        <v>94200.4</v>
      </c>
      <c r="M1240">
        <v>56400.75</v>
      </c>
      <c r="N1240">
        <v>710</v>
      </c>
      <c r="O1240">
        <v>145000</v>
      </c>
      <c r="P1240" t="s">
        <v>26</v>
      </c>
      <c r="Q1240" t="s">
        <v>27</v>
      </c>
      <c r="R1240">
        <v>0</v>
      </c>
      <c r="S1240" t="s">
        <v>28</v>
      </c>
    </row>
    <row r="1241" spans="1:19">
      <c r="A1241" t="s">
        <v>562</v>
      </c>
      <c r="B1241" t="s">
        <v>2783</v>
      </c>
      <c r="C1241" t="s">
        <v>39</v>
      </c>
      <c r="D1241" t="s">
        <v>47</v>
      </c>
      <c r="E1241" t="s">
        <v>48</v>
      </c>
      <c r="F1241">
        <v>79</v>
      </c>
      <c r="G1241" t="s">
        <v>24</v>
      </c>
      <c r="H1241" t="s">
        <v>2784</v>
      </c>
      <c r="I1241">
        <f>44-79-4567-8901</f>
        <v>-13503</v>
      </c>
      <c r="J1241" s="1">
        <v>44034</v>
      </c>
      <c r="K1241" s="1">
        <v>45300</v>
      </c>
      <c r="L1241">
        <v>181800.6</v>
      </c>
      <c r="M1241">
        <v>111000.25</v>
      </c>
      <c r="N1241">
        <v>675</v>
      </c>
      <c r="O1241">
        <v>214000</v>
      </c>
      <c r="P1241" t="s">
        <v>76</v>
      </c>
      <c r="Q1241" t="s">
        <v>27</v>
      </c>
      <c r="R1241">
        <v>0</v>
      </c>
      <c r="S1241" t="s">
        <v>28</v>
      </c>
    </row>
    <row r="1242" spans="1:19">
      <c r="A1242" t="s">
        <v>565</v>
      </c>
      <c r="B1242" t="s">
        <v>2785</v>
      </c>
      <c r="C1242" t="s">
        <v>52</v>
      </c>
      <c r="D1242" t="s">
        <v>233</v>
      </c>
      <c r="E1242" t="s">
        <v>234</v>
      </c>
      <c r="F1242">
        <v>64</v>
      </c>
      <c r="G1242" t="s">
        <v>34</v>
      </c>
      <c r="H1242" t="s">
        <v>2786</v>
      </c>
      <c r="I1242">
        <f>82-10-3456-7890</f>
        <v>-11274</v>
      </c>
      <c r="J1242" s="1">
        <v>44948</v>
      </c>
      <c r="K1242" s="1">
        <v>45301</v>
      </c>
      <c r="L1242">
        <v>70600.75</v>
      </c>
      <c r="M1242">
        <v>47500.800000000003</v>
      </c>
      <c r="N1242">
        <v>725</v>
      </c>
      <c r="O1242">
        <v>111000</v>
      </c>
      <c r="P1242" t="s">
        <v>26</v>
      </c>
      <c r="Q1242" t="s">
        <v>27</v>
      </c>
      <c r="R1242">
        <v>0</v>
      </c>
      <c r="S1242" t="s">
        <v>28</v>
      </c>
    </row>
    <row r="1243" spans="1:19">
      <c r="A1243" t="s">
        <v>568</v>
      </c>
      <c r="B1243" t="s">
        <v>2787</v>
      </c>
      <c r="C1243" t="s">
        <v>57</v>
      </c>
      <c r="D1243" t="s">
        <v>79</v>
      </c>
      <c r="E1243" t="s">
        <v>80</v>
      </c>
      <c r="F1243">
        <v>62</v>
      </c>
      <c r="G1243" t="s">
        <v>24</v>
      </c>
      <c r="H1243" t="s">
        <v>2788</v>
      </c>
      <c r="I1243">
        <f>971-50-567-8901</f>
        <v>-8547</v>
      </c>
      <c r="J1243" s="1">
        <v>45404</v>
      </c>
      <c r="K1243" s="1">
        <v>45303</v>
      </c>
      <c r="L1243">
        <v>48600.4</v>
      </c>
      <c r="M1243">
        <v>18800.900000000001</v>
      </c>
      <c r="N1243">
        <v>740</v>
      </c>
      <c r="O1243">
        <v>97000</v>
      </c>
      <c r="P1243" t="s">
        <v>36</v>
      </c>
      <c r="Q1243" t="s">
        <v>27</v>
      </c>
      <c r="R1243">
        <v>0</v>
      </c>
      <c r="S1243" t="s">
        <v>28</v>
      </c>
    </row>
    <row r="1244" spans="1:19">
      <c r="A1244" t="s">
        <v>571</v>
      </c>
      <c r="B1244" t="s">
        <v>2789</v>
      </c>
      <c r="C1244" t="s">
        <v>21</v>
      </c>
      <c r="D1244" t="s">
        <v>63</v>
      </c>
      <c r="E1244" t="s">
        <v>64</v>
      </c>
      <c r="F1244">
        <v>85</v>
      </c>
      <c r="G1244" t="s">
        <v>34</v>
      </c>
      <c r="H1244" t="s">
        <v>2790</v>
      </c>
      <c r="I1244">
        <f>55-11-99967-8901</f>
        <v>-108824</v>
      </c>
      <c r="J1244" s="1">
        <v>43577</v>
      </c>
      <c r="K1244" s="1">
        <v>45299</v>
      </c>
      <c r="L1244">
        <v>270700.90000000002</v>
      </c>
      <c r="M1244">
        <v>101000.6</v>
      </c>
      <c r="N1244">
        <v>830</v>
      </c>
      <c r="O1244">
        <v>309000</v>
      </c>
      <c r="P1244" t="s">
        <v>36</v>
      </c>
      <c r="Q1244" t="s">
        <v>27</v>
      </c>
      <c r="R1244">
        <v>0</v>
      </c>
      <c r="S1244" t="s">
        <v>28</v>
      </c>
    </row>
    <row r="1245" spans="1:19">
      <c r="A1245" t="s">
        <v>574</v>
      </c>
      <c r="B1245" t="s">
        <v>2791</v>
      </c>
      <c r="C1245" t="s">
        <v>39</v>
      </c>
      <c r="D1245" t="s">
        <v>68</v>
      </c>
      <c r="E1245" t="s">
        <v>179</v>
      </c>
      <c r="F1245">
        <v>77</v>
      </c>
      <c r="G1245" t="s">
        <v>24</v>
      </c>
      <c r="H1245" t="s">
        <v>2792</v>
      </c>
      <c r="I1245">
        <f>234-844-567-8901</f>
        <v>-10078</v>
      </c>
      <c r="J1245" s="1">
        <v>44177</v>
      </c>
      <c r="K1245" s="1">
        <v>45300</v>
      </c>
      <c r="L1245">
        <v>159600.25</v>
      </c>
      <c r="M1245">
        <v>103000.4</v>
      </c>
      <c r="N1245">
        <v>655</v>
      </c>
      <c r="O1245">
        <v>199000</v>
      </c>
      <c r="P1245" t="s">
        <v>76</v>
      </c>
      <c r="Q1245" t="s">
        <v>27</v>
      </c>
      <c r="R1245">
        <v>0</v>
      </c>
      <c r="S1245" t="s">
        <v>28</v>
      </c>
    </row>
    <row r="1246" spans="1:19">
      <c r="A1246" t="s">
        <v>577</v>
      </c>
      <c r="B1246" t="s">
        <v>2793</v>
      </c>
      <c r="C1246" t="s">
        <v>46</v>
      </c>
      <c r="D1246" t="s">
        <v>85</v>
      </c>
      <c r="E1246" t="s">
        <v>86</v>
      </c>
      <c r="F1246">
        <v>66</v>
      </c>
      <c r="G1246" t="s">
        <v>34</v>
      </c>
      <c r="H1246" t="s">
        <v>2794</v>
      </c>
      <c r="I1246">
        <f>1-647-555-198</f>
        <v>-1399</v>
      </c>
      <c r="J1246" s="1">
        <v>45068</v>
      </c>
      <c r="K1246" s="1">
        <v>45302</v>
      </c>
      <c r="L1246">
        <v>113100.6</v>
      </c>
      <c r="M1246">
        <v>64400.75</v>
      </c>
      <c r="N1246">
        <v>760</v>
      </c>
      <c r="O1246">
        <v>168000</v>
      </c>
      <c r="P1246" t="s">
        <v>26</v>
      </c>
      <c r="Q1246" t="s">
        <v>27</v>
      </c>
      <c r="R1246">
        <v>0</v>
      </c>
      <c r="S1246" t="s">
        <v>28</v>
      </c>
    </row>
    <row r="1247" spans="1:19">
      <c r="A1247" t="s">
        <v>458</v>
      </c>
      <c r="B1247" t="s">
        <v>2795</v>
      </c>
      <c r="C1247" t="s">
        <v>31</v>
      </c>
      <c r="D1247" t="s">
        <v>460</v>
      </c>
      <c r="E1247" t="s">
        <v>461</v>
      </c>
      <c r="F1247">
        <v>57</v>
      </c>
      <c r="G1247" t="s">
        <v>24</v>
      </c>
      <c r="H1247" t="s">
        <v>2796</v>
      </c>
      <c r="I1247">
        <f>62-841-2345-6789</f>
        <v>-9913</v>
      </c>
      <c r="J1247" s="1">
        <v>45593</v>
      </c>
      <c r="K1247" s="1">
        <v>45306</v>
      </c>
      <c r="L1247">
        <v>22900.25</v>
      </c>
      <c r="M1247">
        <v>13600.8</v>
      </c>
      <c r="N1247">
        <v>695</v>
      </c>
      <c r="O1247">
        <v>68000</v>
      </c>
      <c r="P1247" t="s">
        <v>26</v>
      </c>
      <c r="Q1247" t="s">
        <v>43</v>
      </c>
      <c r="R1247">
        <v>0</v>
      </c>
      <c r="S1247" t="s">
        <v>28</v>
      </c>
    </row>
    <row r="1248" spans="1:19">
      <c r="A1248" t="s">
        <v>582</v>
      </c>
      <c r="B1248" t="s">
        <v>2797</v>
      </c>
      <c r="C1248" t="s">
        <v>57</v>
      </c>
      <c r="D1248" t="s">
        <v>22</v>
      </c>
      <c r="E1248" t="s">
        <v>53</v>
      </c>
      <c r="F1248">
        <v>60</v>
      </c>
      <c r="G1248" t="s">
        <v>34</v>
      </c>
      <c r="H1248" t="s">
        <v>2798</v>
      </c>
      <c r="I1248">
        <f>1-773-555-194</f>
        <v>-1521</v>
      </c>
      <c r="J1248" s="1">
        <v>45344</v>
      </c>
      <c r="K1248" s="1">
        <v>45303</v>
      </c>
      <c r="L1248">
        <v>47500.9</v>
      </c>
      <c r="M1248">
        <v>18400.25</v>
      </c>
      <c r="N1248">
        <v>755</v>
      </c>
      <c r="O1248">
        <v>90000</v>
      </c>
      <c r="P1248" t="s">
        <v>36</v>
      </c>
      <c r="Q1248" t="s">
        <v>27</v>
      </c>
      <c r="R1248">
        <v>0</v>
      </c>
      <c r="S1248" t="s">
        <v>28</v>
      </c>
    </row>
    <row r="1249" spans="1:19">
      <c r="A1249" t="s">
        <v>55</v>
      </c>
      <c r="B1249" t="s">
        <v>2799</v>
      </c>
      <c r="C1249" t="s">
        <v>39</v>
      </c>
      <c r="D1249" t="s">
        <v>58</v>
      </c>
      <c r="E1249" t="s">
        <v>122</v>
      </c>
      <c r="F1249">
        <v>78</v>
      </c>
      <c r="G1249" t="s">
        <v>24</v>
      </c>
      <c r="H1249" t="s">
        <v>2800</v>
      </c>
      <c r="I1249">
        <f>86-138-6789-123</f>
        <v>-6964</v>
      </c>
      <c r="J1249" s="1">
        <v>44096</v>
      </c>
      <c r="K1249" s="1">
        <v>45300</v>
      </c>
      <c r="L1249">
        <v>192500.4</v>
      </c>
      <c r="M1249">
        <v>116000.75</v>
      </c>
      <c r="N1249">
        <v>685</v>
      </c>
      <c r="O1249">
        <v>224000</v>
      </c>
      <c r="P1249" t="s">
        <v>76</v>
      </c>
      <c r="Q1249" t="s">
        <v>27</v>
      </c>
      <c r="R1249">
        <v>0</v>
      </c>
      <c r="S1249" t="s">
        <v>28</v>
      </c>
    </row>
    <row r="1250" spans="1:19">
      <c r="A1250" t="s">
        <v>469</v>
      </c>
      <c r="B1250" t="s">
        <v>2801</v>
      </c>
      <c r="C1250" t="s">
        <v>52</v>
      </c>
      <c r="D1250" t="s">
        <v>471</v>
      </c>
      <c r="E1250" t="s">
        <v>472</v>
      </c>
      <c r="F1250">
        <v>69</v>
      </c>
      <c r="G1250" t="s">
        <v>34</v>
      </c>
      <c r="H1250" t="s">
        <v>2802</v>
      </c>
      <c r="I1250">
        <f>48-729-123-456</f>
        <v>-1260</v>
      </c>
      <c r="J1250" s="1">
        <v>44734</v>
      </c>
      <c r="K1250" s="1">
        <v>45301</v>
      </c>
      <c r="L1250">
        <v>77500.800000000003</v>
      </c>
      <c r="M1250">
        <v>50600.6</v>
      </c>
      <c r="N1250">
        <v>715</v>
      </c>
      <c r="O1250">
        <v>123000</v>
      </c>
      <c r="P1250" t="s">
        <v>26</v>
      </c>
      <c r="Q1250" t="s">
        <v>27</v>
      </c>
      <c r="R1250">
        <v>0</v>
      </c>
      <c r="S1250" t="s">
        <v>28</v>
      </c>
    </row>
    <row r="1251" spans="1:19">
      <c r="A1251" t="s">
        <v>474</v>
      </c>
      <c r="B1251" t="s">
        <v>2803</v>
      </c>
      <c r="C1251" t="s">
        <v>46</v>
      </c>
      <c r="D1251" t="s">
        <v>345</v>
      </c>
      <c r="E1251" t="s">
        <v>476</v>
      </c>
      <c r="F1251">
        <v>72</v>
      </c>
      <c r="G1251" t="s">
        <v>24</v>
      </c>
      <c r="H1251" t="s">
        <v>2804</v>
      </c>
      <c r="I1251">
        <f>880-1812-345678</f>
        <v>-346610</v>
      </c>
      <c r="J1251" s="1">
        <v>44642</v>
      </c>
      <c r="K1251" s="1">
        <v>45302</v>
      </c>
      <c r="L1251">
        <v>105300.25</v>
      </c>
      <c r="M1251">
        <v>60600.4</v>
      </c>
      <c r="N1251">
        <v>680</v>
      </c>
      <c r="O1251">
        <v>152000</v>
      </c>
      <c r="P1251" t="s">
        <v>26</v>
      </c>
      <c r="Q1251" t="s">
        <v>27</v>
      </c>
      <c r="R1251">
        <v>0</v>
      </c>
      <c r="S1251" t="s">
        <v>28</v>
      </c>
    </row>
    <row r="1252" spans="1:19">
      <c r="A1252" t="s">
        <v>592</v>
      </c>
      <c r="B1252" t="s">
        <v>2805</v>
      </c>
      <c r="C1252" t="s">
        <v>84</v>
      </c>
      <c r="D1252" t="s">
        <v>32</v>
      </c>
      <c r="E1252" t="s">
        <v>90</v>
      </c>
      <c r="F1252">
        <v>52</v>
      </c>
      <c r="G1252" t="s">
        <v>34</v>
      </c>
      <c r="H1252" t="s">
        <v>2806</v>
      </c>
      <c r="I1252">
        <f>81-90-6789-123</f>
        <v>-6921</v>
      </c>
      <c r="J1252" s="1">
        <v>45601</v>
      </c>
      <c r="K1252" s="1">
        <v>45304</v>
      </c>
      <c r="L1252">
        <v>4850.3999999999996</v>
      </c>
      <c r="M1252">
        <v>15000.75</v>
      </c>
      <c r="N1252">
        <v>610</v>
      </c>
      <c r="O1252">
        <v>48000</v>
      </c>
      <c r="P1252" t="s">
        <v>76</v>
      </c>
      <c r="Q1252" t="s">
        <v>43</v>
      </c>
      <c r="R1252">
        <v>0</v>
      </c>
      <c r="S1252" t="s">
        <v>28</v>
      </c>
    </row>
    <row r="1253" spans="1:19">
      <c r="A1253" t="s">
        <v>595</v>
      </c>
      <c r="B1253" t="s">
        <v>2807</v>
      </c>
      <c r="C1253" t="s">
        <v>21</v>
      </c>
      <c r="D1253" t="s">
        <v>209</v>
      </c>
      <c r="E1253" t="s">
        <v>210</v>
      </c>
      <c r="F1253">
        <v>84</v>
      </c>
      <c r="G1253" t="s">
        <v>24</v>
      </c>
      <c r="H1253" t="s">
        <v>2808</v>
      </c>
      <c r="I1253">
        <f>52-55-3456-123</f>
        <v>-3582</v>
      </c>
      <c r="J1253" s="1">
        <v>43791</v>
      </c>
      <c r="K1253" s="1">
        <v>45299</v>
      </c>
      <c r="L1253">
        <v>290500.8</v>
      </c>
      <c r="M1253">
        <v>107000.25</v>
      </c>
      <c r="N1253">
        <v>825</v>
      </c>
      <c r="O1253">
        <v>304000</v>
      </c>
      <c r="P1253" t="s">
        <v>36</v>
      </c>
      <c r="Q1253" t="s">
        <v>27</v>
      </c>
      <c r="R1253">
        <v>0</v>
      </c>
      <c r="S1253" t="s">
        <v>28</v>
      </c>
    </row>
    <row r="1254" spans="1:19">
      <c r="A1254" t="s">
        <v>226</v>
      </c>
      <c r="B1254" t="s">
        <v>2809</v>
      </c>
      <c r="C1254" t="s">
        <v>57</v>
      </c>
      <c r="D1254" t="s">
        <v>228</v>
      </c>
      <c r="E1254" t="s">
        <v>229</v>
      </c>
      <c r="F1254">
        <v>59</v>
      </c>
      <c r="G1254" t="s">
        <v>34</v>
      </c>
      <c r="H1254" t="s">
        <v>2810</v>
      </c>
      <c r="I1254">
        <f>254-753-456-789</f>
        <v>-1744</v>
      </c>
      <c r="J1254" s="1">
        <v>45526</v>
      </c>
      <c r="K1254" s="1">
        <v>45305</v>
      </c>
      <c r="L1254">
        <v>44200.75</v>
      </c>
      <c r="M1254">
        <v>16800.400000000001</v>
      </c>
      <c r="N1254">
        <v>725</v>
      </c>
      <c r="O1254">
        <v>80000</v>
      </c>
      <c r="P1254" t="s">
        <v>36</v>
      </c>
      <c r="Q1254" t="s">
        <v>27</v>
      </c>
      <c r="R1254">
        <v>0</v>
      </c>
      <c r="S1254" t="s">
        <v>28</v>
      </c>
    </row>
    <row r="1255" spans="1:19">
      <c r="A1255" t="s">
        <v>488</v>
      </c>
      <c r="B1255" t="s">
        <v>2811</v>
      </c>
      <c r="C1255" t="s">
        <v>39</v>
      </c>
      <c r="D1255" t="s">
        <v>304</v>
      </c>
      <c r="E1255" t="s">
        <v>304</v>
      </c>
      <c r="F1255">
        <v>76</v>
      </c>
      <c r="G1255" t="s">
        <v>24</v>
      </c>
      <c r="H1255" t="s">
        <v>2812</v>
      </c>
      <c r="I1255">
        <f>65-1290-1234</f>
        <v>-2459</v>
      </c>
      <c r="J1255" s="1">
        <v>44267</v>
      </c>
      <c r="K1255" s="1">
        <v>45300</v>
      </c>
      <c r="L1255">
        <v>170700.6</v>
      </c>
      <c r="M1255">
        <v>107000.9</v>
      </c>
      <c r="N1255">
        <v>675</v>
      </c>
      <c r="O1255">
        <v>204000</v>
      </c>
      <c r="P1255" t="s">
        <v>76</v>
      </c>
      <c r="Q1255" t="s">
        <v>27</v>
      </c>
      <c r="R1255">
        <v>0</v>
      </c>
      <c r="S1255" t="s">
        <v>28</v>
      </c>
    </row>
    <row r="1256" spans="1:19">
      <c r="A1256" t="s">
        <v>491</v>
      </c>
      <c r="B1256" t="s">
        <v>2813</v>
      </c>
      <c r="C1256" t="s">
        <v>52</v>
      </c>
      <c r="D1256" t="s">
        <v>493</v>
      </c>
      <c r="E1256" t="s">
        <v>494</v>
      </c>
      <c r="F1256">
        <v>67</v>
      </c>
      <c r="G1256" t="s">
        <v>34</v>
      </c>
      <c r="H1256" t="s">
        <v>2814</v>
      </c>
      <c r="I1256">
        <f>30-721-234-5678</f>
        <v>-6603</v>
      </c>
      <c r="J1256" s="1">
        <v>45038</v>
      </c>
      <c r="K1256" s="1">
        <v>45302</v>
      </c>
      <c r="L1256">
        <v>71700.399999999994</v>
      </c>
      <c r="M1256">
        <v>46400.25</v>
      </c>
      <c r="N1256">
        <v>705</v>
      </c>
      <c r="O1256">
        <v>112000</v>
      </c>
      <c r="P1256" t="s">
        <v>26</v>
      </c>
      <c r="Q1256" t="s">
        <v>27</v>
      </c>
      <c r="R1256">
        <v>0</v>
      </c>
      <c r="S1256" t="s">
        <v>28</v>
      </c>
    </row>
    <row r="1257" spans="1:19">
      <c r="A1257" t="s">
        <v>496</v>
      </c>
      <c r="B1257" t="s">
        <v>2815</v>
      </c>
      <c r="C1257" t="s">
        <v>46</v>
      </c>
      <c r="D1257" t="s">
        <v>321</v>
      </c>
      <c r="E1257" t="s">
        <v>322</v>
      </c>
      <c r="F1257">
        <v>70</v>
      </c>
      <c r="G1257" t="s">
        <v>24</v>
      </c>
      <c r="H1257" t="s">
        <v>2816</v>
      </c>
      <c r="I1257">
        <f>61-453-456-789</f>
        <v>-1637</v>
      </c>
      <c r="J1257" s="1">
        <v>44522</v>
      </c>
      <c r="K1257" s="1">
        <v>45301</v>
      </c>
      <c r="L1257">
        <v>117100.75</v>
      </c>
      <c r="M1257">
        <v>67500.800000000003</v>
      </c>
      <c r="N1257">
        <v>730</v>
      </c>
      <c r="O1257">
        <v>178000</v>
      </c>
      <c r="P1257" t="s">
        <v>26</v>
      </c>
      <c r="Q1257" t="s">
        <v>27</v>
      </c>
      <c r="R1257">
        <v>0</v>
      </c>
      <c r="S1257" t="s">
        <v>28</v>
      </c>
    </row>
    <row r="1258" spans="1:19">
      <c r="A1258" t="s">
        <v>324</v>
      </c>
      <c r="B1258" t="s">
        <v>2817</v>
      </c>
      <c r="C1258" t="s">
        <v>31</v>
      </c>
      <c r="D1258" t="s">
        <v>313</v>
      </c>
      <c r="E1258" t="s">
        <v>501</v>
      </c>
      <c r="F1258">
        <v>55</v>
      </c>
      <c r="G1258" t="s">
        <v>34</v>
      </c>
      <c r="H1258" t="s">
        <v>2818</v>
      </c>
      <c r="I1258">
        <f>92-351-8765432</f>
        <v>-8765691</v>
      </c>
      <c r="J1258" s="1">
        <v>45593</v>
      </c>
      <c r="K1258" s="1">
        <v>45306</v>
      </c>
      <c r="L1258">
        <v>19400.900000000001</v>
      </c>
      <c r="M1258">
        <v>11100.75</v>
      </c>
      <c r="N1258">
        <v>685</v>
      </c>
      <c r="O1258">
        <v>65000</v>
      </c>
      <c r="P1258" t="s">
        <v>26</v>
      </c>
      <c r="Q1258" t="s">
        <v>43</v>
      </c>
      <c r="R1258">
        <v>0</v>
      </c>
      <c r="S1258" t="s">
        <v>28</v>
      </c>
    </row>
    <row r="1259" spans="1:19">
      <c r="A1259" t="s">
        <v>503</v>
      </c>
      <c r="B1259" t="s">
        <v>2819</v>
      </c>
      <c r="C1259" t="s">
        <v>21</v>
      </c>
      <c r="D1259" t="s">
        <v>32</v>
      </c>
      <c r="E1259" t="s">
        <v>33</v>
      </c>
      <c r="F1259">
        <v>87</v>
      </c>
      <c r="G1259" t="s">
        <v>24</v>
      </c>
      <c r="H1259" t="s">
        <v>2820</v>
      </c>
      <c r="I1259">
        <f>81-80-1234-5678</f>
        <v>-6911</v>
      </c>
      <c r="J1259" s="1">
        <v>43518</v>
      </c>
      <c r="K1259" s="1">
        <v>45299</v>
      </c>
      <c r="L1259">
        <v>301400.25</v>
      </c>
      <c r="M1259">
        <v>111000.4</v>
      </c>
      <c r="N1259">
        <v>840</v>
      </c>
      <c r="O1259">
        <v>319000</v>
      </c>
      <c r="P1259" t="s">
        <v>36</v>
      </c>
      <c r="Q1259" t="s">
        <v>27</v>
      </c>
      <c r="R1259">
        <v>0</v>
      </c>
      <c r="S1259" t="s">
        <v>28</v>
      </c>
    </row>
    <row r="1260" spans="1:19">
      <c r="A1260" t="s">
        <v>506</v>
      </c>
      <c r="B1260" t="s">
        <v>2821</v>
      </c>
      <c r="C1260" t="s">
        <v>39</v>
      </c>
      <c r="D1260" t="s">
        <v>68</v>
      </c>
      <c r="E1260" t="s">
        <v>69</v>
      </c>
      <c r="F1260">
        <v>79</v>
      </c>
      <c r="G1260" t="s">
        <v>34</v>
      </c>
      <c r="H1260" t="s">
        <v>2822</v>
      </c>
      <c r="I1260">
        <f>234-843-456-7890</f>
        <v>-8955</v>
      </c>
      <c r="J1260" s="1">
        <v>44034</v>
      </c>
      <c r="K1260" s="1">
        <v>45300</v>
      </c>
      <c r="L1260">
        <v>181800.4</v>
      </c>
      <c r="M1260">
        <v>111000.75</v>
      </c>
      <c r="N1260">
        <v>650</v>
      </c>
      <c r="O1260">
        <v>214000</v>
      </c>
      <c r="P1260" t="s">
        <v>76</v>
      </c>
      <c r="Q1260" t="s">
        <v>27</v>
      </c>
      <c r="R1260">
        <v>0</v>
      </c>
      <c r="S1260" t="s">
        <v>28</v>
      </c>
    </row>
    <row r="1261" spans="1:19">
      <c r="A1261" t="s">
        <v>509</v>
      </c>
      <c r="B1261" t="s">
        <v>2823</v>
      </c>
      <c r="C1261" t="s">
        <v>46</v>
      </c>
      <c r="D1261" t="s">
        <v>73</v>
      </c>
      <c r="E1261" t="s">
        <v>158</v>
      </c>
      <c r="F1261">
        <v>66</v>
      </c>
      <c r="G1261" t="s">
        <v>24</v>
      </c>
      <c r="H1261" t="s">
        <v>2824</v>
      </c>
      <c r="I1261">
        <f>49-205-6789012</f>
        <v>-6789168</v>
      </c>
      <c r="J1261" s="1">
        <v>45252</v>
      </c>
      <c r="K1261" s="1">
        <v>45303</v>
      </c>
      <c r="L1261">
        <v>105900.4</v>
      </c>
      <c r="M1261">
        <v>61700.25</v>
      </c>
      <c r="N1261">
        <v>745</v>
      </c>
      <c r="O1261">
        <v>158000</v>
      </c>
      <c r="P1261" t="s">
        <v>26</v>
      </c>
      <c r="Q1261" t="s">
        <v>27</v>
      </c>
      <c r="R1261">
        <v>0</v>
      </c>
      <c r="S1261" t="s">
        <v>28</v>
      </c>
    </row>
    <row r="1262" spans="1:19">
      <c r="A1262" t="s">
        <v>513</v>
      </c>
      <c r="B1262" t="s">
        <v>2825</v>
      </c>
      <c r="C1262" t="s">
        <v>57</v>
      </c>
      <c r="D1262" t="s">
        <v>58</v>
      </c>
      <c r="E1262" t="s">
        <v>59</v>
      </c>
      <c r="F1262">
        <v>61</v>
      </c>
      <c r="G1262" t="s">
        <v>34</v>
      </c>
      <c r="H1262" t="s">
        <v>2826</v>
      </c>
      <c r="I1262">
        <f>86-137-6789-123</f>
        <v>-6963</v>
      </c>
      <c r="J1262" s="1">
        <v>45434</v>
      </c>
      <c r="K1262" s="1">
        <v>45302</v>
      </c>
      <c r="L1262">
        <v>46400.800000000003</v>
      </c>
      <c r="M1262">
        <v>18000.900000000001</v>
      </c>
      <c r="N1262">
        <v>765</v>
      </c>
      <c r="O1262">
        <v>90000</v>
      </c>
      <c r="P1262" t="s">
        <v>36</v>
      </c>
      <c r="Q1262" t="s">
        <v>27</v>
      </c>
      <c r="R1262">
        <v>0</v>
      </c>
      <c r="S1262" t="s">
        <v>28</v>
      </c>
    </row>
    <row r="1263" spans="1:19">
      <c r="A1263" t="s">
        <v>516</v>
      </c>
      <c r="B1263" t="s">
        <v>2827</v>
      </c>
      <c r="C1263" t="s">
        <v>52</v>
      </c>
      <c r="D1263" t="s">
        <v>277</v>
      </c>
      <c r="E1263" t="s">
        <v>404</v>
      </c>
      <c r="F1263">
        <v>74</v>
      </c>
      <c r="G1263" t="s">
        <v>24</v>
      </c>
      <c r="H1263" t="s">
        <v>2828</v>
      </c>
      <c r="I1263">
        <f>20-122-987-6543</f>
        <v>-7632</v>
      </c>
      <c r="J1263" s="1">
        <v>44703</v>
      </c>
      <c r="K1263" s="1">
        <v>45301</v>
      </c>
      <c r="L1263">
        <v>79700.75</v>
      </c>
      <c r="M1263">
        <v>52800.4</v>
      </c>
      <c r="N1263">
        <v>675</v>
      </c>
      <c r="O1263">
        <v>130000</v>
      </c>
      <c r="P1263" t="s">
        <v>26</v>
      </c>
      <c r="Q1263" t="s">
        <v>27</v>
      </c>
      <c r="R1263">
        <v>0</v>
      </c>
      <c r="S1263" t="s">
        <v>28</v>
      </c>
    </row>
    <row r="1264" spans="1:19">
      <c r="A1264" t="s">
        <v>519</v>
      </c>
      <c r="B1264" t="s">
        <v>2829</v>
      </c>
      <c r="C1264" t="s">
        <v>84</v>
      </c>
      <c r="D1264" t="s">
        <v>183</v>
      </c>
      <c r="E1264" t="s">
        <v>184</v>
      </c>
      <c r="F1264">
        <v>53</v>
      </c>
      <c r="G1264" t="s">
        <v>34</v>
      </c>
      <c r="H1264" t="s">
        <v>2830</v>
      </c>
      <c r="I1264">
        <f>33-6-3456-7890</f>
        <v>-11319</v>
      </c>
      <c r="J1264" s="1">
        <v>45608</v>
      </c>
      <c r="K1264" s="1">
        <v>45304</v>
      </c>
      <c r="L1264">
        <v>5100.25</v>
      </c>
      <c r="M1264">
        <v>16200.6</v>
      </c>
      <c r="N1264">
        <v>615</v>
      </c>
      <c r="O1264">
        <v>50000</v>
      </c>
      <c r="P1264" t="s">
        <v>76</v>
      </c>
      <c r="Q1264" t="s">
        <v>43</v>
      </c>
      <c r="R1264">
        <v>0</v>
      </c>
      <c r="S1264" t="s">
        <v>28</v>
      </c>
    </row>
    <row r="1265" spans="1:19">
      <c r="A1265" t="s">
        <v>522</v>
      </c>
      <c r="B1265" t="s">
        <v>2831</v>
      </c>
      <c r="C1265" t="s">
        <v>39</v>
      </c>
      <c r="D1265" t="s">
        <v>40</v>
      </c>
      <c r="E1265" t="s">
        <v>94</v>
      </c>
      <c r="F1265">
        <v>81</v>
      </c>
      <c r="G1265" t="s">
        <v>24</v>
      </c>
      <c r="H1265" t="s">
        <v>2832</v>
      </c>
      <c r="I1265">
        <f>91-987-654-3210</f>
        <v>-4760</v>
      </c>
      <c r="J1265" s="1">
        <v>44004</v>
      </c>
      <c r="K1265" s="1">
        <v>45299</v>
      </c>
      <c r="L1265">
        <v>216400.8</v>
      </c>
      <c r="M1265">
        <v>124000.25</v>
      </c>
      <c r="N1265">
        <v>660</v>
      </c>
      <c r="O1265">
        <v>249000</v>
      </c>
      <c r="P1265" t="s">
        <v>76</v>
      </c>
      <c r="Q1265" t="s">
        <v>27</v>
      </c>
      <c r="R1265">
        <v>0</v>
      </c>
      <c r="S1265" t="s">
        <v>28</v>
      </c>
    </row>
    <row r="1266" spans="1:19">
      <c r="A1266" t="s">
        <v>306</v>
      </c>
      <c r="B1266" t="s">
        <v>2833</v>
      </c>
      <c r="C1266" t="s">
        <v>46</v>
      </c>
      <c r="D1266" t="s">
        <v>209</v>
      </c>
      <c r="E1266" t="s">
        <v>703</v>
      </c>
      <c r="F1266">
        <v>68</v>
      </c>
      <c r="G1266" t="s">
        <v>34</v>
      </c>
      <c r="H1266" t="s">
        <v>2834</v>
      </c>
      <c r="I1266">
        <f>52-81-4567-123</f>
        <v>-4719</v>
      </c>
      <c r="J1266" s="1">
        <v>44856</v>
      </c>
      <c r="K1266" s="1">
        <v>45302</v>
      </c>
      <c r="L1266">
        <v>100800.9</v>
      </c>
      <c r="M1266">
        <v>58600.75</v>
      </c>
      <c r="N1266">
        <v>730</v>
      </c>
      <c r="O1266">
        <v>153000</v>
      </c>
      <c r="P1266" t="s">
        <v>26</v>
      </c>
      <c r="Q1266" t="s">
        <v>27</v>
      </c>
      <c r="R1266">
        <v>0</v>
      </c>
      <c r="S1266" t="s">
        <v>28</v>
      </c>
    </row>
    <row r="1267" spans="1:19">
      <c r="A1267" t="s">
        <v>527</v>
      </c>
      <c r="B1267" t="s">
        <v>2835</v>
      </c>
      <c r="C1267" t="s">
        <v>31</v>
      </c>
      <c r="D1267" t="s">
        <v>32</v>
      </c>
      <c r="E1267" t="s">
        <v>90</v>
      </c>
      <c r="F1267">
        <v>57</v>
      </c>
      <c r="G1267" t="s">
        <v>34</v>
      </c>
      <c r="H1267" t="s">
        <v>2836</v>
      </c>
      <c r="I1267">
        <f>81-90-6789-123</f>
        <v>-6921</v>
      </c>
      <c r="J1267" s="1">
        <v>45604</v>
      </c>
      <c r="K1267" s="1">
        <v>45305</v>
      </c>
      <c r="L1267">
        <v>20500.400000000001</v>
      </c>
      <c r="M1267">
        <v>11200.25</v>
      </c>
      <c r="N1267">
        <v>705</v>
      </c>
      <c r="O1267">
        <v>67000</v>
      </c>
      <c r="P1267" t="s">
        <v>26</v>
      </c>
      <c r="Q1267" t="s">
        <v>43</v>
      </c>
      <c r="R1267">
        <v>0</v>
      </c>
      <c r="S1267" t="s">
        <v>28</v>
      </c>
    </row>
    <row r="1268" spans="1:19">
      <c r="A1268" t="s">
        <v>530</v>
      </c>
      <c r="B1268" t="s">
        <v>2837</v>
      </c>
      <c r="C1268" t="s">
        <v>57</v>
      </c>
      <c r="D1268" t="s">
        <v>219</v>
      </c>
      <c r="E1268" t="s">
        <v>220</v>
      </c>
      <c r="F1268">
        <v>62</v>
      </c>
      <c r="G1268" t="s">
        <v>24</v>
      </c>
      <c r="H1268" t="s">
        <v>2838</v>
      </c>
      <c r="I1268">
        <f>233-84-567-8901</f>
        <v>-9319</v>
      </c>
      <c r="J1268" s="1">
        <v>45404</v>
      </c>
      <c r="K1268" s="1">
        <v>45303</v>
      </c>
      <c r="L1268">
        <v>45300.6</v>
      </c>
      <c r="M1268">
        <v>17400.8</v>
      </c>
      <c r="N1268">
        <v>710</v>
      </c>
      <c r="O1268">
        <v>83000</v>
      </c>
      <c r="P1268" t="s">
        <v>36</v>
      </c>
      <c r="Q1268" t="s">
        <v>27</v>
      </c>
      <c r="R1268">
        <v>0</v>
      </c>
      <c r="S1268" t="s">
        <v>28</v>
      </c>
    </row>
    <row r="1269" spans="1:19">
      <c r="A1269" t="s">
        <v>533</v>
      </c>
      <c r="B1269" t="s">
        <v>2839</v>
      </c>
      <c r="C1269" t="s">
        <v>52</v>
      </c>
      <c r="D1269" t="s">
        <v>204</v>
      </c>
      <c r="E1269" t="s">
        <v>259</v>
      </c>
      <c r="F1269">
        <v>69</v>
      </c>
      <c r="G1269" t="s">
        <v>34</v>
      </c>
      <c r="H1269" t="s">
        <v>2840</v>
      </c>
      <c r="I1269">
        <f>7-921-765-43-21</f>
        <v>-1743</v>
      </c>
      <c r="J1269" s="1">
        <v>44703</v>
      </c>
      <c r="K1269" s="1">
        <v>45301</v>
      </c>
      <c r="L1269">
        <v>76600.25</v>
      </c>
      <c r="M1269">
        <v>49700.9</v>
      </c>
      <c r="N1269">
        <v>695</v>
      </c>
      <c r="O1269">
        <v>118000</v>
      </c>
      <c r="P1269" t="s">
        <v>26</v>
      </c>
      <c r="Q1269" t="s">
        <v>27</v>
      </c>
      <c r="R1269">
        <v>0</v>
      </c>
      <c r="S1269" t="s">
        <v>28</v>
      </c>
    </row>
    <row r="1270" spans="1:19">
      <c r="A1270" t="s">
        <v>536</v>
      </c>
      <c r="B1270" t="s">
        <v>2841</v>
      </c>
      <c r="C1270" t="s">
        <v>39</v>
      </c>
      <c r="D1270" t="s">
        <v>195</v>
      </c>
      <c r="E1270" t="s">
        <v>196</v>
      </c>
      <c r="F1270">
        <v>77</v>
      </c>
      <c r="G1270" t="s">
        <v>24</v>
      </c>
      <c r="H1270" t="s">
        <v>2842</v>
      </c>
      <c r="I1270">
        <f>353-16-456-7890</f>
        <v>-8009</v>
      </c>
      <c r="J1270" s="1">
        <v>44157</v>
      </c>
      <c r="K1270" s="1">
        <v>45300</v>
      </c>
      <c r="L1270">
        <v>148600.4</v>
      </c>
      <c r="M1270">
        <v>98000.6</v>
      </c>
      <c r="N1270">
        <v>670</v>
      </c>
      <c r="O1270">
        <v>185000</v>
      </c>
      <c r="P1270" t="s">
        <v>76</v>
      </c>
      <c r="Q1270" t="s">
        <v>27</v>
      </c>
      <c r="R1270">
        <v>0</v>
      </c>
      <c r="S1270" t="s">
        <v>28</v>
      </c>
    </row>
    <row r="1271" spans="1:19">
      <c r="A1271" t="s">
        <v>539</v>
      </c>
      <c r="B1271" t="s">
        <v>2843</v>
      </c>
      <c r="C1271" t="s">
        <v>21</v>
      </c>
      <c r="D1271" t="s">
        <v>58</v>
      </c>
      <c r="E1271" t="s">
        <v>59</v>
      </c>
      <c r="F1271">
        <v>85</v>
      </c>
      <c r="G1271" t="s">
        <v>34</v>
      </c>
      <c r="H1271" t="s">
        <v>2844</v>
      </c>
      <c r="I1271">
        <f>86-139-3456-7890</f>
        <v>-11399</v>
      </c>
      <c r="J1271" s="1">
        <v>43730</v>
      </c>
      <c r="K1271" s="1">
        <v>45299</v>
      </c>
      <c r="L1271">
        <v>315500.75</v>
      </c>
      <c r="M1271">
        <v>115000.8</v>
      </c>
      <c r="N1271">
        <v>835</v>
      </c>
      <c r="O1271">
        <v>330000</v>
      </c>
      <c r="P1271" t="s">
        <v>36</v>
      </c>
      <c r="Q1271" t="s">
        <v>27</v>
      </c>
      <c r="R1271">
        <v>0</v>
      </c>
      <c r="S1271" t="s">
        <v>28</v>
      </c>
    </row>
    <row r="1272" spans="1:19">
      <c r="A1272" t="s">
        <v>542</v>
      </c>
      <c r="B1272" t="s">
        <v>2845</v>
      </c>
      <c r="C1272" t="s">
        <v>52</v>
      </c>
      <c r="D1272" t="s">
        <v>68</v>
      </c>
      <c r="E1272" t="s">
        <v>69</v>
      </c>
      <c r="F1272">
        <v>72</v>
      </c>
      <c r="G1272" t="s">
        <v>34</v>
      </c>
      <c r="H1272" t="s">
        <v>2846</v>
      </c>
      <c r="I1272">
        <f>234-844-567-8901</f>
        <v>-10078</v>
      </c>
      <c r="J1272" s="1">
        <v>44673</v>
      </c>
      <c r="K1272" s="1">
        <v>45302</v>
      </c>
      <c r="L1272">
        <v>85300.6</v>
      </c>
      <c r="M1272">
        <v>55300.25</v>
      </c>
      <c r="N1272">
        <v>665</v>
      </c>
      <c r="O1272">
        <v>138000</v>
      </c>
      <c r="P1272" t="s">
        <v>26</v>
      </c>
      <c r="Q1272" t="s">
        <v>27</v>
      </c>
      <c r="R1272">
        <v>0</v>
      </c>
      <c r="S1272" t="s">
        <v>28</v>
      </c>
    </row>
    <row r="1273" spans="1:19">
      <c r="A1273" t="s">
        <v>545</v>
      </c>
      <c r="B1273" t="s">
        <v>2847</v>
      </c>
      <c r="C1273" t="s">
        <v>46</v>
      </c>
      <c r="D1273" t="s">
        <v>241</v>
      </c>
      <c r="E1273" t="s">
        <v>242</v>
      </c>
      <c r="F1273">
        <v>64</v>
      </c>
      <c r="G1273" t="s">
        <v>24</v>
      </c>
      <c r="H1273" t="s">
        <v>2848</v>
      </c>
      <c r="I1273">
        <f>39-378-234-5678</f>
        <v>-6251</v>
      </c>
      <c r="J1273" s="1">
        <v>45313</v>
      </c>
      <c r="K1273" s="1">
        <v>45303</v>
      </c>
      <c r="L1273">
        <v>108600.8</v>
      </c>
      <c r="M1273">
        <v>62800.4</v>
      </c>
      <c r="N1273">
        <v>750</v>
      </c>
      <c r="O1273">
        <v>164000</v>
      </c>
      <c r="P1273" t="s">
        <v>26</v>
      </c>
      <c r="Q1273" t="s">
        <v>27</v>
      </c>
      <c r="R1273">
        <v>0</v>
      </c>
      <c r="S1273" t="s">
        <v>28</v>
      </c>
    </row>
    <row r="1274" spans="1:19">
      <c r="A1274" t="s">
        <v>548</v>
      </c>
      <c r="B1274" t="s">
        <v>2849</v>
      </c>
      <c r="C1274" t="s">
        <v>57</v>
      </c>
      <c r="D1274" t="s">
        <v>22</v>
      </c>
      <c r="E1274" t="s">
        <v>118</v>
      </c>
      <c r="F1274">
        <v>60</v>
      </c>
      <c r="G1274" t="s">
        <v>34</v>
      </c>
      <c r="H1274" t="s">
        <v>2850</v>
      </c>
      <c r="I1274">
        <f>1-310-555-198</f>
        <v>-1062</v>
      </c>
      <c r="J1274" s="1">
        <v>45495</v>
      </c>
      <c r="K1274" s="1">
        <v>45305</v>
      </c>
      <c r="L1274">
        <v>47500.9</v>
      </c>
      <c r="M1274">
        <v>18400.75</v>
      </c>
      <c r="N1274">
        <v>770</v>
      </c>
      <c r="O1274">
        <v>95000</v>
      </c>
      <c r="P1274" t="s">
        <v>36</v>
      </c>
      <c r="Q1274" t="s">
        <v>27</v>
      </c>
      <c r="R1274">
        <v>0</v>
      </c>
      <c r="S1274" t="s">
        <v>28</v>
      </c>
    </row>
    <row r="1275" spans="1:19">
      <c r="A1275" t="s">
        <v>551</v>
      </c>
      <c r="B1275" t="s">
        <v>2851</v>
      </c>
      <c r="C1275" t="s">
        <v>39</v>
      </c>
      <c r="D1275" t="s">
        <v>313</v>
      </c>
      <c r="E1275" t="s">
        <v>314</v>
      </c>
      <c r="F1275">
        <v>83</v>
      </c>
      <c r="G1275" t="s">
        <v>24</v>
      </c>
      <c r="H1275" t="s">
        <v>2852</v>
      </c>
      <c r="I1275">
        <f>92-330-8765432</f>
        <v>-8765670</v>
      </c>
      <c r="J1275" s="1">
        <v>43912</v>
      </c>
      <c r="K1275" s="1">
        <v>45299</v>
      </c>
      <c r="L1275">
        <v>201700.25</v>
      </c>
      <c r="M1275">
        <v>119000.8</v>
      </c>
      <c r="N1275">
        <v>645</v>
      </c>
      <c r="O1275">
        <v>235000</v>
      </c>
      <c r="P1275" t="s">
        <v>76</v>
      </c>
      <c r="Q1275" t="s">
        <v>27</v>
      </c>
      <c r="R1275">
        <v>0</v>
      </c>
      <c r="S1275" t="s">
        <v>28</v>
      </c>
    </row>
    <row r="1276" spans="1:19">
      <c r="A1276" t="s">
        <v>554</v>
      </c>
      <c r="B1276" t="s">
        <v>2853</v>
      </c>
      <c r="C1276" t="s">
        <v>31</v>
      </c>
      <c r="D1276" t="s">
        <v>214</v>
      </c>
      <c r="E1276" t="s">
        <v>724</v>
      </c>
      <c r="F1276">
        <v>56</v>
      </c>
      <c r="G1276" t="s">
        <v>34</v>
      </c>
      <c r="H1276" t="s">
        <v>2854</v>
      </c>
      <c r="I1276">
        <f>34-653-456-789</f>
        <v>-1864</v>
      </c>
      <c r="J1276" s="1">
        <v>45608</v>
      </c>
      <c r="K1276" s="1">
        <v>45306</v>
      </c>
      <c r="L1276">
        <v>40200.5</v>
      </c>
      <c r="M1276">
        <v>18000.400000000001</v>
      </c>
      <c r="N1276">
        <v>720</v>
      </c>
      <c r="O1276">
        <v>72000</v>
      </c>
      <c r="P1276" t="s">
        <v>36</v>
      </c>
      <c r="Q1276" t="s">
        <v>27</v>
      </c>
      <c r="R1276">
        <v>0</v>
      </c>
      <c r="S1276" t="s">
        <v>28</v>
      </c>
    </row>
    <row r="1277" spans="1:19">
      <c r="A1277" t="s">
        <v>108</v>
      </c>
      <c r="B1277" t="s">
        <v>2855</v>
      </c>
      <c r="C1277" t="s">
        <v>84</v>
      </c>
      <c r="D1277" t="s">
        <v>32</v>
      </c>
      <c r="E1277" t="s">
        <v>33</v>
      </c>
      <c r="F1277">
        <v>52</v>
      </c>
      <c r="G1277" t="s">
        <v>24</v>
      </c>
      <c r="H1277" t="s">
        <v>2856</v>
      </c>
      <c r="I1277">
        <f>81-90-6789-123</f>
        <v>-6921</v>
      </c>
      <c r="J1277" s="1">
        <v>45611</v>
      </c>
      <c r="K1277" s="1">
        <v>45304</v>
      </c>
      <c r="L1277">
        <v>4850.8</v>
      </c>
      <c r="M1277">
        <v>14600.25</v>
      </c>
      <c r="N1277">
        <v>605</v>
      </c>
      <c r="O1277">
        <v>48000</v>
      </c>
      <c r="P1277" t="s">
        <v>76</v>
      </c>
      <c r="Q1277" t="s">
        <v>43</v>
      </c>
      <c r="R1277">
        <v>0</v>
      </c>
      <c r="S1277" t="s">
        <v>28</v>
      </c>
    </row>
    <row r="1278" spans="1:19">
      <c r="A1278" t="s">
        <v>559</v>
      </c>
      <c r="B1278" t="s">
        <v>2857</v>
      </c>
      <c r="C1278" t="s">
        <v>46</v>
      </c>
      <c r="D1278" t="s">
        <v>254</v>
      </c>
      <c r="E1278" t="s">
        <v>255</v>
      </c>
      <c r="F1278">
        <v>66</v>
      </c>
      <c r="G1278" t="s">
        <v>34</v>
      </c>
      <c r="H1278" t="s">
        <v>2858</v>
      </c>
      <c r="I1278">
        <f>221-8-234-5678</f>
        <v>-5699</v>
      </c>
      <c r="J1278" s="1">
        <v>45191</v>
      </c>
      <c r="K1278" s="1">
        <v>45302</v>
      </c>
      <c r="L1278">
        <v>95300.4</v>
      </c>
      <c r="M1278">
        <v>57500.75</v>
      </c>
      <c r="N1278">
        <v>710</v>
      </c>
      <c r="O1278">
        <v>146000</v>
      </c>
      <c r="P1278" t="s">
        <v>26</v>
      </c>
      <c r="Q1278" t="s">
        <v>27</v>
      </c>
      <c r="R1278">
        <v>0</v>
      </c>
      <c r="S1278" t="s">
        <v>28</v>
      </c>
    </row>
    <row r="1279" spans="1:19">
      <c r="A1279" t="s">
        <v>562</v>
      </c>
      <c r="B1279" t="s">
        <v>2859</v>
      </c>
      <c r="C1279" t="s">
        <v>39</v>
      </c>
      <c r="D1279" t="s">
        <v>47</v>
      </c>
      <c r="E1279" t="s">
        <v>98</v>
      </c>
      <c r="F1279">
        <v>80</v>
      </c>
      <c r="G1279" t="s">
        <v>24</v>
      </c>
      <c r="H1279" t="s">
        <v>2860</v>
      </c>
      <c r="I1279">
        <f>44-79-5678-9012</f>
        <v>-14725</v>
      </c>
      <c r="J1279" s="1">
        <v>44065</v>
      </c>
      <c r="K1279" s="1">
        <v>45300</v>
      </c>
      <c r="L1279">
        <v>181900.6</v>
      </c>
      <c r="M1279">
        <v>112000.25</v>
      </c>
      <c r="N1279">
        <v>675</v>
      </c>
      <c r="O1279">
        <v>215000</v>
      </c>
      <c r="P1279" t="s">
        <v>76</v>
      </c>
      <c r="Q1279" t="s">
        <v>27</v>
      </c>
      <c r="R1279">
        <v>0</v>
      </c>
      <c r="S1279" t="s">
        <v>28</v>
      </c>
    </row>
    <row r="1280" spans="1:19">
      <c r="A1280" t="s">
        <v>565</v>
      </c>
      <c r="B1280" t="s">
        <v>2861</v>
      </c>
      <c r="C1280" t="s">
        <v>52</v>
      </c>
      <c r="D1280" t="s">
        <v>233</v>
      </c>
      <c r="E1280" t="s">
        <v>234</v>
      </c>
      <c r="F1280">
        <v>65</v>
      </c>
      <c r="G1280" t="s">
        <v>34</v>
      </c>
      <c r="H1280" t="s">
        <v>2862</v>
      </c>
      <c r="I1280">
        <f>82-10-4567-8901</f>
        <v>-13396</v>
      </c>
      <c r="J1280" s="1">
        <v>44979</v>
      </c>
      <c r="K1280" s="1">
        <v>45301</v>
      </c>
      <c r="L1280">
        <v>71700.75</v>
      </c>
      <c r="M1280">
        <v>48600.800000000003</v>
      </c>
      <c r="N1280">
        <v>725</v>
      </c>
      <c r="O1280">
        <v>112000</v>
      </c>
      <c r="P1280" t="s">
        <v>26</v>
      </c>
      <c r="Q1280" t="s">
        <v>27</v>
      </c>
      <c r="R1280">
        <v>0</v>
      </c>
      <c r="S1280" t="s">
        <v>28</v>
      </c>
    </row>
    <row r="1281" spans="1:19">
      <c r="A1281" t="s">
        <v>568</v>
      </c>
      <c r="B1281" t="s">
        <v>2863</v>
      </c>
      <c r="C1281" t="s">
        <v>57</v>
      </c>
      <c r="D1281" t="s">
        <v>79</v>
      </c>
      <c r="E1281" t="s">
        <v>80</v>
      </c>
      <c r="F1281">
        <v>63</v>
      </c>
      <c r="G1281" t="s">
        <v>24</v>
      </c>
      <c r="H1281" t="s">
        <v>2864</v>
      </c>
      <c r="I1281">
        <f>971-50-678-9012</f>
        <v>-8769</v>
      </c>
      <c r="J1281" s="1">
        <v>45434</v>
      </c>
      <c r="K1281" s="1">
        <v>45303</v>
      </c>
      <c r="L1281">
        <v>49700.4</v>
      </c>
      <c r="M1281">
        <v>19200.900000000001</v>
      </c>
      <c r="N1281">
        <v>740</v>
      </c>
      <c r="O1281">
        <v>98000</v>
      </c>
      <c r="P1281" t="s">
        <v>36</v>
      </c>
      <c r="Q1281" t="s">
        <v>27</v>
      </c>
      <c r="R1281">
        <v>0</v>
      </c>
      <c r="S1281" t="s">
        <v>28</v>
      </c>
    </row>
    <row r="1282" spans="1:19">
      <c r="A1282" t="s">
        <v>571</v>
      </c>
      <c r="B1282" t="s">
        <v>2865</v>
      </c>
      <c r="C1282" t="s">
        <v>21</v>
      </c>
      <c r="D1282" t="s">
        <v>63</v>
      </c>
      <c r="E1282" t="s">
        <v>64</v>
      </c>
      <c r="F1282">
        <v>86</v>
      </c>
      <c r="G1282" t="s">
        <v>34</v>
      </c>
      <c r="H1282" t="s">
        <v>2866</v>
      </c>
      <c r="I1282">
        <f>55-11-99978-9012</f>
        <v>-108946</v>
      </c>
      <c r="J1282" s="1">
        <v>43607</v>
      </c>
      <c r="K1282" s="1">
        <v>45299</v>
      </c>
      <c r="L1282">
        <v>270800.90000000002</v>
      </c>
      <c r="M1282">
        <v>102000.6</v>
      </c>
      <c r="N1282">
        <v>830</v>
      </c>
      <c r="O1282">
        <v>310000</v>
      </c>
      <c r="P1282" t="s">
        <v>36</v>
      </c>
      <c r="Q1282" t="s">
        <v>27</v>
      </c>
      <c r="R1282">
        <v>0</v>
      </c>
      <c r="S1282" t="s">
        <v>28</v>
      </c>
    </row>
    <row r="1283" spans="1:19">
      <c r="A1283" t="s">
        <v>574</v>
      </c>
      <c r="B1283" t="s">
        <v>2867</v>
      </c>
      <c r="C1283" t="s">
        <v>39</v>
      </c>
      <c r="D1283" t="s">
        <v>68</v>
      </c>
      <c r="E1283" t="s">
        <v>114</v>
      </c>
      <c r="F1283">
        <v>78</v>
      </c>
      <c r="G1283" t="s">
        <v>24</v>
      </c>
      <c r="H1283" t="s">
        <v>2868</v>
      </c>
      <c r="I1283">
        <f>234-845-678-9012</f>
        <v>-10301</v>
      </c>
      <c r="J1283" s="1">
        <v>44208</v>
      </c>
      <c r="K1283" s="1">
        <v>45300</v>
      </c>
      <c r="L1283">
        <v>159700.25</v>
      </c>
      <c r="M1283">
        <v>104000.4</v>
      </c>
      <c r="N1283">
        <v>655</v>
      </c>
      <c r="O1283">
        <v>200000</v>
      </c>
      <c r="P1283" t="s">
        <v>76</v>
      </c>
      <c r="Q1283" t="s">
        <v>27</v>
      </c>
      <c r="R1283">
        <v>0</v>
      </c>
      <c r="S1283" t="s">
        <v>28</v>
      </c>
    </row>
    <row r="1284" spans="1:19">
      <c r="A1284" t="s">
        <v>577</v>
      </c>
      <c r="B1284" t="s">
        <v>2869</v>
      </c>
      <c r="C1284" t="s">
        <v>46</v>
      </c>
      <c r="D1284" t="s">
        <v>85</v>
      </c>
      <c r="E1284" t="s">
        <v>162</v>
      </c>
      <c r="F1284">
        <v>67</v>
      </c>
      <c r="G1284" t="s">
        <v>34</v>
      </c>
      <c r="H1284" t="s">
        <v>2870</v>
      </c>
      <c r="I1284">
        <f>1-514-555-198</f>
        <v>-1266</v>
      </c>
      <c r="J1284" s="1">
        <v>45099</v>
      </c>
      <c r="K1284" s="1">
        <v>45302</v>
      </c>
      <c r="L1284">
        <v>114200.6</v>
      </c>
      <c r="M1284">
        <v>65500.75</v>
      </c>
      <c r="N1284">
        <v>760</v>
      </c>
      <c r="O1284">
        <v>169000</v>
      </c>
      <c r="P1284" t="s">
        <v>26</v>
      </c>
      <c r="Q1284" t="s">
        <v>27</v>
      </c>
      <c r="R1284">
        <v>0</v>
      </c>
      <c r="S1284" t="s">
        <v>28</v>
      </c>
    </row>
    <row r="1285" spans="1:19">
      <c r="A1285" t="s">
        <v>458</v>
      </c>
      <c r="B1285" t="s">
        <v>2871</v>
      </c>
      <c r="C1285" t="s">
        <v>31</v>
      </c>
      <c r="D1285" t="s">
        <v>460</v>
      </c>
      <c r="E1285" t="s">
        <v>663</v>
      </c>
      <c r="F1285">
        <v>58</v>
      </c>
      <c r="G1285" t="s">
        <v>24</v>
      </c>
      <c r="H1285" t="s">
        <v>2872</v>
      </c>
      <c r="I1285">
        <f>62-842-3456-7890</f>
        <v>-12126</v>
      </c>
      <c r="J1285" s="1">
        <v>45604</v>
      </c>
      <c r="K1285" s="1">
        <v>45306</v>
      </c>
      <c r="L1285">
        <v>23400.25</v>
      </c>
      <c r="M1285">
        <v>13900.8</v>
      </c>
      <c r="N1285">
        <v>695</v>
      </c>
      <c r="O1285">
        <v>69000</v>
      </c>
      <c r="P1285" t="s">
        <v>26</v>
      </c>
      <c r="Q1285" t="s">
        <v>43</v>
      </c>
      <c r="R1285">
        <v>0</v>
      </c>
      <c r="S1285" t="s">
        <v>28</v>
      </c>
    </row>
    <row r="1286" spans="1:19">
      <c r="A1286" t="s">
        <v>582</v>
      </c>
      <c r="B1286" t="s">
        <v>2873</v>
      </c>
      <c r="C1286" t="s">
        <v>57</v>
      </c>
      <c r="D1286" t="s">
        <v>22</v>
      </c>
      <c r="E1286" t="s">
        <v>23</v>
      </c>
      <c r="F1286">
        <v>61</v>
      </c>
      <c r="G1286" t="s">
        <v>34</v>
      </c>
      <c r="H1286" t="s">
        <v>2874</v>
      </c>
      <c r="I1286">
        <f>1-646-555-198</f>
        <v>-1398</v>
      </c>
      <c r="J1286" s="1">
        <v>45373</v>
      </c>
      <c r="K1286" s="1">
        <v>45303</v>
      </c>
      <c r="L1286">
        <v>48600.9</v>
      </c>
      <c r="M1286">
        <v>18800.25</v>
      </c>
      <c r="N1286">
        <v>755</v>
      </c>
      <c r="O1286">
        <v>91000</v>
      </c>
      <c r="P1286" t="s">
        <v>36</v>
      </c>
      <c r="Q1286" t="s">
        <v>27</v>
      </c>
      <c r="R1286">
        <v>0</v>
      </c>
      <c r="S1286" t="s">
        <v>28</v>
      </c>
    </row>
    <row r="1287" spans="1:19">
      <c r="A1287" t="s">
        <v>55</v>
      </c>
      <c r="B1287" t="s">
        <v>2875</v>
      </c>
      <c r="C1287" t="s">
        <v>39</v>
      </c>
      <c r="D1287" t="s">
        <v>58</v>
      </c>
      <c r="E1287" t="s">
        <v>122</v>
      </c>
      <c r="F1287">
        <v>79</v>
      </c>
      <c r="G1287" t="s">
        <v>24</v>
      </c>
      <c r="H1287" t="s">
        <v>2876</v>
      </c>
      <c r="I1287">
        <f>86-138-7890-1234</f>
        <v>-9176</v>
      </c>
      <c r="J1287" s="1">
        <v>44126</v>
      </c>
      <c r="K1287" s="1">
        <v>45300</v>
      </c>
      <c r="L1287">
        <v>192600.4</v>
      </c>
      <c r="M1287">
        <v>117000.75</v>
      </c>
      <c r="N1287">
        <v>685</v>
      </c>
      <c r="O1287">
        <v>225000</v>
      </c>
      <c r="P1287" t="s">
        <v>76</v>
      </c>
      <c r="Q1287" t="s">
        <v>27</v>
      </c>
      <c r="R1287">
        <v>0</v>
      </c>
      <c r="S1287" t="s">
        <v>28</v>
      </c>
    </row>
    <row r="1288" spans="1:19">
      <c r="A1288" t="s">
        <v>469</v>
      </c>
      <c r="B1288" t="s">
        <v>2877</v>
      </c>
      <c r="C1288" t="s">
        <v>52</v>
      </c>
      <c r="D1288" t="s">
        <v>471</v>
      </c>
      <c r="E1288" t="s">
        <v>472</v>
      </c>
      <c r="F1288">
        <v>70</v>
      </c>
      <c r="G1288" t="s">
        <v>34</v>
      </c>
      <c r="H1288" t="s">
        <v>2878</v>
      </c>
      <c r="I1288">
        <f>48-730-234-567</f>
        <v>-1483</v>
      </c>
      <c r="J1288" s="1">
        <v>44764</v>
      </c>
      <c r="K1288" s="1">
        <v>45301</v>
      </c>
      <c r="L1288">
        <v>78600.800000000003</v>
      </c>
      <c r="M1288">
        <v>51700.6</v>
      </c>
      <c r="N1288">
        <v>715</v>
      </c>
      <c r="O1288">
        <v>124000</v>
      </c>
      <c r="P1288" t="s">
        <v>26</v>
      </c>
      <c r="Q1288" t="s">
        <v>27</v>
      </c>
      <c r="R1288">
        <v>0</v>
      </c>
      <c r="S1288" t="s">
        <v>28</v>
      </c>
    </row>
    <row r="1289" spans="1:19">
      <c r="A1289" t="s">
        <v>474</v>
      </c>
      <c r="B1289" t="s">
        <v>2879</v>
      </c>
      <c r="C1289" t="s">
        <v>46</v>
      </c>
      <c r="D1289" t="s">
        <v>345</v>
      </c>
      <c r="E1289" t="s">
        <v>346</v>
      </c>
      <c r="F1289">
        <v>73</v>
      </c>
      <c r="G1289" t="s">
        <v>24</v>
      </c>
      <c r="H1289" t="s">
        <v>2880</v>
      </c>
      <c r="I1289">
        <f>880-1812-456789</f>
        <v>-457721</v>
      </c>
      <c r="J1289" s="1">
        <v>44673</v>
      </c>
      <c r="K1289" s="1">
        <v>45302</v>
      </c>
      <c r="L1289">
        <v>106400.25</v>
      </c>
      <c r="M1289">
        <v>61700.4</v>
      </c>
      <c r="N1289">
        <v>680</v>
      </c>
      <c r="O1289">
        <v>153000</v>
      </c>
      <c r="P1289" t="s">
        <v>26</v>
      </c>
      <c r="Q1289" t="s">
        <v>27</v>
      </c>
      <c r="R1289">
        <v>0</v>
      </c>
      <c r="S1289" t="s">
        <v>28</v>
      </c>
    </row>
    <row r="1290" spans="1:19">
      <c r="A1290" t="s">
        <v>592</v>
      </c>
      <c r="B1290" t="s">
        <v>2881</v>
      </c>
      <c r="C1290" t="s">
        <v>84</v>
      </c>
      <c r="D1290" t="s">
        <v>32</v>
      </c>
      <c r="E1290" t="s">
        <v>90</v>
      </c>
      <c r="F1290">
        <v>53</v>
      </c>
      <c r="G1290" t="s">
        <v>34</v>
      </c>
      <c r="H1290" t="s">
        <v>2882</v>
      </c>
      <c r="I1290">
        <f>81-90-7890-1234</f>
        <v>-9133</v>
      </c>
      <c r="J1290" s="1">
        <v>45618</v>
      </c>
      <c r="K1290" s="1">
        <v>45304</v>
      </c>
      <c r="L1290">
        <v>4950.3999999999996</v>
      </c>
      <c r="M1290">
        <v>15200.75</v>
      </c>
      <c r="N1290">
        <v>610</v>
      </c>
      <c r="O1290">
        <v>49000</v>
      </c>
      <c r="P1290" t="s">
        <v>76</v>
      </c>
      <c r="Q1290" t="s">
        <v>43</v>
      </c>
      <c r="R1290">
        <v>0</v>
      </c>
      <c r="S1290" t="s">
        <v>28</v>
      </c>
    </row>
    <row r="1291" spans="1:19">
      <c r="A1291" t="s">
        <v>595</v>
      </c>
      <c r="B1291" t="s">
        <v>2883</v>
      </c>
      <c r="C1291" t="s">
        <v>21</v>
      </c>
      <c r="D1291" t="s">
        <v>209</v>
      </c>
      <c r="E1291" t="s">
        <v>210</v>
      </c>
      <c r="F1291">
        <v>85</v>
      </c>
      <c r="G1291" t="s">
        <v>24</v>
      </c>
      <c r="H1291" t="s">
        <v>2884</v>
      </c>
      <c r="I1291">
        <f>52-55-4567-123</f>
        <v>-4693</v>
      </c>
      <c r="J1291" s="1">
        <v>43821</v>
      </c>
      <c r="K1291" s="1">
        <v>45299</v>
      </c>
      <c r="L1291">
        <v>290600.8</v>
      </c>
      <c r="M1291">
        <v>108000.25</v>
      </c>
      <c r="N1291">
        <v>825</v>
      </c>
      <c r="O1291">
        <v>305000</v>
      </c>
      <c r="P1291" t="s">
        <v>36</v>
      </c>
      <c r="Q1291" t="s">
        <v>27</v>
      </c>
      <c r="R1291">
        <v>0</v>
      </c>
      <c r="S1291" t="s">
        <v>28</v>
      </c>
    </row>
    <row r="1292" spans="1:19">
      <c r="A1292" t="s">
        <v>226</v>
      </c>
      <c r="B1292" t="s">
        <v>2885</v>
      </c>
      <c r="C1292" t="s">
        <v>57</v>
      </c>
      <c r="D1292" t="s">
        <v>228</v>
      </c>
      <c r="E1292" t="s">
        <v>229</v>
      </c>
      <c r="F1292">
        <v>60</v>
      </c>
      <c r="G1292" t="s">
        <v>34</v>
      </c>
      <c r="H1292" t="s">
        <v>2886</v>
      </c>
      <c r="I1292">
        <f>254-754-567-890</f>
        <v>-1957</v>
      </c>
      <c r="J1292" s="1">
        <v>45557</v>
      </c>
      <c r="K1292" s="1">
        <v>45305</v>
      </c>
      <c r="L1292">
        <v>45300.75</v>
      </c>
      <c r="M1292">
        <v>17200.400000000001</v>
      </c>
      <c r="N1292">
        <v>725</v>
      </c>
      <c r="O1292">
        <v>81000</v>
      </c>
      <c r="P1292" t="s">
        <v>36</v>
      </c>
      <c r="Q1292" t="s">
        <v>27</v>
      </c>
      <c r="R1292">
        <v>0</v>
      </c>
      <c r="S1292" t="s">
        <v>28</v>
      </c>
    </row>
    <row r="1293" spans="1:19">
      <c r="A1293" t="s">
        <v>488</v>
      </c>
      <c r="B1293" t="s">
        <v>2887</v>
      </c>
      <c r="C1293" t="s">
        <v>39</v>
      </c>
      <c r="D1293" t="s">
        <v>304</v>
      </c>
      <c r="E1293" t="s">
        <v>304</v>
      </c>
      <c r="F1293">
        <v>77</v>
      </c>
      <c r="G1293" t="s">
        <v>24</v>
      </c>
      <c r="H1293" t="s">
        <v>2888</v>
      </c>
      <c r="I1293">
        <f>65-1390-1234</f>
        <v>-2559</v>
      </c>
      <c r="J1293" s="1">
        <v>44298</v>
      </c>
      <c r="K1293" s="1">
        <v>45300</v>
      </c>
      <c r="L1293">
        <v>170800.6</v>
      </c>
      <c r="M1293">
        <v>108000.9</v>
      </c>
      <c r="N1293">
        <v>675</v>
      </c>
      <c r="O1293">
        <v>205000</v>
      </c>
      <c r="P1293" t="s">
        <v>76</v>
      </c>
      <c r="Q1293" t="s">
        <v>27</v>
      </c>
      <c r="R1293">
        <v>0</v>
      </c>
      <c r="S1293" t="s">
        <v>28</v>
      </c>
    </row>
    <row r="1294" spans="1:19">
      <c r="A1294" t="s">
        <v>491</v>
      </c>
      <c r="B1294" t="s">
        <v>2889</v>
      </c>
      <c r="C1294" t="s">
        <v>52</v>
      </c>
      <c r="D1294" t="s">
        <v>493</v>
      </c>
      <c r="E1294" t="s">
        <v>494</v>
      </c>
      <c r="F1294">
        <v>68</v>
      </c>
      <c r="G1294" t="s">
        <v>34</v>
      </c>
      <c r="H1294" t="s">
        <v>2890</v>
      </c>
      <c r="I1294">
        <f>30-722-345-6789</f>
        <v>-7826</v>
      </c>
      <c r="J1294" s="1">
        <v>45068</v>
      </c>
      <c r="K1294" s="1">
        <v>45302</v>
      </c>
      <c r="L1294">
        <v>72800.399999999994</v>
      </c>
      <c r="M1294">
        <v>47500.25</v>
      </c>
      <c r="N1294">
        <v>705</v>
      </c>
      <c r="O1294">
        <v>113000</v>
      </c>
      <c r="P1294" t="s">
        <v>26</v>
      </c>
      <c r="Q1294" t="s">
        <v>27</v>
      </c>
      <c r="R1294">
        <v>0</v>
      </c>
      <c r="S1294" t="s">
        <v>28</v>
      </c>
    </row>
    <row r="1295" spans="1:19">
      <c r="A1295" t="s">
        <v>496</v>
      </c>
      <c r="B1295" t="s">
        <v>2891</v>
      </c>
      <c r="C1295" t="s">
        <v>46</v>
      </c>
      <c r="D1295" t="s">
        <v>321</v>
      </c>
      <c r="E1295" t="s">
        <v>322</v>
      </c>
      <c r="F1295">
        <v>71</v>
      </c>
      <c r="G1295" t="s">
        <v>24</v>
      </c>
      <c r="H1295" t="s">
        <v>2892</v>
      </c>
      <c r="I1295">
        <f>61-454-567-890</f>
        <v>-1850</v>
      </c>
      <c r="J1295" s="1">
        <v>44552</v>
      </c>
      <c r="K1295" s="1">
        <v>45301</v>
      </c>
      <c r="L1295">
        <v>118100.75</v>
      </c>
      <c r="M1295">
        <v>68600.800000000003</v>
      </c>
      <c r="N1295">
        <v>730</v>
      </c>
      <c r="O1295">
        <v>179000</v>
      </c>
      <c r="P1295" t="s">
        <v>26</v>
      </c>
      <c r="Q1295" t="s">
        <v>27</v>
      </c>
      <c r="R1295">
        <v>0</v>
      </c>
      <c r="S1295" t="s">
        <v>28</v>
      </c>
    </row>
    <row r="1296" spans="1:19">
      <c r="A1296" t="s">
        <v>324</v>
      </c>
      <c r="B1296" t="s">
        <v>2893</v>
      </c>
      <c r="C1296" t="s">
        <v>31</v>
      </c>
      <c r="D1296" t="s">
        <v>313</v>
      </c>
      <c r="E1296" t="s">
        <v>385</v>
      </c>
      <c r="F1296">
        <v>56</v>
      </c>
      <c r="G1296" t="s">
        <v>34</v>
      </c>
      <c r="H1296" t="s">
        <v>2894</v>
      </c>
      <c r="I1296">
        <f>92-352-7654321</f>
        <v>-7654581</v>
      </c>
      <c r="J1296" s="1">
        <v>45611</v>
      </c>
      <c r="K1296" s="1">
        <v>45306</v>
      </c>
      <c r="L1296">
        <v>19800.900000000001</v>
      </c>
      <c r="M1296">
        <v>11300.75</v>
      </c>
      <c r="N1296">
        <v>685</v>
      </c>
      <c r="O1296">
        <v>66000</v>
      </c>
      <c r="P1296" t="s">
        <v>26</v>
      </c>
      <c r="Q1296" t="s">
        <v>43</v>
      </c>
      <c r="R1296">
        <v>0</v>
      </c>
      <c r="S1296" t="s">
        <v>28</v>
      </c>
    </row>
    <row r="1297" spans="1:19">
      <c r="A1297" t="s">
        <v>503</v>
      </c>
      <c r="B1297" t="s">
        <v>2895</v>
      </c>
      <c r="C1297" t="s">
        <v>21</v>
      </c>
      <c r="D1297" t="s">
        <v>32</v>
      </c>
      <c r="E1297" t="s">
        <v>33</v>
      </c>
      <c r="F1297">
        <v>88</v>
      </c>
      <c r="G1297" t="s">
        <v>24</v>
      </c>
      <c r="H1297" t="s">
        <v>2896</v>
      </c>
      <c r="I1297">
        <f>81-80-2345-6789</f>
        <v>-9133</v>
      </c>
      <c r="J1297" s="1">
        <v>43546</v>
      </c>
      <c r="K1297" s="1">
        <v>45299</v>
      </c>
      <c r="L1297">
        <v>301500.25</v>
      </c>
      <c r="M1297">
        <v>112000.4</v>
      </c>
      <c r="N1297">
        <v>840</v>
      </c>
      <c r="O1297">
        <v>320000</v>
      </c>
      <c r="P1297" t="s">
        <v>36</v>
      </c>
      <c r="Q1297" t="s">
        <v>27</v>
      </c>
      <c r="R1297">
        <v>0</v>
      </c>
      <c r="S1297" t="s">
        <v>28</v>
      </c>
    </row>
    <row r="1298" spans="1:19">
      <c r="A1298" t="s">
        <v>506</v>
      </c>
      <c r="B1298" t="s">
        <v>2897</v>
      </c>
      <c r="C1298" t="s">
        <v>39</v>
      </c>
      <c r="D1298" t="s">
        <v>68</v>
      </c>
      <c r="E1298" t="s">
        <v>69</v>
      </c>
      <c r="F1298">
        <v>80</v>
      </c>
      <c r="G1298" t="s">
        <v>34</v>
      </c>
      <c r="H1298" t="s">
        <v>2898</v>
      </c>
      <c r="I1298">
        <f>234-844-567-8901</f>
        <v>-10078</v>
      </c>
      <c r="J1298" s="1">
        <v>44065</v>
      </c>
      <c r="K1298" s="1">
        <v>45300</v>
      </c>
      <c r="L1298">
        <v>181900.4</v>
      </c>
      <c r="M1298">
        <v>112000.75</v>
      </c>
      <c r="N1298">
        <v>650</v>
      </c>
      <c r="O1298">
        <v>215000</v>
      </c>
      <c r="P1298" t="s">
        <v>76</v>
      </c>
      <c r="Q1298" t="s">
        <v>27</v>
      </c>
      <c r="R1298">
        <v>0</v>
      </c>
      <c r="S1298" t="s">
        <v>28</v>
      </c>
    </row>
    <row r="1299" spans="1:19">
      <c r="A1299" t="s">
        <v>509</v>
      </c>
      <c r="B1299" t="s">
        <v>2899</v>
      </c>
      <c r="C1299" t="s">
        <v>46</v>
      </c>
      <c r="D1299" t="s">
        <v>73</v>
      </c>
      <c r="E1299" t="s">
        <v>74</v>
      </c>
      <c r="F1299">
        <v>67</v>
      </c>
      <c r="G1299" t="s">
        <v>24</v>
      </c>
      <c r="H1299" t="s">
        <v>2900</v>
      </c>
      <c r="I1299">
        <f>49-206-7890123</f>
        <v>-7890280</v>
      </c>
      <c r="J1299" s="1">
        <v>45282</v>
      </c>
      <c r="K1299" s="1">
        <v>45303</v>
      </c>
      <c r="L1299">
        <v>106900.4</v>
      </c>
      <c r="M1299">
        <v>62800.25</v>
      </c>
      <c r="N1299">
        <v>745</v>
      </c>
      <c r="O1299">
        <v>159000</v>
      </c>
      <c r="P1299" t="s">
        <v>26</v>
      </c>
      <c r="Q1299" t="s">
        <v>27</v>
      </c>
      <c r="R1299">
        <v>0</v>
      </c>
      <c r="S1299" t="s">
        <v>28</v>
      </c>
    </row>
    <row r="1300" spans="1:19">
      <c r="A1300" t="s">
        <v>513</v>
      </c>
      <c r="B1300" t="s">
        <v>2901</v>
      </c>
      <c r="C1300" t="s">
        <v>57</v>
      </c>
      <c r="D1300" t="s">
        <v>58</v>
      </c>
      <c r="E1300" t="s">
        <v>122</v>
      </c>
      <c r="F1300">
        <v>62</v>
      </c>
      <c r="G1300" t="s">
        <v>34</v>
      </c>
      <c r="H1300" t="s">
        <v>2902</v>
      </c>
      <c r="I1300">
        <f>86-137-7890-1234</f>
        <v>-9175</v>
      </c>
      <c r="J1300" s="1">
        <v>45465</v>
      </c>
      <c r="K1300" s="1">
        <v>45302</v>
      </c>
      <c r="L1300">
        <v>47500.800000000003</v>
      </c>
      <c r="M1300">
        <v>18400.900000000001</v>
      </c>
      <c r="N1300">
        <v>765</v>
      </c>
      <c r="O1300">
        <v>91000</v>
      </c>
      <c r="P1300" t="s">
        <v>36</v>
      </c>
      <c r="Q1300" t="s">
        <v>27</v>
      </c>
      <c r="R1300">
        <v>0</v>
      </c>
      <c r="S1300" t="s">
        <v>28</v>
      </c>
    </row>
    <row r="1301" spans="1:19">
      <c r="A1301" t="s">
        <v>516</v>
      </c>
      <c r="B1301" t="s">
        <v>2903</v>
      </c>
      <c r="C1301" t="s">
        <v>52</v>
      </c>
      <c r="D1301" t="s">
        <v>277</v>
      </c>
      <c r="E1301" t="s">
        <v>404</v>
      </c>
      <c r="F1301">
        <v>75</v>
      </c>
      <c r="G1301" t="s">
        <v>24</v>
      </c>
      <c r="H1301" t="s">
        <v>2904</v>
      </c>
      <c r="I1301">
        <f>20-122-876-5432</f>
        <v>-6410</v>
      </c>
      <c r="J1301" s="1">
        <v>44734</v>
      </c>
      <c r="K1301" s="1">
        <v>45301</v>
      </c>
      <c r="L1301">
        <v>80800.75</v>
      </c>
      <c r="M1301">
        <v>53900.4</v>
      </c>
      <c r="N1301">
        <v>675</v>
      </c>
      <c r="O1301">
        <v>131000</v>
      </c>
      <c r="P1301" t="s">
        <v>26</v>
      </c>
      <c r="Q1301" t="s">
        <v>27</v>
      </c>
      <c r="R1301">
        <v>0</v>
      </c>
      <c r="S1301" t="s">
        <v>28</v>
      </c>
    </row>
    <row r="1302" spans="1:19">
      <c r="A1302" t="s">
        <v>519</v>
      </c>
      <c r="B1302" t="s">
        <v>2905</v>
      </c>
      <c r="C1302" t="s">
        <v>84</v>
      </c>
      <c r="D1302" t="s">
        <v>183</v>
      </c>
      <c r="E1302" t="s">
        <v>184</v>
      </c>
      <c r="F1302">
        <v>54</v>
      </c>
      <c r="G1302" t="s">
        <v>34</v>
      </c>
      <c r="H1302" t="s">
        <v>2906</v>
      </c>
      <c r="I1302">
        <f>33-6-4567-8901</f>
        <v>-13441</v>
      </c>
      <c r="J1302" s="1">
        <v>45624</v>
      </c>
      <c r="K1302" s="1">
        <v>45304</v>
      </c>
      <c r="L1302">
        <v>5200.25</v>
      </c>
      <c r="M1302">
        <v>16400.599999999999</v>
      </c>
      <c r="N1302">
        <v>615</v>
      </c>
      <c r="O1302">
        <v>51000</v>
      </c>
      <c r="P1302" t="s">
        <v>76</v>
      </c>
      <c r="Q1302" t="s">
        <v>43</v>
      </c>
      <c r="R1302">
        <v>0</v>
      </c>
      <c r="S1302" t="s">
        <v>28</v>
      </c>
    </row>
    <row r="1303" spans="1:19">
      <c r="A1303" t="s">
        <v>522</v>
      </c>
      <c r="B1303" t="s">
        <v>2907</v>
      </c>
      <c r="C1303" t="s">
        <v>39</v>
      </c>
      <c r="D1303" t="s">
        <v>40</v>
      </c>
      <c r="E1303" t="s">
        <v>41</v>
      </c>
      <c r="F1303">
        <v>82</v>
      </c>
      <c r="G1303" t="s">
        <v>24</v>
      </c>
      <c r="H1303" t="s">
        <v>2908</v>
      </c>
      <c r="I1303">
        <f>91-987-654-3210</f>
        <v>-4760</v>
      </c>
      <c r="J1303" s="1">
        <v>44034</v>
      </c>
      <c r="K1303" s="1">
        <v>45299</v>
      </c>
      <c r="L1303">
        <v>216500.8</v>
      </c>
      <c r="M1303">
        <v>125000.25</v>
      </c>
      <c r="N1303">
        <v>660</v>
      </c>
      <c r="O1303">
        <v>250000</v>
      </c>
      <c r="P1303" t="s">
        <v>76</v>
      </c>
      <c r="Q1303" t="s">
        <v>27</v>
      </c>
      <c r="R1303">
        <v>0</v>
      </c>
      <c r="S1303" t="s">
        <v>28</v>
      </c>
    </row>
    <row r="1304" spans="1:19">
      <c r="A1304" t="s">
        <v>306</v>
      </c>
      <c r="B1304" t="s">
        <v>2909</v>
      </c>
      <c r="C1304" t="s">
        <v>46</v>
      </c>
      <c r="D1304" t="s">
        <v>209</v>
      </c>
      <c r="E1304" t="s">
        <v>447</v>
      </c>
      <c r="F1304">
        <v>69</v>
      </c>
      <c r="G1304" t="s">
        <v>34</v>
      </c>
      <c r="H1304" t="s">
        <v>2910</v>
      </c>
      <c r="I1304">
        <f>52-33-5678-123</f>
        <v>-5782</v>
      </c>
      <c r="J1304" s="1">
        <v>44887</v>
      </c>
      <c r="K1304" s="1">
        <v>45302</v>
      </c>
      <c r="L1304">
        <v>101900.9</v>
      </c>
      <c r="M1304">
        <v>59700.75</v>
      </c>
      <c r="N1304">
        <v>730</v>
      </c>
      <c r="O1304">
        <v>154000</v>
      </c>
      <c r="P1304" t="s">
        <v>26</v>
      </c>
      <c r="Q1304" t="s">
        <v>27</v>
      </c>
      <c r="R1304">
        <v>0</v>
      </c>
      <c r="S1304" t="s">
        <v>28</v>
      </c>
    </row>
    <row r="1305" spans="1:19">
      <c r="A1305" t="s">
        <v>527</v>
      </c>
      <c r="B1305" t="s">
        <v>2911</v>
      </c>
      <c r="C1305" t="s">
        <v>31</v>
      </c>
      <c r="D1305" t="s">
        <v>32</v>
      </c>
      <c r="E1305" t="s">
        <v>90</v>
      </c>
      <c r="F1305">
        <v>58</v>
      </c>
      <c r="G1305" t="s">
        <v>34</v>
      </c>
      <c r="H1305" t="s">
        <v>2912</v>
      </c>
      <c r="I1305">
        <f>81-90-7890-1234</f>
        <v>-9133</v>
      </c>
      <c r="J1305" s="1">
        <v>45618</v>
      </c>
      <c r="K1305" s="1">
        <v>45305</v>
      </c>
      <c r="L1305">
        <v>20900.400000000001</v>
      </c>
      <c r="M1305">
        <v>11400.25</v>
      </c>
      <c r="N1305">
        <v>705</v>
      </c>
      <c r="O1305">
        <v>68000</v>
      </c>
      <c r="P1305" t="s">
        <v>26</v>
      </c>
      <c r="Q1305" t="s">
        <v>43</v>
      </c>
      <c r="R1305">
        <v>0</v>
      </c>
      <c r="S1305" t="s">
        <v>28</v>
      </c>
    </row>
    <row r="1306" spans="1:19">
      <c r="A1306" t="s">
        <v>530</v>
      </c>
      <c r="B1306" t="s">
        <v>2913</v>
      </c>
      <c r="C1306" t="s">
        <v>57</v>
      </c>
      <c r="D1306" t="s">
        <v>219</v>
      </c>
      <c r="E1306" t="s">
        <v>220</v>
      </c>
      <c r="F1306">
        <v>63</v>
      </c>
      <c r="G1306" t="s">
        <v>24</v>
      </c>
      <c r="H1306" t="s">
        <v>2914</v>
      </c>
      <c r="I1306">
        <f>233-85-678-9012</f>
        <v>-9542</v>
      </c>
      <c r="J1306" s="1">
        <v>45434</v>
      </c>
      <c r="K1306" s="1">
        <v>45303</v>
      </c>
      <c r="L1306">
        <v>46400.6</v>
      </c>
      <c r="M1306">
        <v>17800.8</v>
      </c>
      <c r="N1306">
        <v>710</v>
      </c>
      <c r="O1306">
        <v>84000</v>
      </c>
      <c r="P1306" t="s">
        <v>36</v>
      </c>
      <c r="Q1306" t="s">
        <v>27</v>
      </c>
      <c r="R1306">
        <v>0</v>
      </c>
      <c r="S1306" t="s">
        <v>28</v>
      </c>
    </row>
    <row r="1307" spans="1:19">
      <c r="A1307" t="s">
        <v>533</v>
      </c>
      <c r="B1307" t="s">
        <v>2915</v>
      </c>
      <c r="C1307" t="s">
        <v>52</v>
      </c>
      <c r="D1307" t="s">
        <v>204</v>
      </c>
      <c r="E1307" t="s">
        <v>259</v>
      </c>
      <c r="F1307">
        <v>70</v>
      </c>
      <c r="G1307" t="s">
        <v>34</v>
      </c>
      <c r="H1307" t="s">
        <v>2916</v>
      </c>
      <c r="I1307">
        <f>7-921-654-32-10</f>
        <v>-1610</v>
      </c>
      <c r="J1307" s="1">
        <v>44734</v>
      </c>
      <c r="K1307" s="1">
        <v>45301</v>
      </c>
      <c r="L1307">
        <v>77700.25</v>
      </c>
      <c r="M1307">
        <v>50800.9</v>
      </c>
      <c r="N1307">
        <v>695</v>
      </c>
      <c r="O1307">
        <v>119000</v>
      </c>
      <c r="P1307" t="s">
        <v>26</v>
      </c>
      <c r="Q1307" t="s">
        <v>27</v>
      </c>
      <c r="R1307">
        <v>0</v>
      </c>
      <c r="S1307" t="s">
        <v>28</v>
      </c>
    </row>
    <row r="1308" spans="1:19">
      <c r="A1308" t="s">
        <v>536</v>
      </c>
      <c r="B1308" t="s">
        <v>2917</v>
      </c>
      <c r="C1308" t="s">
        <v>39</v>
      </c>
      <c r="D1308" t="s">
        <v>195</v>
      </c>
      <c r="E1308" t="s">
        <v>300</v>
      </c>
      <c r="F1308">
        <v>78</v>
      </c>
      <c r="G1308" t="s">
        <v>24</v>
      </c>
      <c r="H1308" t="s">
        <v>2918</v>
      </c>
      <c r="I1308">
        <f>353-17-567-8901</f>
        <v>-9132</v>
      </c>
      <c r="J1308" s="1">
        <v>44187</v>
      </c>
      <c r="K1308" s="1">
        <v>45300</v>
      </c>
      <c r="L1308">
        <v>148700.4</v>
      </c>
      <c r="M1308">
        <v>99000.6</v>
      </c>
      <c r="N1308">
        <v>670</v>
      </c>
      <c r="O1308">
        <v>186000</v>
      </c>
      <c r="P1308" t="s">
        <v>76</v>
      </c>
      <c r="Q1308" t="s">
        <v>27</v>
      </c>
      <c r="R1308">
        <v>0</v>
      </c>
      <c r="S1308" t="s">
        <v>28</v>
      </c>
    </row>
    <row r="1309" spans="1:19">
      <c r="A1309" t="s">
        <v>539</v>
      </c>
      <c r="B1309" t="s">
        <v>2919</v>
      </c>
      <c r="C1309" t="s">
        <v>21</v>
      </c>
      <c r="D1309" t="s">
        <v>58</v>
      </c>
      <c r="E1309" t="s">
        <v>59</v>
      </c>
      <c r="F1309">
        <v>86</v>
      </c>
      <c r="G1309" t="s">
        <v>34</v>
      </c>
      <c r="H1309" t="s">
        <v>2920</v>
      </c>
      <c r="I1309">
        <f>86-139-4567-8901</f>
        <v>-13521</v>
      </c>
      <c r="J1309" s="1">
        <v>43760</v>
      </c>
      <c r="K1309" s="1">
        <v>45299</v>
      </c>
      <c r="L1309">
        <v>315600.75</v>
      </c>
      <c r="M1309">
        <v>116000.8</v>
      </c>
      <c r="N1309">
        <v>835</v>
      </c>
      <c r="O1309">
        <v>331000</v>
      </c>
      <c r="P1309" t="s">
        <v>36</v>
      </c>
      <c r="Q1309" t="s">
        <v>27</v>
      </c>
      <c r="R1309">
        <v>0</v>
      </c>
      <c r="S1309" t="s">
        <v>28</v>
      </c>
    </row>
    <row r="1310" spans="1:19">
      <c r="A1310" t="s">
        <v>542</v>
      </c>
      <c r="B1310" t="s">
        <v>2921</v>
      </c>
      <c r="C1310" t="s">
        <v>52</v>
      </c>
      <c r="D1310" t="s">
        <v>68</v>
      </c>
      <c r="E1310" t="s">
        <v>179</v>
      </c>
      <c r="F1310">
        <v>73</v>
      </c>
      <c r="G1310" t="s">
        <v>34</v>
      </c>
      <c r="H1310" t="s">
        <v>2922</v>
      </c>
      <c r="I1310">
        <f>234-845-678-9012</f>
        <v>-10301</v>
      </c>
      <c r="J1310" s="1">
        <v>44703</v>
      </c>
      <c r="K1310" s="1">
        <v>45302</v>
      </c>
      <c r="L1310">
        <v>86400.6</v>
      </c>
      <c r="M1310">
        <v>56400.25</v>
      </c>
      <c r="N1310">
        <v>665</v>
      </c>
      <c r="O1310">
        <v>139000</v>
      </c>
      <c r="P1310" t="s">
        <v>26</v>
      </c>
      <c r="Q1310" t="s">
        <v>27</v>
      </c>
      <c r="R1310">
        <v>0</v>
      </c>
      <c r="S1310" t="s">
        <v>28</v>
      </c>
    </row>
    <row r="1311" spans="1:19">
      <c r="A1311" t="s">
        <v>545</v>
      </c>
      <c r="B1311" t="s">
        <v>2923</v>
      </c>
      <c r="C1311" t="s">
        <v>46</v>
      </c>
      <c r="D1311" t="s">
        <v>241</v>
      </c>
      <c r="E1311" t="s">
        <v>389</v>
      </c>
      <c r="F1311">
        <v>65</v>
      </c>
      <c r="G1311" t="s">
        <v>24</v>
      </c>
      <c r="H1311" t="s">
        <v>2924</v>
      </c>
      <c r="I1311">
        <f>39-379-345-6789</f>
        <v>-7474</v>
      </c>
      <c r="J1311" s="1">
        <v>45344</v>
      </c>
      <c r="K1311" s="1">
        <v>45303</v>
      </c>
      <c r="L1311">
        <v>109700.8</v>
      </c>
      <c r="M1311">
        <v>63900.4</v>
      </c>
      <c r="N1311">
        <v>750</v>
      </c>
      <c r="O1311">
        <v>165000</v>
      </c>
      <c r="P1311" t="s">
        <v>26</v>
      </c>
      <c r="Q1311" t="s">
        <v>27</v>
      </c>
      <c r="R1311">
        <v>0</v>
      </c>
      <c r="S1311" t="s">
        <v>28</v>
      </c>
    </row>
    <row r="1312" spans="1:19">
      <c r="A1312" t="s">
        <v>548</v>
      </c>
      <c r="B1312" t="s">
        <v>2925</v>
      </c>
      <c r="C1312" t="s">
        <v>57</v>
      </c>
      <c r="D1312" t="s">
        <v>22</v>
      </c>
      <c r="E1312" t="s">
        <v>381</v>
      </c>
      <c r="F1312">
        <v>61</v>
      </c>
      <c r="G1312" t="s">
        <v>34</v>
      </c>
      <c r="H1312" t="s">
        <v>2926</v>
      </c>
      <c r="I1312">
        <f>1-415-555-194</f>
        <v>-1163</v>
      </c>
      <c r="J1312" s="1">
        <v>45526</v>
      </c>
      <c r="K1312" s="1">
        <v>45305</v>
      </c>
      <c r="L1312">
        <v>48600.9</v>
      </c>
      <c r="M1312">
        <v>18800.75</v>
      </c>
      <c r="N1312">
        <v>770</v>
      </c>
      <c r="O1312">
        <v>96000</v>
      </c>
      <c r="P1312" t="s">
        <v>36</v>
      </c>
      <c r="Q1312" t="s">
        <v>27</v>
      </c>
      <c r="R1312">
        <v>0</v>
      </c>
      <c r="S1312" t="s">
        <v>28</v>
      </c>
    </row>
    <row r="1313" spans="1:19">
      <c r="A1313" t="s">
        <v>551</v>
      </c>
      <c r="B1313" t="s">
        <v>2927</v>
      </c>
      <c r="C1313" t="s">
        <v>39</v>
      </c>
      <c r="D1313" t="s">
        <v>313</v>
      </c>
      <c r="E1313" t="s">
        <v>501</v>
      </c>
      <c r="F1313">
        <v>84</v>
      </c>
      <c r="G1313" t="s">
        <v>24</v>
      </c>
      <c r="H1313" t="s">
        <v>2928</v>
      </c>
      <c r="I1313">
        <f>92-331-7654321</f>
        <v>-7654560</v>
      </c>
      <c r="J1313" s="1">
        <v>43943</v>
      </c>
      <c r="K1313" s="1">
        <v>45299</v>
      </c>
      <c r="L1313">
        <v>201800.25</v>
      </c>
      <c r="M1313">
        <v>120000.8</v>
      </c>
      <c r="N1313">
        <v>645</v>
      </c>
      <c r="O1313">
        <v>236000</v>
      </c>
      <c r="P1313" t="s">
        <v>76</v>
      </c>
      <c r="Q1313" t="s">
        <v>27</v>
      </c>
      <c r="R1313">
        <v>0</v>
      </c>
      <c r="S1313" t="s">
        <v>28</v>
      </c>
    </row>
    <row r="1314" spans="1:19">
      <c r="A1314" t="s">
        <v>554</v>
      </c>
      <c r="B1314" t="s">
        <v>2929</v>
      </c>
      <c r="C1314" t="s">
        <v>31</v>
      </c>
      <c r="D1314" t="s">
        <v>214</v>
      </c>
      <c r="E1314" t="s">
        <v>483</v>
      </c>
      <c r="F1314">
        <v>57</v>
      </c>
      <c r="G1314" t="s">
        <v>34</v>
      </c>
      <c r="H1314" t="s">
        <v>2930</v>
      </c>
      <c r="I1314">
        <f>34-654-567-890</f>
        <v>-2077</v>
      </c>
      <c r="J1314" s="1">
        <v>45624</v>
      </c>
      <c r="K1314" s="1">
        <v>45306</v>
      </c>
      <c r="L1314">
        <v>41200.5</v>
      </c>
      <c r="M1314">
        <v>18400.400000000001</v>
      </c>
      <c r="N1314">
        <v>720</v>
      </c>
      <c r="O1314">
        <v>73000</v>
      </c>
      <c r="P1314" t="s">
        <v>36</v>
      </c>
      <c r="Q1314" t="s">
        <v>27</v>
      </c>
      <c r="R1314">
        <v>0</v>
      </c>
      <c r="S1314" t="s">
        <v>28</v>
      </c>
    </row>
    <row r="1315" spans="1:19">
      <c r="A1315" t="s">
        <v>108</v>
      </c>
      <c r="B1315" t="s">
        <v>2931</v>
      </c>
      <c r="C1315" t="s">
        <v>84</v>
      </c>
      <c r="D1315" t="s">
        <v>32</v>
      </c>
      <c r="E1315" t="s">
        <v>33</v>
      </c>
      <c r="F1315">
        <v>53</v>
      </c>
      <c r="G1315" t="s">
        <v>24</v>
      </c>
      <c r="H1315" t="s">
        <v>2932</v>
      </c>
      <c r="I1315">
        <f>81-90-7890-1234</f>
        <v>-9133</v>
      </c>
      <c r="J1315" s="1">
        <v>45624</v>
      </c>
      <c r="K1315" s="1">
        <v>45304</v>
      </c>
      <c r="L1315">
        <v>4950.8</v>
      </c>
      <c r="M1315">
        <v>14800.25</v>
      </c>
      <c r="N1315">
        <v>605</v>
      </c>
      <c r="O1315">
        <v>49000</v>
      </c>
      <c r="P1315" t="s">
        <v>76</v>
      </c>
      <c r="Q1315" t="s">
        <v>43</v>
      </c>
      <c r="R1315">
        <v>0</v>
      </c>
      <c r="S1315" t="s">
        <v>28</v>
      </c>
    </row>
    <row r="1316" spans="1:19">
      <c r="A1316" t="s">
        <v>559</v>
      </c>
      <c r="B1316" t="s">
        <v>2933</v>
      </c>
      <c r="C1316" t="s">
        <v>46</v>
      </c>
      <c r="D1316" t="s">
        <v>254</v>
      </c>
      <c r="E1316" t="s">
        <v>255</v>
      </c>
      <c r="F1316">
        <v>67</v>
      </c>
      <c r="G1316" t="s">
        <v>34</v>
      </c>
      <c r="H1316" t="s">
        <v>2934</v>
      </c>
      <c r="I1316">
        <f>221-9-345-6789</f>
        <v>-6922</v>
      </c>
      <c r="J1316" s="1">
        <v>45221</v>
      </c>
      <c r="K1316" s="1">
        <v>45302</v>
      </c>
      <c r="L1316">
        <v>96400.4</v>
      </c>
      <c r="M1316">
        <v>58600.75</v>
      </c>
      <c r="N1316">
        <v>710</v>
      </c>
      <c r="O1316">
        <v>147000</v>
      </c>
      <c r="P1316" t="s">
        <v>26</v>
      </c>
      <c r="Q1316" t="s">
        <v>27</v>
      </c>
      <c r="R1316">
        <v>0</v>
      </c>
      <c r="S1316" t="s">
        <v>28</v>
      </c>
    </row>
    <row r="1317" spans="1:19">
      <c r="A1317" t="s">
        <v>562</v>
      </c>
      <c r="B1317" t="s">
        <v>2935</v>
      </c>
      <c r="C1317" t="s">
        <v>39</v>
      </c>
      <c r="D1317" t="s">
        <v>47</v>
      </c>
      <c r="E1317" t="s">
        <v>48</v>
      </c>
      <c r="F1317">
        <v>81</v>
      </c>
      <c r="G1317" t="s">
        <v>24</v>
      </c>
      <c r="H1317" t="s">
        <v>2936</v>
      </c>
      <c r="I1317">
        <f>44-79-6789-123</f>
        <v>-6947</v>
      </c>
      <c r="J1317" s="1">
        <v>44096</v>
      </c>
      <c r="K1317" s="1">
        <v>45300</v>
      </c>
      <c r="L1317">
        <v>182000.6</v>
      </c>
      <c r="M1317">
        <v>113000.25</v>
      </c>
      <c r="N1317">
        <v>675</v>
      </c>
      <c r="O1317">
        <v>216000</v>
      </c>
      <c r="P1317" t="s">
        <v>76</v>
      </c>
      <c r="Q1317" t="s">
        <v>27</v>
      </c>
      <c r="R1317">
        <v>0</v>
      </c>
      <c r="S1317" t="s">
        <v>28</v>
      </c>
    </row>
    <row r="1318" spans="1:19">
      <c r="A1318" t="s">
        <v>565</v>
      </c>
      <c r="B1318" t="s">
        <v>2937</v>
      </c>
      <c r="C1318" t="s">
        <v>52</v>
      </c>
      <c r="D1318" t="s">
        <v>233</v>
      </c>
      <c r="E1318" t="s">
        <v>296</v>
      </c>
      <c r="F1318">
        <v>66</v>
      </c>
      <c r="G1318" t="s">
        <v>34</v>
      </c>
      <c r="H1318" t="s">
        <v>2938</v>
      </c>
      <c r="I1318">
        <f>82-10-5678-9012</f>
        <v>-14618</v>
      </c>
      <c r="J1318" s="1">
        <v>45007</v>
      </c>
      <c r="K1318" s="1">
        <v>45301</v>
      </c>
      <c r="L1318">
        <v>72800.75</v>
      </c>
      <c r="M1318">
        <v>49700.800000000003</v>
      </c>
      <c r="N1318">
        <v>725</v>
      </c>
      <c r="O1318">
        <v>113000</v>
      </c>
      <c r="P1318" t="s">
        <v>26</v>
      </c>
      <c r="Q1318" t="s">
        <v>27</v>
      </c>
      <c r="R1318">
        <v>0</v>
      </c>
      <c r="S1318" t="s">
        <v>28</v>
      </c>
    </row>
    <row r="1319" spans="1:19">
      <c r="A1319" t="s">
        <v>568</v>
      </c>
      <c r="B1319" t="s">
        <v>2939</v>
      </c>
      <c r="C1319" t="s">
        <v>57</v>
      </c>
      <c r="D1319" t="s">
        <v>79</v>
      </c>
      <c r="E1319" t="s">
        <v>102</v>
      </c>
      <c r="F1319">
        <v>64</v>
      </c>
      <c r="G1319" t="s">
        <v>24</v>
      </c>
      <c r="H1319" t="s">
        <v>2940</v>
      </c>
      <c r="I1319">
        <f>971-50-789-123</f>
        <v>9</v>
      </c>
      <c r="J1319" s="1">
        <v>45465</v>
      </c>
      <c r="K1319" s="1">
        <v>45303</v>
      </c>
      <c r="L1319">
        <v>50800.4</v>
      </c>
      <c r="M1319">
        <v>19600.900000000001</v>
      </c>
      <c r="N1319">
        <v>740</v>
      </c>
      <c r="O1319">
        <v>99000</v>
      </c>
      <c r="P1319" t="s">
        <v>36</v>
      </c>
      <c r="Q1319" t="s">
        <v>27</v>
      </c>
      <c r="R1319">
        <v>0</v>
      </c>
      <c r="S1319" t="s">
        <v>28</v>
      </c>
    </row>
    <row r="1320" spans="1:19">
      <c r="A1320" t="s">
        <v>571</v>
      </c>
      <c r="B1320" t="s">
        <v>2941</v>
      </c>
      <c r="C1320" t="s">
        <v>21</v>
      </c>
      <c r="D1320" t="s">
        <v>63</v>
      </c>
      <c r="E1320" t="s">
        <v>106</v>
      </c>
      <c r="F1320">
        <v>87</v>
      </c>
      <c r="G1320" t="s">
        <v>34</v>
      </c>
      <c r="H1320" t="s">
        <v>2942</v>
      </c>
      <c r="I1320">
        <f>55-21-99989-123</f>
        <v>-100078</v>
      </c>
      <c r="J1320" s="1">
        <v>43638</v>
      </c>
      <c r="K1320" s="1">
        <v>45299</v>
      </c>
      <c r="L1320">
        <v>270900.90000000002</v>
      </c>
      <c r="M1320">
        <v>103000.6</v>
      </c>
      <c r="N1320">
        <v>830</v>
      </c>
      <c r="O1320">
        <v>311000</v>
      </c>
      <c r="P1320" t="s">
        <v>36</v>
      </c>
      <c r="Q1320" t="s">
        <v>27</v>
      </c>
      <c r="R1320">
        <v>0</v>
      </c>
      <c r="S1320" t="s">
        <v>28</v>
      </c>
    </row>
    <row r="1321" spans="1:19">
      <c r="A1321" t="s">
        <v>574</v>
      </c>
      <c r="B1321" t="s">
        <v>2943</v>
      </c>
      <c r="C1321" t="s">
        <v>39</v>
      </c>
      <c r="D1321" t="s">
        <v>68</v>
      </c>
      <c r="E1321" t="s">
        <v>114</v>
      </c>
      <c r="F1321">
        <v>79</v>
      </c>
      <c r="G1321" t="s">
        <v>24</v>
      </c>
      <c r="H1321" t="s">
        <v>2944</v>
      </c>
      <c r="I1321">
        <f>234-846-789-123</f>
        <v>-1524</v>
      </c>
      <c r="J1321" s="1">
        <v>44239</v>
      </c>
      <c r="K1321" s="1">
        <v>45300</v>
      </c>
      <c r="L1321">
        <v>159800.25</v>
      </c>
      <c r="M1321">
        <v>105000.4</v>
      </c>
      <c r="N1321">
        <v>655</v>
      </c>
      <c r="O1321">
        <v>201000</v>
      </c>
      <c r="P1321" t="s">
        <v>76</v>
      </c>
      <c r="Q1321" t="s">
        <v>27</v>
      </c>
      <c r="R1321">
        <v>0</v>
      </c>
      <c r="S1321" t="s">
        <v>28</v>
      </c>
    </row>
    <row r="1322" spans="1:19">
      <c r="A1322" t="s">
        <v>577</v>
      </c>
      <c r="B1322" t="s">
        <v>2945</v>
      </c>
      <c r="C1322" t="s">
        <v>46</v>
      </c>
      <c r="D1322" t="s">
        <v>85</v>
      </c>
      <c r="E1322" t="s">
        <v>130</v>
      </c>
      <c r="F1322">
        <v>68</v>
      </c>
      <c r="G1322" t="s">
        <v>34</v>
      </c>
      <c r="H1322" t="s">
        <v>2946</v>
      </c>
      <c r="I1322">
        <f>1-604-555-198</f>
        <v>-1356</v>
      </c>
      <c r="J1322" s="1">
        <v>45129</v>
      </c>
      <c r="K1322" s="1">
        <v>45302</v>
      </c>
      <c r="L1322">
        <v>115300.6</v>
      </c>
      <c r="M1322">
        <v>66600.75</v>
      </c>
      <c r="N1322">
        <v>760</v>
      </c>
      <c r="O1322">
        <v>170000</v>
      </c>
      <c r="P1322" t="s">
        <v>26</v>
      </c>
      <c r="Q1322" t="s">
        <v>27</v>
      </c>
      <c r="R1322">
        <v>0</v>
      </c>
      <c r="S1322" t="s">
        <v>28</v>
      </c>
    </row>
    <row r="1323" spans="1:19">
      <c r="A1323" t="s">
        <v>458</v>
      </c>
      <c r="B1323" t="s">
        <v>2947</v>
      </c>
      <c r="C1323" t="s">
        <v>31</v>
      </c>
      <c r="D1323" t="s">
        <v>460</v>
      </c>
      <c r="E1323" t="s">
        <v>461</v>
      </c>
      <c r="F1323">
        <v>59</v>
      </c>
      <c r="G1323" t="s">
        <v>24</v>
      </c>
      <c r="H1323" t="s">
        <v>2948</v>
      </c>
      <c r="I1323">
        <f>62-843-4567-8901</f>
        <v>-14249</v>
      </c>
      <c r="J1323" s="1">
        <v>45624</v>
      </c>
      <c r="K1323" s="1">
        <v>45306</v>
      </c>
      <c r="L1323">
        <v>23900.25</v>
      </c>
      <c r="M1323">
        <v>14200.8</v>
      </c>
      <c r="N1323">
        <v>695</v>
      </c>
      <c r="O1323">
        <v>70000</v>
      </c>
      <c r="P1323" t="s">
        <v>26</v>
      </c>
      <c r="Q1323" t="s">
        <v>43</v>
      </c>
      <c r="R1323">
        <v>0</v>
      </c>
      <c r="S1323" t="s">
        <v>28</v>
      </c>
    </row>
    <row r="1324" spans="1:19">
      <c r="A1324" t="s">
        <v>582</v>
      </c>
      <c r="B1324" t="s">
        <v>2949</v>
      </c>
      <c r="C1324" t="s">
        <v>57</v>
      </c>
      <c r="D1324" t="s">
        <v>22</v>
      </c>
      <c r="E1324" t="s">
        <v>53</v>
      </c>
      <c r="F1324">
        <v>62</v>
      </c>
      <c r="G1324" t="s">
        <v>34</v>
      </c>
      <c r="H1324" t="s">
        <v>2950</v>
      </c>
      <c r="I1324">
        <f>1-773-555-198</f>
        <v>-1525</v>
      </c>
      <c r="J1324" s="1">
        <v>45404</v>
      </c>
      <c r="K1324" s="1">
        <v>45303</v>
      </c>
      <c r="L1324">
        <v>49700.9</v>
      </c>
      <c r="M1324">
        <v>19200.25</v>
      </c>
      <c r="N1324">
        <v>755</v>
      </c>
      <c r="O1324">
        <v>92000</v>
      </c>
      <c r="P1324" t="s">
        <v>36</v>
      </c>
      <c r="Q1324" t="s">
        <v>27</v>
      </c>
      <c r="R1324">
        <v>0</v>
      </c>
      <c r="S1324" t="s">
        <v>28</v>
      </c>
    </row>
    <row r="1325" spans="1:19">
      <c r="A1325" t="s">
        <v>55</v>
      </c>
      <c r="B1325" t="s">
        <v>2951</v>
      </c>
      <c r="C1325" t="s">
        <v>39</v>
      </c>
      <c r="D1325" t="s">
        <v>58</v>
      </c>
      <c r="E1325" t="s">
        <v>122</v>
      </c>
      <c r="F1325">
        <v>80</v>
      </c>
      <c r="G1325" t="s">
        <v>24</v>
      </c>
      <c r="H1325" t="s">
        <v>2952</v>
      </c>
      <c r="I1325">
        <f>86-138-8901-2345</f>
        <v>-11298</v>
      </c>
      <c r="J1325" s="1">
        <v>44157</v>
      </c>
      <c r="K1325" s="1">
        <v>45300</v>
      </c>
      <c r="L1325">
        <v>192700.4</v>
      </c>
      <c r="M1325">
        <v>118000.75</v>
      </c>
      <c r="N1325">
        <v>685</v>
      </c>
      <c r="O1325">
        <v>226000</v>
      </c>
      <c r="P1325" t="s">
        <v>76</v>
      </c>
      <c r="Q1325" t="s">
        <v>27</v>
      </c>
      <c r="R1325">
        <v>0</v>
      </c>
      <c r="S1325" t="s">
        <v>28</v>
      </c>
    </row>
    <row r="1326" spans="1:19">
      <c r="A1326" t="s">
        <v>469</v>
      </c>
      <c r="B1326" t="s">
        <v>2953</v>
      </c>
      <c r="C1326" t="s">
        <v>52</v>
      </c>
      <c r="D1326" t="s">
        <v>471</v>
      </c>
      <c r="E1326" t="s">
        <v>472</v>
      </c>
      <c r="F1326">
        <v>71</v>
      </c>
      <c r="G1326" t="s">
        <v>34</v>
      </c>
      <c r="H1326" t="s">
        <v>2954</v>
      </c>
      <c r="I1326">
        <f>48-731-345-678</f>
        <v>-1706</v>
      </c>
      <c r="J1326" s="1">
        <v>44795</v>
      </c>
      <c r="K1326" s="1">
        <v>45301</v>
      </c>
      <c r="L1326">
        <v>79700.800000000003</v>
      </c>
      <c r="M1326">
        <v>52800.6</v>
      </c>
      <c r="N1326">
        <v>715</v>
      </c>
      <c r="O1326">
        <v>125000</v>
      </c>
      <c r="P1326" t="s">
        <v>26</v>
      </c>
      <c r="Q1326" t="s">
        <v>27</v>
      </c>
      <c r="R1326">
        <v>0</v>
      </c>
      <c r="S1326" t="s">
        <v>28</v>
      </c>
    </row>
    <row r="1327" spans="1:19">
      <c r="A1327" t="s">
        <v>474</v>
      </c>
      <c r="B1327" t="s">
        <v>2955</v>
      </c>
      <c r="C1327" t="s">
        <v>46</v>
      </c>
      <c r="D1327" t="s">
        <v>345</v>
      </c>
      <c r="E1327" t="s">
        <v>476</v>
      </c>
      <c r="F1327">
        <v>74</v>
      </c>
      <c r="G1327" t="s">
        <v>24</v>
      </c>
      <c r="H1327" t="s">
        <v>2956</v>
      </c>
      <c r="I1327">
        <f>880-1812-567890</f>
        <v>-568822</v>
      </c>
      <c r="J1327" s="1">
        <v>44703</v>
      </c>
      <c r="K1327" s="1">
        <v>45302</v>
      </c>
      <c r="L1327">
        <v>107500.25</v>
      </c>
      <c r="M1327">
        <v>62800.4</v>
      </c>
      <c r="N1327">
        <v>680</v>
      </c>
      <c r="O1327">
        <v>154000</v>
      </c>
      <c r="P1327" t="s">
        <v>26</v>
      </c>
      <c r="Q1327" t="s">
        <v>27</v>
      </c>
      <c r="R1327">
        <v>0</v>
      </c>
      <c r="S1327" t="s">
        <v>28</v>
      </c>
    </row>
    <row r="1328" spans="1:19">
      <c r="A1328" t="s">
        <v>592</v>
      </c>
      <c r="B1328" t="s">
        <v>2957</v>
      </c>
      <c r="C1328" t="s">
        <v>84</v>
      </c>
      <c r="D1328" t="s">
        <v>32</v>
      </c>
      <c r="E1328" t="s">
        <v>90</v>
      </c>
      <c r="F1328">
        <v>54</v>
      </c>
      <c r="G1328" t="s">
        <v>34</v>
      </c>
      <c r="H1328" t="s">
        <v>2958</v>
      </c>
      <c r="I1328">
        <f>81-90-8901-2345</f>
        <v>-11255</v>
      </c>
      <c r="J1328" s="1">
        <v>45631</v>
      </c>
      <c r="K1328" s="1">
        <v>45304</v>
      </c>
      <c r="L1328">
        <v>5050.3999999999996</v>
      </c>
      <c r="M1328">
        <v>15400.75</v>
      </c>
      <c r="N1328">
        <v>610</v>
      </c>
      <c r="O1328">
        <v>50000</v>
      </c>
      <c r="P1328" t="s">
        <v>76</v>
      </c>
      <c r="Q1328" t="s">
        <v>43</v>
      </c>
      <c r="R1328">
        <v>0</v>
      </c>
      <c r="S1328" t="s">
        <v>28</v>
      </c>
    </row>
    <row r="1329" spans="1:19">
      <c r="A1329" t="s">
        <v>595</v>
      </c>
      <c r="B1329" t="s">
        <v>2959</v>
      </c>
      <c r="C1329" t="s">
        <v>21</v>
      </c>
      <c r="D1329" t="s">
        <v>209</v>
      </c>
      <c r="E1329" t="s">
        <v>210</v>
      </c>
      <c r="F1329">
        <v>86</v>
      </c>
      <c r="G1329" t="s">
        <v>24</v>
      </c>
      <c r="H1329" t="s">
        <v>2960</v>
      </c>
      <c r="I1329">
        <f>52-55-5678-123</f>
        <v>-5804</v>
      </c>
      <c r="J1329" s="1">
        <v>43852</v>
      </c>
      <c r="K1329" s="1">
        <v>45299</v>
      </c>
      <c r="L1329">
        <v>290700.79999999999</v>
      </c>
      <c r="M1329">
        <v>109000.25</v>
      </c>
      <c r="N1329">
        <v>825</v>
      </c>
      <c r="O1329">
        <v>306000</v>
      </c>
      <c r="P1329" t="s">
        <v>36</v>
      </c>
      <c r="Q1329" t="s">
        <v>27</v>
      </c>
      <c r="R1329">
        <v>0</v>
      </c>
      <c r="S1329" t="s">
        <v>28</v>
      </c>
    </row>
    <row r="1330" spans="1:19">
      <c r="A1330" t="s">
        <v>226</v>
      </c>
      <c r="B1330" t="s">
        <v>2961</v>
      </c>
      <c r="C1330" t="s">
        <v>57</v>
      </c>
      <c r="D1330" t="s">
        <v>228</v>
      </c>
      <c r="E1330" t="s">
        <v>678</v>
      </c>
      <c r="F1330">
        <v>61</v>
      </c>
      <c r="G1330" t="s">
        <v>34</v>
      </c>
      <c r="H1330" t="s">
        <v>2962</v>
      </c>
      <c r="I1330">
        <f>254-755-678-901</f>
        <v>-2080</v>
      </c>
      <c r="J1330" s="1">
        <v>45587</v>
      </c>
      <c r="K1330" s="1">
        <v>45305</v>
      </c>
      <c r="L1330">
        <v>46400.75</v>
      </c>
      <c r="M1330">
        <v>17600.400000000001</v>
      </c>
      <c r="N1330">
        <v>725</v>
      </c>
      <c r="O1330">
        <v>82000</v>
      </c>
      <c r="P1330" t="s">
        <v>36</v>
      </c>
      <c r="Q1330" t="s">
        <v>27</v>
      </c>
      <c r="R1330">
        <v>0</v>
      </c>
      <c r="S1330" t="s">
        <v>28</v>
      </c>
    </row>
    <row r="1331" spans="1:19">
      <c r="A1331" t="s">
        <v>488</v>
      </c>
      <c r="B1331" t="s">
        <v>2963</v>
      </c>
      <c r="C1331" t="s">
        <v>39</v>
      </c>
      <c r="D1331" t="s">
        <v>304</v>
      </c>
      <c r="E1331" t="s">
        <v>304</v>
      </c>
      <c r="F1331">
        <v>78</v>
      </c>
      <c r="G1331" t="s">
        <v>24</v>
      </c>
      <c r="H1331" t="s">
        <v>2964</v>
      </c>
      <c r="I1331">
        <f>65-1490-1234</f>
        <v>-2659</v>
      </c>
      <c r="J1331" s="1">
        <v>44328</v>
      </c>
      <c r="K1331" s="1">
        <v>45300</v>
      </c>
      <c r="L1331">
        <v>170900.6</v>
      </c>
      <c r="M1331">
        <v>109000.9</v>
      </c>
      <c r="N1331">
        <v>675</v>
      </c>
      <c r="O1331">
        <v>206000</v>
      </c>
      <c r="P1331" t="s">
        <v>76</v>
      </c>
      <c r="Q1331" t="s">
        <v>27</v>
      </c>
      <c r="R1331">
        <v>0</v>
      </c>
      <c r="S1331" t="s">
        <v>28</v>
      </c>
    </row>
    <row r="1332" spans="1:19">
      <c r="A1332" t="s">
        <v>491</v>
      </c>
      <c r="B1332" t="s">
        <v>2965</v>
      </c>
      <c r="C1332" t="s">
        <v>52</v>
      </c>
      <c r="D1332" t="s">
        <v>493</v>
      </c>
      <c r="E1332" t="s">
        <v>494</v>
      </c>
      <c r="F1332">
        <v>69</v>
      </c>
      <c r="G1332" t="s">
        <v>34</v>
      </c>
      <c r="H1332" t="s">
        <v>2966</v>
      </c>
      <c r="I1332">
        <f>30-723-456-7890</f>
        <v>-9039</v>
      </c>
      <c r="J1332" s="1">
        <v>45099</v>
      </c>
      <c r="K1332" s="1">
        <v>45302</v>
      </c>
      <c r="L1332">
        <v>73900.399999999994</v>
      </c>
      <c r="M1332">
        <v>48600.25</v>
      </c>
      <c r="N1332">
        <v>705</v>
      </c>
      <c r="O1332">
        <v>114000</v>
      </c>
      <c r="P1332" t="s">
        <v>26</v>
      </c>
      <c r="Q1332" t="s">
        <v>27</v>
      </c>
      <c r="R1332">
        <v>0</v>
      </c>
      <c r="S1332" t="s">
        <v>28</v>
      </c>
    </row>
    <row r="1333" spans="1:19">
      <c r="A1333" t="s">
        <v>496</v>
      </c>
      <c r="B1333" t="s">
        <v>2967</v>
      </c>
      <c r="C1333" t="s">
        <v>46</v>
      </c>
      <c r="D1333" t="s">
        <v>321</v>
      </c>
      <c r="E1333" t="s">
        <v>498</v>
      </c>
      <c r="F1333">
        <v>72</v>
      </c>
      <c r="G1333" t="s">
        <v>24</v>
      </c>
      <c r="H1333" t="s">
        <v>2968</v>
      </c>
      <c r="I1333">
        <f>61-455-678-901</f>
        <v>-1973</v>
      </c>
      <c r="J1333" s="1">
        <v>44583</v>
      </c>
      <c r="K1333" s="1">
        <v>45301</v>
      </c>
      <c r="L1333">
        <v>119100.75</v>
      </c>
      <c r="M1333">
        <v>69700.800000000003</v>
      </c>
      <c r="N1333">
        <v>730</v>
      </c>
      <c r="O1333">
        <v>180000</v>
      </c>
      <c r="P1333" t="s">
        <v>26</v>
      </c>
      <c r="Q1333" t="s">
        <v>27</v>
      </c>
      <c r="R1333">
        <v>0</v>
      </c>
      <c r="S1333" t="s">
        <v>28</v>
      </c>
    </row>
    <row r="1334" spans="1:19">
      <c r="A1334" t="s">
        <v>324</v>
      </c>
      <c r="B1334" t="s">
        <v>2969</v>
      </c>
      <c r="C1334" t="s">
        <v>31</v>
      </c>
      <c r="D1334" t="s">
        <v>313</v>
      </c>
      <c r="E1334" t="s">
        <v>314</v>
      </c>
      <c r="F1334">
        <v>57</v>
      </c>
      <c r="G1334" t="s">
        <v>34</v>
      </c>
      <c r="H1334" t="s">
        <v>2970</v>
      </c>
      <c r="I1334">
        <f>92-353-6543210</f>
        <v>-6543471</v>
      </c>
      <c r="J1334" s="1">
        <v>45624</v>
      </c>
      <c r="K1334" s="1">
        <v>45306</v>
      </c>
      <c r="L1334">
        <v>20200.900000000001</v>
      </c>
      <c r="M1334">
        <v>11500.75</v>
      </c>
      <c r="N1334">
        <v>685</v>
      </c>
      <c r="O1334">
        <v>67000</v>
      </c>
      <c r="P1334" t="s">
        <v>26</v>
      </c>
      <c r="Q1334" t="s">
        <v>43</v>
      </c>
      <c r="R1334">
        <v>0</v>
      </c>
      <c r="S1334" t="s">
        <v>28</v>
      </c>
    </row>
    <row r="1335" spans="1:19">
      <c r="A1335" t="s">
        <v>503</v>
      </c>
      <c r="B1335" t="s">
        <v>2971</v>
      </c>
      <c r="C1335" t="s">
        <v>21</v>
      </c>
      <c r="D1335" t="s">
        <v>32</v>
      </c>
      <c r="E1335" t="s">
        <v>33</v>
      </c>
      <c r="F1335">
        <v>89</v>
      </c>
      <c r="G1335" t="s">
        <v>24</v>
      </c>
      <c r="H1335" t="s">
        <v>2972</v>
      </c>
      <c r="I1335">
        <f>81-80-3456-7890</f>
        <v>-11345</v>
      </c>
      <c r="J1335" s="1">
        <v>43577</v>
      </c>
      <c r="K1335" s="1">
        <v>45299</v>
      </c>
      <c r="L1335">
        <v>301600.25</v>
      </c>
      <c r="M1335">
        <v>113000.4</v>
      </c>
      <c r="N1335">
        <v>840</v>
      </c>
      <c r="O1335">
        <v>321000</v>
      </c>
      <c r="P1335" t="s">
        <v>36</v>
      </c>
      <c r="Q1335" t="s">
        <v>27</v>
      </c>
      <c r="R1335">
        <v>0</v>
      </c>
      <c r="S1335" t="s">
        <v>28</v>
      </c>
    </row>
    <row r="1336" spans="1:19">
      <c r="A1336" t="s">
        <v>506</v>
      </c>
      <c r="B1336" t="s">
        <v>2973</v>
      </c>
      <c r="C1336" t="s">
        <v>39</v>
      </c>
      <c r="D1336" t="s">
        <v>68</v>
      </c>
      <c r="E1336" t="s">
        <v>69</v>
      </c>
      <c r="F1336">
        <v>81</v>
      </c>
      <c r="G1336" t="s">
        <v>34</v>
      </c>
      <c r="H1336" t="s">
        <v>2974</v>
      </c>
      <c r="I1336">
        <f>234-845-678-9012</f>
        <v>-10301</v>
      </c>
      <c r="J1336" s="1">
        <v>44096</v>
      </c>
      <c r="K1336" s="1">
        <v>45300</v>
      </c>
      <c r="L1336">
        <v>182000.4</v>
      </c>
      <c r="M1336">
        <v>113000.75</v>
      </c>
      <c r="N1336">
        <v>650</v>
      </c>
      <c r="O1336">
        <v>216000</v>
      </c>
      <c r="P1336" t="s">
        <v>76</v>
      </c>
      <c r="Q1336" t="s">
        <v>27</v>
      </c>
      <c r="R1336">
        <v>0</v>
      </c>
      <c r="S1336" t="s">
        <v>28</v>
      </c>
    </row>
    <row r="1337" spans="1:19">
      <c r="A1337" t="s">
        <v>509</v>
      </c>
      <c r="B1337" t="s">
        <v>2975</v>
      </c>
      <c r="C1337" t="s">
        <v>46</v>
      </c>
      <c r="D1337" t="s">
        <v>73</v>
      </c>
      <c r="E1337" t="s">
        <v>126</v>
      </c>
      <c r="F1337">
        <v>68</v>
      </c>
      <c r="G1337" t="s">
        <v>24</v>
      </c>
      <c r="H1337" t="s">
        <v>2976</v>
      </c>
      <c r="I1337">
        <f>49-207-8901234</f>
        <v>-8901392</v>
      </c>
      <c r="J1337" s="1">
        <v>45313</v>
      </c>
      <c r="K1337" s="1">
        <v>45303</v>
      </c>
      <c r="L1337">
        <v>107900.4</v>
      </c>
      <c r="M1337">
        <v>63900.25</v>
      </c>
      <c r="N1337">
        <v>745</v>
      </c>
      <c r="O1337">
        <v>160000</v>
      </c>
      <c r="P1337" t="s">
        <v>26</v>
      </c>
      <c r="Q1337" t="s">
        <v>27</v>
      </c>
      <c r="R1337">
        <v>0</v>
      </c>
      <c r="S1337" t="s">
        <v>28</v>
      </c>
    </row>
    <row r="1338" spans="1:19">
      <c r="A1338" t="s">
        <v>513</v>
      </c>
      <c r="B1338" t="s">
        <v>2977</v>
      </c>
      <c r="C1338" t="s">
        <v>57</v>
      </c>
      <c r="D1338" t="s">
        <v>58</v>
      </c>
      <c r="E1338" t="s">
        <v>122</v>
      </c>
      <c r="F1338">
        <v>63</v>
      </c>
      <c r="G1338" t="s">
        <v>34</v>
      </c>
      <c r="H1338" t="s">
        <v>2978</v>
      </c>
      <c r="I1338">
        <f>86-137-8901-2345</f>
        <v>-11297</v>
      </c>
      <c r="J1338" s="1">
        <v>45495</v>
      </c>
      <c r="K1338" s="1">
        <v>45302</v>
      </c>
      <c r="L1338">
        <v>48600.800000000003</v>
      </c>
      <c r="M1338">
        <v>18800.900000000001</v>
      </c>
      <c r="N1338">
        <v>765</v>
      </c>
      <c r="O1338">
        <v>92000</v>
      </c>
      <c r="P1338" t="s">
        <v>36</v>
      </c>
      <c r="Q1338" t="s">
        <v>27</v>
      </c>
      <c r="R1338">
        <v>0</v>
      </c>
      <c r="S1338" t="s">
        <v>28</v>
      </c>
    </row>
    <row r="1339" spans="1:19">
      <c r="A1339" t="s">
        <v>516</v>
      </c>
      <c r="B1339" t="s">
        <v>2979</v>
      </c>
      <c r="C1339" t="s">
        <v>52</v>
      </c>
      <c r="D1339" t="s">
        <v>277</v>
      </c>
      <c r="E1339" t="s">
        <v>278</v>
      </c>
      <c r="F1339">
        <v>76</v>
      </c>
      <c r="G1339" t="s">
        <v>24</v>
      </c>
      <c r="H1339" t="s">
        <v>2980</v>
      </c>
      <c r="I1339">
        <f>20-122-765-4321</f>
        <v>-5188</v>
      </c>
      <c r="J1339" s="1">
        <v>44764</v>
      </c>
      <c r="K1339" s="1">
        <v>45301</v>
      </c>
      <c r="L1339">
        <v>81900.75</v>
      </c>
      <c r="M1339">
        <v>55000.4</v>
      </c>
      <c r="N1339">
        <v>675</v>
      </c>
      <c r="O1339">
        <v>132000</v>
      </c>
      <c r="P1339" t="s">
        <v>26</v>
      </c>
      <c r="Q1339" t="s">
        <v>27</v>
      </c>
      <c r="R1339">
        <v>0</v>
      </c>
      <c r="S1339" t="s">
        <v>28</v>
      </c>
    </row>
    <row r="1340" spans="1:19">
      <c r="A1340" t="s">
        <v>519</v>
      </c>
      <c r="B1340" t="s">
        <v>2981</v>
      </c>
      <c r="C1340" t="s">
        <v>84</v>
      </c>
      <c r="D1340" t="s">
        <v>183</v>
      </c>
      <c r="E1340" t="s">
        <v>273</v>
      </c>
      <c r="F1340">
        <v>55</v>
      </c>
      <c r="G1340" t="s">
        <v>34</v>
      </c>
      <c r="H1340" t="s">
        <v>2982</v>
      </c>
      <c r="I1340">
        <f>33-6-5678-9012</f>
        <v>-14663</v>
      </c>
      <c r="J1340" s="1">
        <v>45638</v>
      </c>
      <c r="K1340" s="1">
        <v>45304</v>
      </c>
      <c r="L1340">
        <v>5300.25</v>
      </c>
      <c r="M1340">
        <v>16600.599999999999</v>
      </c>
      <c r="N1340">
        <v>615</v>
      </c>
      <c r="O1340">
        <v>52000</v>
      </c>
      <c r="P1340" t="s">
        <v>76</v>
      </c>
      <c r="Q1340" t="s">
        <v>43</v>
      </c>
      <c r="R1340">
        <v>0</v>
      </c>
      <c r="S1340" t="s">
        <v>28</v>
      </c>
    </row>
    <row r="1341" spans="1:19">
      <c r="A1341" t="s">
        <v>522</v>
      </c>
      <c r="B1341" t="s">
        <v>2983</v>
      </c>
      <c r="C1341" t="s">
        <v>39</v>
      </c>
      <c r="D1341" t="s">
        <v>40</v>
      </c>
      <c r="E1341" t="s">
        <v>94</v>
      </c>
      <c r="F1341">
        <v>83</v>
      </c>
      <c r="G1341" t="s">
        <v>24</v>
      </c>
      <c r="H1341" t="s">
        <v>2984</v>
      </c>
      <c r="I1341">
        <f>91-987-654-3210</f>
        <v>-4760</v>
      </c>
      <c r="J1341" s="1">
        <v>44065</v>
      </c>
      <c r="K1341" s="1">
        <v>45299</v>
      </c>
      <c r="L1341">
        <v>216600.8</v>
      </c>
      <c r="M1341">
        <v>126000.25</v>
      </c>
      <c r="N1341">
        <v>660</v>
      </c>
      <c r="O1341">
        <v>251000</v>
      </c>
      <c r="P1341" t="s">
        <v>76</v>
      </c>
      <c r="Q1341" t="s">
        <v>27</v>
      </c>
      <c r="R1341">
        <v>0</v>
      </c>
      <c r="S1341" t="s">
        <v>28</v>
      </c>
    </row>
    <row r="1342" spans="1:19">
      <c r="A1342" t="s">
        <v>306</v>
      </c>
      <c r="B1342" t="s">
        <v>2985</v>
      </c>
      <c r="C1342" t="s">
        <v>46</v>
      </c>
      <c r="D1342" t="s">
        <v>209</v>
      </c>
      <c r="E1342" t="s">
        <v>210</v>
      </c>
      <c r="F1342">
        <v>70</v>
      </c>
      <c r="G1342" t="s">
        <v>34</v>
      </c>
      <c r="H1342" t="s">
        <v>2986</v>
      </c>
      <c r="I1342">
        <f>52-55-6789-123</f>
        <v>-6915</v>
      </c>
      <c r="J1342" s="1">
        <v>44917</v>
      </c>
      <c r="K1342" s="1">
        <v>45302</v>
      </c>
      <c r="L1342">
        <v>103000.9</v>
      </c>
      <c r="M1342">
        <v>60800.75</v>
      </c>
      <c r="N1342">
        <v>730</v>
      </c>
      <c r="O1342">
        <v>155000</v>
      </c>
      <c r="P1342" t="s">
        <v>26</v>
      </c>
      <c r="Q1342" t="s">
        <v>27</v>
      </c>
      <c r="R1342">
        <v>0</v>
      </c>
      <c r="S1342" t="s">
        <v>28</v>
      </c>
    </row>
    <row r="1343" spans="1:19">
      <c r="A1343" t="s">
        <v>527</v>
      </c>
      <c r="B1343" t="s">
        <v>2987</v>
      </c>
      <c r="C1343" t="s">
        <v>31</v>
      </c>
      <c r="D1343" t="s">
        <v>32</v>
      </c>
      <c r="E1343" t="s">
        <v>90</v>
      </c>
      <c r="F1343">
        <v>59</v>
      </c>
      <c r="G1343" t="s">
        <v>34</v>
      </c>
      <c r="H1343" t="s">
        <v>2988</v>
      </c>
      <c r="I1343">
        <f>81-90-8901-2345</f>
        <v>-11255</v>
      </c>
      <c r="J1343" s="1">
        <v>45634</v>
      </c>
      <c r="K1343" s="1">
        <v>45305</v>
      </c>
      <c r="L1343">
        <v>21300.400000000001</v>
      </c>
      <c r="M1343">
        <v>11600.25</v>
      </c>
      <c r="N1343">
        <v>705</v>
      </c>
      <c r="O1343">
        <v>69000</v>
      </c>
      <c r="P1343" t="s">
        <v>26</v>
      </c>
      <c r="Q1343" t="s">
        <v>43</v>
      </c>
      <c r="R1343">
        <v>0</v>
      </c>
      <c r="S1343" t="s">
        <v>28</v>
      </c>
    </row>
    <row r="1344" spans="1:19">
      <c r="A1344" t="s">
        <v>530</v>
      </c>
      <c r="B1344" t="s">
        <v>2989</v>
      </c>
      <c r="C1344" t="s">
        <v>57</v>
      </c>
      <c r="D1344" t="s">
        <v>219</v>
      </c>
      <c r="E1344" t="s">
        <v>220</v>
      </c>
      <c r="F1344">
        <v>64</v>
      </c>
      <c r="G1344" t="s">
        <v>24</v>
      </c>
      <c r="H1344" t="s">
        <v>2990</v>
      </c>
      <c r="I1344">
        <f>233-86-789-123</f>
        <v>-765</v>
      </c>
      <c r="J1344" s="1">
        <v>45465</v>
      </c>
      <c r="K1344" s="1">
        <v>45303</v>
      </c>
      <c r="L1344">
        <v>47500.6</v>
      </c>
      <c r="M1344">
        <v>18200.8</v>
      </c>
      <c r="N1344">
        <v>710</v>
      </c>
      <c r="O1344">
        <v>85000</v>
      </c>
      <c r="P1344" t="s">
        <v>36</v>
      </c>
      <c r="Q1344" t="s">
        <v>27</v>
      </c>
      <c r="R1344">
        <v>0</v>
      </c>
      <c r="S1344" t="s">
        <v>28</v>
      </c>
    </row>
    <row r="1345" spans="1:19">
      <c r="A1345" t="s">
        <v>533</v>
      </c>
      <c r="B1345" t="s">
        <v>2991</v>
      </c>
      <c r="C1345" t="s">
        <v>52</v>
      </c>
      <c r="D1345" t="s">
        <v>204</v>
      </c>
      <c r="E1345" t="s">
        <v>205</v>
      </c>
      <c r="F1345">
        <v>71</v>
      </c>
      <c r="G1345" t="s">
        <v>34</v>
      </c>
      <c r="H1345" t="s">
        <v>2992</v>
      </c>
      <c r="I1345">
        <f>7-921-543-21-9</f>
        <v>-1487</v>
      </c>
      <c r="J1345" s="1">
        <v>44764</v>
      </c>
      <c r="K1345" s="1">
        <v>45301</v>
      </c>
      <c r="L1345">
        <v>78800.25</v>
      </c>
      <c r="M1345">
        <v>51900.9</v>
      </c>
      <c r="N1345">
        <v>695</v>
      </c>
      <c r="O1345">
        <v>120000</v>
      </c>
      <c r="P1345" t="s">
        <v>26</v>
      </c>
      <c r="Q1345" t="s">
        <v>27</v>
      </c>
      <c r="R1345">
        <v>0</v>
      </c>
      <c r="S1345" t="s">
        <v>28</v>
      </c>
    </row>
    <row r="1346" spans="1:19">
      <c r="A1346" t="s">
        <v>536</v>
      </c>
      <c r="B1346" t="s">
        <v>2993</v>
      </c>
      <c r="C1346" t="s">
        <v>39</v>
      </c>
      <c r="D1346" t="s">
        <v>195</v>
      </c>
      <c r="E1346" t="s">
        <v>196</v>
      </c>
      <c r="F1346">
        <v>79</v>
      </c>
      <c r="G1346" t="s">
        <v>24</v>
      </c>
      <c r="H1346" t="s">
        <v>2994</v>
      </c>
      <c r="I1346">
        <f>353-18-678-9012</f>
        <v>-9355</v>
      </c>
      <c r="J1346" s="1">
        <v>44218</v>
      </c>
      <c r="K1346" s="1">
        <v>45300</v>
      </c>
      <c r="L1346">
        <v>148800.4</v>
      </c>
      <c r="M1346">
        <v>100000.6</v>
      </c>
      <c r="N1346">
        <v>670</v>
      </c>
      <c r="O1346">
        <v>187000</v>
      </c>
      <c r="P1346" t="s">
        <v>76</v>
      </c>
      <c r="Q1346" t="s">
        <v>27</v>
      </c>
      <c r="R1346">
        <v>0</v>
      </c>
      <c r="S1346" t="s">
        <v>28</v>
      </c>
    </row>
    <row r="1347" spans="1:19">
      <c r="A1347" t="s">
        <v>539</v>
      </c>
      <c r="B1347" t="s">
        <v>2995</v>
      </c>
      <c r="C1347" t="s">
        <v>21</v>
      </c>
      <c r="D1347" t="s">
        <v>58</v>
      </c>
      <c r="E1347" t="s">
        <v>59</v>
      </c>
      <c r="F1347">
        <v>87</v>
      </c>
      <c r="G1347" t="s">
        <v>34</v>
      </c>
      <c r="H1347" t="s">
        <v>2996</v>
      </c>
      <c r="I1347">
        <f>86-139-5678-9012</f>
        <v>-14743</v>
      </c>
      <c r="J1347" s="1">
        <v>43791</v>
      </c>
      <c r="K1347" s="1">
        <v>45299</v>
      </c>
      <c r="L1347">
        <v>315700.75</v>
      </c>
      <c r="M1347">
        <v>117000.8</v>
      </c>
      <c r="N1347">
        <v>835</v>
      </c>
      <c r="O1347">
        <v>332000</v>
      </c>
      <c r="P1347" t="s">
        <v>36</v>
      </c>
      <c r="Q1347" t="s">
        <v>27</v>
      </c>
      <c r="R1347">
        <v>0</v>
      </c>
      <c r="S1347" t="s">
        <v>28</v>
      </c>
    </row>
    <row r="1348" spans="1:19">
      <c r="A1348" t="s">
        <v>542</v>
      </c>
      <c r="B1348" t="s">
        <v>2997</v>
      </c>
      <c r="C1348" t="s">
        <v>52</v>
      </c>
      <c r="D1348" t="s">
        <v>68</v>
      </c>
      <c r="E1348" t="s">
        <v>114</v>
      </c>
      <c r="F1348">
        <v>74</v>
      </c>
      <c r="G1348" t="s">
        <v>34</v>
      </c>
      <c r="H1348" t="s">
        <v>2998</v>
      </c>
      <c r="I1348">
        <f>234-846-789-123</f>
        <v>-1524</v>
      </c>
      <c r="J1348" s="1">
        <v>44734</v>
      </c>
      <c r="K1348" s="1">
        <v>45302</v>
      </c>
      <c r="L1348">
        <v>87500.6</v>
      </c>
      <c r="M1348">
        <v>57500.25</v>
      </c>
      <c r="N1348">
        <v>665</v>
      </c>
      <c r="O1348">
        <v>140000</v>
      </c>
      <c r="P1348" t="s">
        <v>26</v>
      </c>
      <c r="Q1348" t="s">
        <v>27</v>
      </c>
      <c r="R1348">
        <v>0</v>
      </c>
      <c r="S1348" t="s">
        <v>28</v>
      </c>
    </row>
    <row r="1349" spans="1:19">
      <c r="A1349" t="s">
        <v>545</v>
      </c>
      <c r="B1349" t="s">
        <v>2999</v>
      </c>
      <c r="C1349" t="s">
        <v>46</v>
      </c>
      <c r="D1349" t="s">
        <v>241</v>
      </c>
      <c r="E1349" t="s">
        <v>242</v>
      </c>
      <c r="F1349">
        <v>66</v>
      </c>
      <c r="G1349" t="s">
        <v>24</v>
      </c>
      <c r="H1349" t="s">
        <v>3000</v>
      </c>
      <c r="I1349">
        <f>39-380-456-7890</f>
        <v>-8687</v>
      </c>
      <c r="J1349" s="1">
        <v>45373</v>
      </c>
      <c r="K1349" s="1">
        <v>45303</v>
      </c>
      <c r="L1349">
        <v>110800.8</v>
      </c>
      <c r="M1349">
        <v>65000.4</v>
      </c>
      <c r="N1349">
        <v>750</v>
      </c>
      <c r="O1349">
        <v>166000</v>
      </c>
      <c r="P1349" t="s">
        <v>26</v>
      </c>
      <c r="Q1349" t="s">
        <v>27</v>
      </c>
      <c r="R1349">
        <v>0</v>
      </c>
      <c r="S1349" t="s">
        <v>28</v>
      </c>
    </row>
    <row r="1350" spans="1:19">
      <c r="A1350" t="s">
        <v>548</v>
      </c>
      <c r="B1350" t="s">
        <v>3001</v>
      </c>
      <c r="C1350" t="s">
        <v>57</v>
      </c>
      <c r="D1350" t="s">
        <v>22</v>
      </c>
      <c r="E1350" t="s">
        <v>282</v>
      </c>
      <c r="F1350">
        <v>62</v>
      </c>
      <c r="G1350" t="s">
        <v>34</v>
      </c>
      <c r="H1350" t="s">
        <v>3002</v>
      </c>
      <c r="I1350">
        <f>1-206-555-198</f>
        <v>-958</v>
      </c>
      <c r="J1350" s="1">
        <v>45557</v>
      </c>
      <c r="K1350" s="1">
        <v>45305</v>
      </c>
      <c r="L1350">
        <v>49700.9</v>
      </c>
      <c r="M1350">
        <v>19200.75</v>
      </c>
      <c r="N1350">
        <v>770</v>
      </c>
      <c r="O1350">
        <v>97000</v>
      </c>
      <c r="P1350" t="s">
        <v>36</v>
      </c>
      <c r="Q1350" t="s">
        <v>27</v>
      </c>
      <c r="R1350">
        <v>0</v>
      </c>
      <c r="S1350" t="s">
        <v>28</v>
      </c>
    </row>
    <row r="1351" spans="1:19">
      <c r="A1351" t="s">
        <v>551</v>
      </c>
      <c r="B1351" t="s">
        <v>3003</v>
      </c>
      <c r="C1351" t="s">
        <v>39</v>
      </c>
      <c r="D1351" t="s">
        <v>313</v>
      </c>
      <c r="E1351" t="s">
        <v>385</v>
      </c>
      <c r="F1351">
        <v>85</v>
      </c>
      <c r="G1351" t="s">
        <v>24</v>
      </c>
      <c r="H1351" t="s">
        <v>3004</v>
      </c>
      <c r="I1351">
        <f>92-332-6543210</f>
        <v>-6543450</v>
      </c>
      <c r="J1351" s="1">
        <v>43973</v>
      </c>
      <c r="K1351" s="1">
        <v>45299</v>
      </c>
      <c r="L1351">
        <v>201900.25</v>
      </c>
      <c r="M1351">
        <v>121000.8</v>
      </c>
      <c r="N1351">
        <v>645</v>
      </c>
      <c r="O1351">
        <v>237000</v>
      </c>
      <c r="P1351" t="s">
        <v>76</v>
      </c>
      <c r="Q1351" t="s">
        <v>27</v>
      </c>
      <c r="R1351">
        <v>0</v>
      </c>
      <c r="S1351" t="s">
        <v>28</v>
      </c>
    </row>
    <row r="1352" spans="1:19">
      <c r="A1352" t="s">
        <v>554</v>
      </c>
      <c r="B1352" t="s">
        <v>3005</v>
      </c>
      <c r="C1352" t="s">
        <v>31</v>
      </c>
      <c r="D1352" t="s">
        <v>214</v>
      </c>
      <c r="E1352" t="s">
        <v>215</v>
      </c>
      <c r="F1352">
        <v>58</v>
      </c>
      <c r="G1352" t="s">
        <v>34</v>
      </c>
      <c r="H1352" t="s">
        <v>3006</v>
      </c>
      <c r="I1352">
        <f>34-655-678-901</f>
        <v>-2200</v>
      </c>
      <c r="J1352" s="1">
        <v>45638</v>
      </c>
      <c r="K1352" s="1">
        <v>45306</v>
      </c>
      <c r="L1352">
        <v>42200.5</v>
      </c>
      <c r="M1352">
        <v>18800.400000000001</v>
      </c>
      <c r="N1352">
        <v>720</v>
      </c>
      <c r="O1352">
        <v>74000</v>
      </c>
      <c r="P1352" t="s">
        <v>36</v>
      </c>
      <c r="Q1352" t="s">
        <v>27</v>
      </c>
      <c r="R1352">
        <v>0</v>
      </c>
      <c r="S1352" t="s">
        <v>28</v>
      </c>
    </row>
    <row r="1353" spans="1:19">
      <c r="A1353" t="s">
        <v>108</v>
      </c>
      <c r="B1353" t="s">
        <v>3007</v>
      </c>
      <c r="C1353" t="s">
        <v>84</v>
      </c>
      <c r="D1353" t="s">
        <v>32</v>
      </c>
      <c r="E1353" t="s">
        <v>33</v>
      </c>
      <c r="F1353">
        <v>54</v>
      </c>
      <c r="G1353" t="s">
        <v>24</v>
      </c>
      <c r="H1353" t="s">
        <v>3008</v>
      </c>
      <c r="I1353">
        <f>81-90-8901-2345</f>
        <v>-11255</v>
      </c>
      <c r="J1353" s="1">
        <v>45641</v>
      </c>
      <c r="K1353" s="1">
        <v>45304</v>
      </c>
      <c r="L1353">
        <v>5050.8</v>
      </c>
      <c r="M1353">
        <v>15000.25</v>
      </c>
      <c r="N1353">
        <v>605</v>
      </c>
      <c r="O1353">
        <v>50000</v>
      </c>
      <c r="P1353" t="s">
        <v>76</v>
      </c>
      <c r="Q1353" t="s">
        <v>43</v>
      </c>
      <c r="R1353">
        <v>0</v>
      </c>
      <c r="S1353" t="s">
        <v>28</v>
      </c>
    </row>
    <row r="1354" spans="1:19">
      <c r="A1354" t="s">
        <v>559</v>
      </c>
      <c r="B1354" t="s">
        <v>3009</v>
      </c>
      <c r="C1354" t="s">
        <v>46</v>
      </c>
      <c r="D1354" t="s">
        <v>254</v>
      </c>
      <c r="E1354" t="s">
        <v>255</v>
      </c>
      <c r="F1354">
        <v>68</v>
      </c>
      <c r="G1354" t="s">
        <v>34</v>
      </c>
      <c r="H1354" t="s">
        <v>3010</v>
      </c>
      <c r="I1354">
        <f>221-10-456-7890</f>
        <v>-8135</v>
      </c>
      <c r="J1354" s="1">
        <v>45252</v>
      </c>
      <c r="K1354" s="1">
        <v>45302</v>
      </c>
      <c r="L1354">
        <v>97500.4</v>
      </c>
      <c r="M1354">
        <v>59700.75</v>
      </c>
      <c r="N1354">
        <v>710</v>
      </c>
      <c r="O1354">
        <v>148000</v>
      </c>
      <c r="P1354" t="s">
        <v>26</v>
      </c>
      <c r="Q1354" t="s">
        <v>27</v>
      </c>
      <c r="R1354">
        <v>0</v>
      </c>
      <c r="S1354" t="s">
        <v>28</v>
      </c>
    </row>
    <row r="1355" spans="1:19">
      <c r="A1355" t="s">
        <v>562</v>
      </c>
      <c r="B1355" t="s">
        <v>3011</v>
      </c>
      <c r="C1355" t="s">
        <v>39</v>
      </c>
      <c r="D1355" t="s">
        <v>47</v>
      </c>
      <c r="E1355" t="s">
        <v>48</v>
      </c>
      <c r="F1355">
        <v>82</v>
      </c>
      <c r="G1355" t="s">
        <v>24</v>
      </c>
      <c r="H1355" t="s">
        <v>3012</v>
      </c>
      <c r="I1355">
        <f>44-79-7890-1234</f>
        <v>-9159</v>
      </c>
      <c r="J1355" s="1">
        <v>44126</v>
      </c>
      <c r="K1355" s="1">
        <v>45300</v>
      </c>
      <c r="L1355">
        <v>182100.6</v>
      </c>
      <c r="M1355">
        <v>114000.25</v>
      </c>
      <c r="N1355">
        <v>675</v>
      </c>
      <c r="O1355">
        <v>217000</v>
      </c>
      <c r="P1355" t="s">
        <v>76</v>
      </c>
      <c r="Q1355" t="s">
        <v>27</v>
      </c>
      <c r="R1355">
        <v>0</v>
      </c>
      <c r="S1355" t="s">
        <v>28</v>
      </c>
    </row>
    <row r="1356" spans="1:19">
      <c r="A1356" t="s">
        <v>565</v>
      </c>
      <c r="B1356" t="s">
        <v>3013</v>
      </c>
      <c r="C1356" t="s">
        <v>52</v>
      </c>
      <c r="D1356" t="s">
        <v>233</v>
      </c>
      <c r="E1356" t="s">
        <v>234</v>
      </c>
      <c r="F1356">
        <v>67</v>
      </c>
      <c r="G1356" t="s">
        <v>34</v>
      </c>
      <c r="H1356" t="s">
        <v>3014</v>
      </c>
      <c r="I1356">
        <f>82-10-6789-123</f>
        <v>-6840</v>
      </c>
      <c r="J1356" s="1">
        <v>45038</v>
      </c>
      <c r="K1356" s="1">
        <v>45301</v>
      </c>
      <c r="L1356">
        <v>73900.75</v>
      </c>
      <c r="M1356">
        <v>50800.800000000003</v>
      </c>
      <c r="N1356">
        <v>725</v>
      </c>
      <c r="O1356">
        <v>114000</v>
      </c>
      <c r="P1356" t="s">
        <v>26</v>
      </c>
      <c r="Q1356" t="s">
        <v>27</v>
      </c>
      <c r="R1356">
        <v>0</v>
      </c>
      <c r="S1356" t="s">
        <v>28</v>
      </c>
    </row>
    <row r="1357" spans="1:19">
      <c r="A1357" t="s">
        <v>568</v>
      </c>
      <c r="B1357" t="s">
        <v>3015</v>
      </c>
      <c r="C1357" t="s">
        <v>57</v>
      </c>
      <c r="D1357" t="s">
        <v>79</v>
      </c>
      <c r="E1357" t="s">
        <v>80</v>
      </c>
      <c r="F1357">
        <v>65</v>
      </c>
      <c r="G1357" t="s">
        <v>24</v>
      </c>
      <c r="H1357" t="s">
        <v>3016</v>
      </c>
      <c r="I1357">
        <f>971-50-890-1234</f>
        <v>-1203</v>
      </c>
      <c r="J1357" s="1">
        <v>45495</v>
      </c>
      <c r="K1357" s="1">
        <v>45303</v>
      </c>
      <c r="L1357">
        <v>51900.4</v>
      </c>
      <c r="M1357">
        <v>20000.900000000001</v>
      </c>
      <c r="N1357">
        <v>740</v>
      </c>
      <c r="O1357">
        <v>100000</v>
      </c>
      <c r="P1357" t="s">
        <v>36</v>
      </c>
      <c r="Q1357" t="s">
        <v>27</v>
      </c>
      <c r="R1357">
        <v>0</v>
      </c>
      <c r="S1357" t="s">
        <v>28</v>
      </c>
    </row>
    <row r="1358" spans="1:19">
      <c r="A1358" t="s">
        <v>571</v>
      </c>
      <c r="B1358" t="s">
        <v>3017</v>
      </c>
      <c r="C1358" t="s">
        <v>21</v>
      </c>
      <c r="D1358" t="s">
        <v>63</v>
      </c>
      <c r="E1358" t="s">
        <v>64</v>
      </c>
      <c r="F1358">
        <v>88</v>
      </c>
      <c r="G1358" t="s">
        <v>34</v>
      </c>
      <c r="H1358" t="s">
        <v>3018</v>
      </c>
      <c r="I1358">
        <f>55-11-99990-1234</f>
        <v>-101180</v>
      </c>
      <c r="J1358" s="1">
        <v>43668</v>
      </c>
      <c r="K1358" s="1">
        <v>45299</v>
      </c>
      <c r="L1358">
        <v>271000.90000000002</v>
      </c>
      <c r="M1358">
        <v>104000.6</v>
      </c>
      <c r="N1358">
        <v>830</v>
      </c>
      <c r="O1358">
        <v>312000</v>
      </c>
      <c r="P1358" t="s">
        <v>36</v>
      </c>
      <c r="Q1358" t="s">
        <v>27</v>
      </c>
      <c r="R1358">
        <v>0</v>
      </c>
      <c r="S1358" t="s">
        <v>28</v>
      </c>
    </row>
    <row r="1359" spans="1:19">
      <c r="A1359" t="s">
        <v>574</v>
      </c>
      <c r="B1359" t="s">
        <v>3019</v>
      </c>
      <c r="C1359" t="s">
        <v>39</v>
      </c>
      <c r="D1359" t="s">
        <v>68</v>
      </c>
      <c r="E1359" t="s">
        <v>179</v>
      </c>
      <c r="F1359">
        <v>80</v>
      </c>
      <c r="G1359" t="s">
        <v>24</v>
      </c>
      <c r="H1359" t="s">
        <v>3020</v>
      </c>
      <c r="I1359">
        <f>234-847-890-1234</f>
        <v>-2737</v>
      </c>
      <c r="J1359" s="1">
        <v>44267</v>
      </c>
      <c r="K1359" s="1">
        <v>45300</v>
      </c>
      <c r="L1359">
        <v>159900.25</v>
      </c>
      <c r="M1359">
        <v>106000.4</v>
      </c>
      <c r="N1359">
        <v>655</v>
      </c>
      <c r="O1359">
        <v>202000</v>
      </c>
      <c r="P1359" t="s">
        <v>76</v>
      </c>
      <c r="Q1359" t="s">
        <v>27</v>
      </c>
      <c r="R1359">
        <v>0</v>
      </c>
      <c r="S1359" t="s">
        <v>28</v>
      </c>
    </row>
    <row r="1360" spans="1:19">
      <c r="A1360" t="s">
        <v>577</v>
      </c>
      <c r="B1360" t="s">
        <v>3021</v>
      </c>
      <c r="C1360" t="s">
        <v>46</v>
      </c>
      <c r="D1360" t="s">
        <v>85</v>
      </c>
      <c r="E1360" t="s">
        <v>86</v>
      </c>
      <c r="F1360">
        <v>69</v>
      </c>
      <c r="G1360" t="s">
        <v>34</v>
      </c>
      <c r="H1360" t="s">
        <v>3022</v>
      </c>
      <c r="I1360">
        <f>1-647-555-194</f>
        <v>-1395</v>
      </c>
      <c r="J1360" s="1">
        <v>45160</v>
      </c>
      <c r="K1360" s="1">
        <v>45302</v>
      </c>
      <c r="L1360">
        <v>116400.6</v>
      </c>
      <c r="M1360">
        <v>67700.75</v>
      </c>
      <c r="N1360">
        <v>760</v>
      </c>
      <c r="O1360">
        <v>171000</v>
      </c>
      <c r="P1360" t="s">
        <v>26</v>
      </c>
      <c r="Q1360" t="s">
        <v>27</v>
      </c>
      <c r="R1360">
        <v>0</v>
      </c>
      <c r="S1360" t="s">
        <v>28</v>
      </c>
    </row>
    <row r="1361" spans="1:19">
      <c r="A1361" t="s">
        <v>458</v>
      </c>
      <c r="B1361" t="s">
        <v>3023</v>
      </c>
      <c r="C1361" t="s">
        <v>31</v>
      </c>
      <c r="D1361" t="s">
        <v>460</v>
      </c>
      <c r="E1361" t="s">
        <v>663</v>
      </c>
      <c r="F1361">
        <v>60</v>
      </c>
      <c r="G1361" t="s">
        <v>24</v>
      </c>
      <c r="H1361" t="s">
        <v>3024</v>
      </c>
      <c r="I1361">
        <f>62-844-5678-9012</f>
        <v>-15472</v>
      </c>
      <c r="J1361" s="1">
        <v>45634</v>
      </c>
      <c r="K1361" s="1">
        <v>45306</v>
      </c>
      <c r="L1361">
        <v>24400.25</v>
      </c>
      <c r="M1361">
        <v>14500.8</v>
      </c>
      <c r="N1361">
        <v>695</v>
      </c>
      <c r="O1361">
        <v>71000</v>
      </c>
      <c r="P1361" t="s">
        <v>26</v>
      </c>
      <c r="Q1361" t="s">
        <v>43</v>
      </c>
      <c r="R1361">
        <v>0</v>
      </c>
      <c r="S1361" t="s">
        <v>28</v>
      </c>
    </row>
    <row r="1362" spans="1:19">
      <c r="A1362" t="s">
        <v>582</v>
      </c>
      <c r="B1362" t="s">
        <v>3025</v>
      </c>
      <c r="C1362" t="s">
        <v>57</v>
      </c>
      <c r="D1362" t="s">
        <v>22</v>
      </c>
      <c r="E1362" t="s">
        <v>23</v>
      </c>
      <c r="F1362">
        <v>63</v>
      </c>
      <c r="G1362" t="s">
        <v>34</v>
      </c>
      <c r="H1362" t="s">
        <v>3026</v>
      </c>
      <c r="I1362">
        <f>1-646-555-194</f>
        <v>-1394</v>
      </c>
      <c r="J1362" s="1">
        <v>45434</v>
      </c>
      <c r="K1362" s="1">
        <v>45303</v>
      </c>
      <c r="L1362">
        <v>50800.9</v>
      </c>
      <c r="M1362">
        <v>19600.25</v>
      </c>
      <c r="N1362">
        <v>755</v>
      </c>
      <c r="O1362">
        <v>93000</v>
      </c>
      <c r="P1362" t="s">
        <v>36</v>
      </c>
      <c r="Q1362" t="s">
        <v>27</v>
      </c>
      <c r="R1362">
        <v>0</v>
      </c>
      <c r="S1362" t="s">
        <v>28</v>
      </c>
    </row>
    <row r="1363" spans="1:19">
      <c r="A1363" t="s">
        <v>55</v>
      </c>
      <c r="B1363" t="s">
        <v>3027</v>
      </c>
      <c r="C1363" t="s">
        <v>39</v>
      </c>
      <c r="D1363" t="s">
        <v>58</v>
      </c>
      <c r="E1363" t="s">
        <v>122</v>
      </c>
      <c r="F1363">
        <v>81</v>
      </c>
      <c r="G1363" t="s">
        <v>24</v>
      </c>
      <c r="H1363" t="s">
        <v>3028</v>
      </c>
      <c r="I1363">
        <f>86-138-9012-3456</f>
        <v>-12520</v>
      </c>
      <c r="J1363" s="1">
        <v>44187</v>
      </c>
      <c r="K1363" s="1">
        <v>45300</v>
      </c>
      <c r="L1363">
        <v>192800.4</v>
      </c>
      <c r="M1363">
        <v>119000.75</v>
      </c>
      <c r="N1363">
        <v>685</v>
      </c>
      <c r="O1363">
        <v>227000</v>
      </c>
      <c r="P1363" t="s">
        <v>76</v>
      </c>
      <c r="Q1363" t="s">
        <v>27</v>
      </c>
      <c r="R1363">
        <v>0</v>
      </c>
      <c r="S1363" t="s">
        <v>28</v>
      </c>
    </row>
    <row r="1364" spans="1:19">
      <c r="A1364" t="s">
        <v>469</v>
      </c>
      <c r="B1364" t="s">
        <v>3029</v>
      </c>
      <c r="C1364" t="s">
        <v>52</v>
      </c>
      <c r="D1364" t="s">
        <v>471</v>
      </c>
      <c r="E1364" t="s">
        <v>472</v>
      </c>
      <c r="F1364">
        <v>72</v>
      </c>
      <c r="G1364" t="s">
        <v>34</v>
      </c>
      <c r="H1364" t="s">
        <v>3030</v>
      </c>
      <c r="I1364">
        <f>48-732-456-789</f>
        <v>-1929</v>
      </c>
      <c r="J1364" s="1">
        <v>44826</v>
      </c>
      <c r="K1364" s="1">
        <v>45301</v>
      </c>
      <c r="L1364">
        <v>80800.800000000003</v>
      </c>
      <c r="M1364">
        <v>53900.6</v>
      </c>
      <c r="N1364">
        <v>715</v>
      </c>
      <c r="O1364">
        <v>126000</v>
      </c>
      <c r="P1364" t="s">
        <v>26</v>
      </c>
      <c r="Q1364" t="s">
        <v>27</v>
      </c>
      <c r="R1364">
        <v>0</v>
      </c>
      <c r="S1364" t="s">
        <v>28</v>
      </c>
    </row>
    <row r="1365" spans="1:19">
      <c r="A1365" t="s">
        <v>474</v>
      </c>
      <c r="B1365" t="s">
        <v>3031</v>
      </c>
      <c r="C1365" t="s">
        <v>46</v>
      </c>
      <c r="D1365" t="s">
        <v>345</v>
      </c>
      <c r="E1365" t="s">
        <v>476</v>
      </c>
      <c r="F1365">
        <v>75</v>
      </c>
      <c r="G1365" t="s">
        <v>24</v>
      </c>
      <c r="H1365" t="s">
        <v>3032</v>
      </c>
      <c r="I1365">
        <f>880-1812-678901</f>
        <v>-679833</v>
      </c>
      <c r="J1365" s="1">
        <v>44734</v>
      </c>
      <c r="K1365" s="1">
        <v>45302</v>
      </c>
      <c r="L1365">
        <v>108600.25</v>
      </c>
      <c r="M1365">
        <v>63900.4</v>
      </c>
      <c r="N1365">
        <v>680</v>
      </c>
      <c r="O1365">
        <v>155000</v>
      </c>
      <c r="P1365" t="s">
        <v>26</v>
      </c>
      <c r="Q1365" t="s">
        <v>27</v>
      </c>
      <c r="R1365">
        <v>0</v>
      </c>
      <c r="S1365" t="s">
        <v>28</v>
      </c>
    </row>
    <row r="1366" spans="1:19">
      <c r="A1366" t="s">
        <v>592</v>
      </c>
      <c r="B1366" t="s">
        <v>3033</v>
      </c>
      <c r="C1366" t="s">
        <v>84</v>
      </c>
      <c r="D1366" t="s">
        <v>32</v>
      </c>
      <c r="E1366" t="s">
        <v>90</v>
      </c>
      <c r="F1366">
        <v>55</v>
      </c>
      <c r="G1366" t="s">
        <v>34</v>
      </c>
      <c r="H1366" t="s">
        <v>3034</v>
      </c>
      <c r="I1366">
        <f>81-90-9012-3456</f>
        <v>-12477</v>
      </c>
      <c r="J1366" s="1">
        <v>45648</v>
      </c>
      <c r="K1366" s="1">
        <v>45304</v>
      </c>
      <c r="L1366">
        <v>5150.3999999999996</v>
      </c>
      <c r="M1366">
        <v>15600.75</v>
      </c>
      <c r="N1366">
        <v>610</v>
      </c>
      <c r="O1366">
        <v>51000</v>
      </c>
      <c r="P1366" t="s">
        <v>76</v>
      </c>
      <c r="Q1366" t="s">
        <v>43</v>
      </c>
      <c r="R1366">
        <v>0</v>
      </c>
      <c r="S1366" t="s">
        <v>28</v>
      </c>
    </row>
    <row r="1367" spans="1:19">
      <c r="A1367" t="s">
        <v>595</v>
      </c>
      <c r="B1367" t="s">
        <v>3035</v>
      </c>
      <c r="C1367" t="s">
        <v>21</v>
      </c>
      <c r="D1367" t="s">
        <v>209</v>
      </c>
      <c r="E1367" t="s">
        <v>210</v>
      </c>
      <c r="F1367">
        <v>87</v>
      </c>
      <c r="G1367" t="s">
        <v>24</v>
      </c>
      <c r="H1367" t="s">
        <v>3036</v>
      </c>
      <c r="I1367">
        <f>52-55-6789-123</f>
        <v>-6915</v>
      </c>
      <c r="J1367" s="1">
        <v>43883</v>
      </c>
      <c r="K1367" s="1">
        <v>45299</v>
      </c>
      <c r="L1367">
        <v>290800.8</v>
      </c>
      <c r="M1367">
        <v>110000.25</v>
      </c>
      <c r="N1367">
        <v>825</v>
      </c>
      <c r="O1367">
        <v>307000</v>
      </c>
      <c r="P1367" t="s">
        <v>36</v>
      </c>
      <c r="Q1367" t="s">
        <v>27</v>
      </c>
      <c r="R1367">
        <v>0</v>
      </c>
      <c r="S1367" t="s">
        <v>28</v>
      </c>
    </row>
    <row r="1368" spans="1:19">
      <c r="A1368" t="s">
        <v>226</v>
      </c>
      <c r="B1368" t="s">
        <v>3037</v>
      </c>
      <c r="C1368" t="s">
        <v>57</v>
      </c>
      <c r="D1368" t="s">
        <v>228</v>
      </c>
      <c r="E1368" t="s">
        <v>229</v>
      </c>
      <c r="F1368">
        <v>62</v>
      </c>
      <c r="G1368" t="s">
        <v>34</v>
      </c>
      <c r="H1368" t="s">
        <v>3038</v>
      </c>
      <c r="I1368">
        <f>254-756-789-12</f>
        <v>-1303</v>
      </c>
      <c r="J1368" s="1">
        <v>45618</v>
      </c>
      <c r="K1368" s="1">
        <v>45305</v>
      </c>
      <c r="L1368">
        <v>47500.75</v>
      </c>
      <c r="M1368">
        <v>18000.400000000001</v>
      </c>
      <c r="N1368">
        <v>725</v>
      </c>
      <c r="O1368">
        <v>83000</v>
      </c>
      <c r="P1368" t="s">
        <v>36</v>
      </c>
      <c r="Q1368" t="s">
        <v>27</v>
      </c>
      <c r="R1368">
        <v>0</v>
      </c>
      <c r="S1368" t="s">
        <v>28</v>
      </c>
    </row>
    <row r="1369" spans="1:19">
      <c r="A1369" t="s">
        <v>488</v>
      </c>
      <c r="B1369" t="s">
        <v>3039</v>
      </c>
      <c r="C1369" t="s">
        <v>39</v>
      </c>
      <c r="D1369" t="s">
        <v>304</v>
      </c>
      <c r="E1369" t="s">
        <v>304</v>
      </c>
      <c r="F1369">
        <v>79</v>
      </c>
      <c r="G1369" t="s">
        <v>24</v>
      </c>
      <c r="H1369" t="s">
        <v>3040</v>
      </c>
      <c r="I1369">
        <f>65-1590-1234</f>
        <v>-2759</v>
      </c>
      <c r="J1369" s="1">
        <v>44359</v>
      </c>
      <c r="K1369" s="1">
        <v>45300</v>
      </c>
      <c r="L1369">
        <v>171000.6</v>
      </c>
      <c r="M1369">
        <v>110000.9</v>
      </c>
      <c r="N1369">
        <v>675</v>
      </c>
      <c r="O1369">
        <v>207000</v>
      </c>
      <c r="P1369" t="s">
        <v>76</v>
      </c>
      <c r="Q1369" t="s">
        <v>27</v>
      </c>
      <c r="R1369">
        <v>0</v>
      </c>
      <c r="S1369" t="s">
        <v>28</v>
      </c>
    </row>
    <row r="1370" spans="1:19">
      <c r="A1370" t="s">
        <v>491</v>
      </c>
      <c r="B1370" t="s">
        <v>3041</v>
      </c>
      <c r="C1370" t="s">
        <v>52</v>
      </c>
      <c r="D1370" t="s">
        <v>493</v>
      </c>
      <c r="E1370" t="s">
        <v>494</v>
      </c>
      <c r="F1370">
        <v>70</v>
      </c>
      <c r="G1370" t="s">
        <v>34</v>
      </c>
      <c r="H1370" t="s">
        <v>3042</v>
      </c>
      <c r="I1370">
        <f>30-724-567-8901</f>
        <v>-10162</v>
      </c>
      <c r="J1370" s="1">
        <v>45129</v>
      </c>
      <c r="K1370" s="1">
        <v>45302</v>
      </c>
      <c r="L1370">
        <v>75000.399999999994</v>
      </c>
      <c r="M1370">
        <v>49700.25</v>
      </c>
      <c r="N1370">
        <v>705</v>
      </c>
      <c r="O1370">
        <v>115000</v>
      </c>
      <c r="P1370" t="s">
        <v>26</v>
      </c>
      <c r="Q1370" t="s">
        <v>27</v>
      </c>
      <c r="R1370">
        <v>0</v>
      </c>
      <c r="S1370" t="s">
        <v>28</v>
      </c>
    </row>
    <row r="1371" spans="1:19">
      <c r="A1371" t="s">
        <v>496</v>
      </c>
      <c r="B1371" t="s">
        <v>3043</v>
      </c>
      <c r="C1371" t="s">
        <v>46</v>
      </c>
      <c r="D1371" t="s">
        <v>321</v>
      </c>
      <c r="E1371" t="s">
        <v>322</v>
      </c>
      <c r="F1371">
        <v>73</v>
      </c>
      <c r="G1371" t="s">
        <v>24</v>
      </c>
      <c r="H1371" t="s">
        <v>3044</v>
      </c>
      <c r="I1371">
        <f>61-456-789-12</f>
        <v>-1196</v>
      </c>
      <c r="J1371" s="1">
        <v>44614</v>
      </c>
      <c r="K1371" s="1">
        <v>45301</v>
      </c>
      <c r="L1371">
        <v>120100.75</v>
      </c>
      <c r="M1371">
        <v>70800.800000000003</v>
      </c>
      <c r="N1371">
        <v>730</v>
      </c>
      <c r="O1371">
        <v>181000</v>
      </c>
      <c r="P1371" t="s">
        <v>26</v>
      </c>
      <c r="Q1371" t="s">
        <v>27</v>
      </c>
      <c r="R1371">
        <v>0</v>
      </c>
      <c r="S1371" t="s">
        <v>28</v>
      </c>
    </row>
    <row r="1372" spans="1:19">
      <c r="A1372" t="s">
        <v>324</v>
      </c>
      <c r="B1372" t="s">
        <v>3045</v>
      </c>
      <c r="C1372" t="s">
        <v>31</v>
      </c>
      <c r="D1372" t="s">
        <v>313</v>
      </c>
      <c r="E1372" t="s">
        <v>501</v>
      </c>
      <c r="F1372">
        <v>58</v>
      </c>
      <c r="G1372" t="s">
        <v>34</v>
      </c>
      <c r="H1372" t="s">
        <v>3046</v>
      </c>
      <c r="I1372">
        <f>92-354-5432109</f>
        <v>-5432371</v>
      </c>
      <c r="J1372" s="1">
        <v>45641</v>
      </c>
      <c r="K1372" s="1">
        <v>45306</v>
      </c>
      <c r="L1372">
        <v>20600.900000000001</v>
      </c>
      <c r="M1372">
        <v>11700.75</v>
      </c>
      <c r="N1372">
        <v>685</v>
      </c>
      <c r="O1372">
        <v>68000</v>
      </c>
      <c r="P1372" t="s">
        <v>26</v>
      </c>
      <c r="Q1372" t="s">
        <v>43</v>
      </c>
      <c r="R1372">
        <v>0</v>
      </c>
      <c r="S1372" t="s">
        <v>28</v>
      </c>
    </row>
    <row r="1373" spans="1:19">
      <c r="A1373" t="s">
        <v>503</v>
      </c>
      <c r="B1373" t="s">
        <v>3047</v>
      </c>
      <c r="C1373" t="s">
        <v>21</v>
      </c>
      <c r="D1373" t="s">
        <v>32</v>
      </c>
      <c r="E1373" t="s">
        <v>33</v>
      </c>
      <c r="F1373">
        <v>90</v>
      </c>
      <c r="G1373" t="s">
        <v>24</v>
      </c>
      <c r="H1373" t="s">
        <v>3048</v>
      </c>
      <c r="I1373">
        <f>81-80-4567-8901</f>
        <v>-13467</v>
      </c>
      <c r="J1373" s="1">
        <v>43607</v>
      </c>
      <c r="K1373" s="1">
        <v>45299</v>
      </c>
      <c r="L1373">
        <v>301700.25</v>
      </c>
      <c r="M1373">
        <v>114000.4</v>
      </c>
      <c r="N1373">
        <v>840</v>
      </c>
      <c r="O1373">
        <v>322000</v>
      </c>
      <c r="P1373" t="s">
        <v>36</v>
      </c>
      <c r="Q1373" t="s">
        <v>27</v>
      </c>
      <c r="R1373">
        <v>0</v>
      </c>
      <c r="S1373" t="s">
        <v>28</v>
      </c>
    </row>
    <row r="1374" spans="1:19">
      <c r="A1374" t="s">
        <v>506</v>
      </c>
      <c r="B1374" t="s">
        <v>3049</v>
      </c>
      <c r="C1374" t="s">
        <v>39</v>
      </c>
      <c r="D1374" t="s">
        <v>68</v>
      </c>
      <c r="E1374" t="s">
        <v>69</v>
      </c>
      <c r="F1374">
        <v>82</v>
      </c>
      <c r="G1374" t="s">
        <v>34</v>
      </c>
      <c r="H1374" t="s">
        <v>3050</v>
      </c>
      <c r="I1374">
        <f>234-846-789-123</f>
        <v>-1524</v>
      </c>
      <c r="J1374" s="1">
        <v>44126</v>
      </c>
      <c r="K1374" s="1">
        <v>45300</v>
      </c>
      <c r="L1374">
        <v>182100.4</v>
      </c>
      <c r="M1374">
        <v>114000.75</v>
      </c>
      <c r="N1374">
        <v>650</v>
      </c>
      <c r="O1374">
        <v>217000</v>
      </c>
      <c r="P1374" t="s">
        <v>76</v>
      </c>
      <c r="Q1374" t="s">
        <v>27</v>
      </c>
      <c r="R1374">
        <v>0</v>
      </c>
      <c r="S1374" t="s">
        <v>28</v>
      </c>
    </row>
    <row r="1375" spans="1:19">
      <c r="A1375" t="s">
        <v>509</v>
      </c>
      <c r="B1375" t="s">
        <v>3051</v>
      </c>
      <c r="C1375" t="s">
        <v>46</v>
      </c>
      <c r="D1375" t="s">
        <v>73</v>
      </c>
      <c r="E1375" t="s">
        <v>158</v>
      </c>
      <c r="F1375">
        <v>69</v>
      </c>
      <c r="G1375" t="s">
        <v>24</v>
      </c>
      <c r="H1375" t="s">
        <v>3052</v>
      </c>
      <c r="I1375">
        <f>49-208-9012345</f>
        <v>-9012504</v>
      </c>
      <c r="J1375" s="1">
        <v>45344</v>
      </c>
      <c r="K1375" s="1">
        <v>45303</v>
      </c>
      <c r="L1375">
        <v>108900.4</v>
      </c>
      <c r="M1375">
        <v>65000.25</v>
      </c>
      <c r="N1375">
        <v>745</v>
      </c>
      <c r="O1375">
        <v>161000</v>
      </c>
      <c r="P1375" t="s">
        <v>26</v>
      </c>
      <c r="Q1375" t="s">
        <v>27</v>
      </c>
      <c r="R1375">
        <v>0</v>
      </c>
      <c r="S1375" t="s">
        <v>28</v>
      </c>
    </row>
    <row r="1376" spans="1:19">
      <c r="A1376" t="s">
        <v>513</v>
      </c>
      <c r="B1376" t="s">
        <v>3053</v>
      </c>
      <c r="C1376" t="s">
        <v>57</v>
      </c>
      <c r="D1376" t="s">
        <v>58</v>
      </c>
      <c r="E1376" t="s">
        <v>122</v>
      </c>
      <c r="F1376">
        <v>64</v>
      </c>
      <c r="G1376" t="s">
        <v>34</v>
      </c>
      <c r="H1376" t="s">
        <v>3054</v>
      </c>
      <c r="I1376">
        <f>86-137-9012-3456</f>
        <v>-12519</v>
      </c>
      <c r="J1376" s="1">
        <v>45526</v>
      </c>
      <c r="K1376" s="1">
        <v>45302</v>
      </c>
      <c r="L1376">
        <v>49700.800000000003</v>
      </c>
      <c r="M1376">
        <v>19200.900000000001</v>
      </c>
      <c r="N1376">
        <v>765</v>
      </c>
      <c r="O1376">
        <v>93000</v>
      </c>
      <c r="P1376" t="s">
        <v>36</v>
      </c>
      <c r="Q1376" t="s">
        <v>27</v>
      </c>
      <c r="R1376">
        <v>0</v>
      </c>
      <c r="S1376" t="s">
        <v>28</v>
      </c>
    </row>
    <row r="1377" spans="1:19">
      <c r="A1377" t="s">
        <v>516</v>
      </c>
      <c r="B1377" t="s">
        <v>3055</v>
      </c>
      <c r="C1377" t="s">
        <v>52</v>
      </c>
      <c r="D1377" t="s">
        <v>277</v>
      </c>
      <c r="E1377" t="s">
        <v>278</v>
      </c>
      <c r="F1377">
        <v>77</v>
      </c>
      <c r="G1377" t="s">
        <v>24</v>
      </c>
      <c r="H1377" t="s">
        <v>3056</v>
      </c>
      <c r="I1377">
        <f>20-122-654-3210</f>
        <v>-3966</v>
      </c>
      <c r="J1377" s="1">
        <v>44795</v>
      </c>
      <c r="K1377" s="1">
        <v>45301</v>
      </c>
      <c r="L1377">
        <v>83000.75</v>
      </c>
      <c r="M1377">
        <v>56100.4</v>
      </c>
      <c r="N1377">
        <v>675</v>
      </c>
      <c r="O1377">
        <v>133000</v>
      </c>
      <c r="P1377" t="s">
        <v>26</v>
      </c>
      <c r="Q1377" t="s">
        <v>27</v>
      </c>
      <c r="R1377">
        <v>0</v>
      </c>
      <c r="S1377" t="s">
        <v>28</v>
      </c>
    </row>
    <row r="1378" spans="1:19">
      <c r="A1378" t="s">
        <v>519</v>
      </c>
      <c r="B1378" t="s">
        <v>3057</v>
      </c>
      <c r="C1378" t="s">
        <v>84</v>
      </c>
      <c r="D1378" t="s">
        <v>183</v>
      </c>
      <c r="E1378" t="s">
        <v>184</v>
      </c>
      <c r="F1378">
        <v>56</v>
      </c>
      <c r="G1378" t="s">
        <v>34</v>
      </c>
      <c r="H1378" t="s">
        <v>3058</v>
      </c>
      <c r="I1378">
        <f>33-6-6789-123</f>
        <v>-6885</v>
      </c>
      <c r="J1378" s="1">
        <v>45654</v>
      </c>
      <c r="K1378" s="1">
        <v>45304</v>
      </c>
      <c r="L1378">
        <v>5400.25</v>
      </c>
      <c r="M1378">
        <v>16800.599999999999</v>
      </c>
      <c r="N1378">
        <v>615</v>
      </c>
      <c r="O1378">
        <v>53000</v>
      </c>
      <c r="P1378" t="s">
        <v>76</v>
      </c>
      <c r="Q1378" t="s">
        <v>43</v>
      </c>
      <c r="R1378">
        <v>0</v>
      </c>
      <c r="S1378" t="s">
        <v>28</v>
      </c>
    </row>
    <row r="1379" spans="1:19">
      <c r="A1379" t="s">
        <v>522</v>
      </c>
      <c r="B1379" t="s">
        <v>3059</v>
      </c>
      <c r="C1379" t="s">
        <v>39</v>
      </c>
      <c r="D1379" t="s">
        <v>40</v>
      </c>
      <c r="E1379" t="s">
        <v>94</v>
      </c>
      <c r="F1379">
        <v>84</v>
      </c>
      <c r="G1379" t="s">
        <v>24</v>
      </c>
      <c r="H1379" t="s">
        <v>3060</v>
      </c>
      <c r="I1379">
        <f>91-987-654-3210</f>
        <v>-4760</v>
      </c>
      <c r="J1379" s="1">
        <v>44096</v>
      </c>
      <c r="K1379" s="1">
        <v>45299</v>
      </c>
      <c r="L1379">
        <v>216700.79999999999</v>
      </c>
      <c r="M1379">
        <v>127000.25</v>
      </c>
      <c r="N1379">
        <v>660</v>
      </c>
      <c r="O1379">
        <v>252000</v>
      </c>
      <c r="P1379" t="s">
        <v>76</v>
      </c>
      <c r="Q1379" t="s">
        <v>27</v>
      </c>
      <c r="R1379">
        <v>0</v>
      </c>
      <c r="S1379" t="s">
        <v>28</v>
      </c>
    </row>
    <row r="1380" spans="1:19">
      <c r="A1380" t="s">
        <v>306</v>
      </c>
      <c r="B1380" t="s">
        <v>3061</v>
      </c>
      <c r="C1380" t="s">
        <v>46</v>
      </c>
      <c r="D1380" t="s">
        <v>209</v>
      </c>
      <c r="E1380" t="s">
        <v>703</v>
      </c>
      <c r="F1380">
        <v>71</v>
      </c>
      <c r="G1380" t="s">
        <v>34</v>
      </c>
      <c r="H1380" t="s">
        <v>3062</v>
      </c>
      <c r="I1380">
        <f>52-81-7890-123</f>
        <v>-8042</v>
      </c>
      <c r="J1380" s="1">
        <v>44948</v>
      </c>
      <c r="K1380" s="1">
        <v>45302</v>
      </c>
      <c r="L1380">
        <v>104100.9</v>
      </c>
      <c r="M1380">
        <v>61900.75</v>
      </c>
      <c r="N1380">
        <v>730</v>
      </c>
      <c r="O1380">
        <v>156000</v>
      </c>
      <c r="P1380" t="s">
        <v>26</v>
      </c>
      <c r="Q1380" t="s">
        <v>27</v>
      </c>
      <c r="R1380">
        <v>0</v>
      </c>
      <c r="S1380" t="s">
        <v>28</v>
      </c>
    </row>
    <row r="1381" spans="1:19">
      <c r="A1381" t="s">
        <v>527</v>
      </c>
      <c r="B1381" t="s">
        <v>3063</v>
      </c>
      <c r="C1381" t="s">
        <v>31</v>
      </c>
      <c r="D1381" t="s">
        <v>32</v>
      </c>
      <c r="E1381" t="s">
        <v>90</v>
      </c>
      <c r="F1381">
        <v>60</v>
      </c>
      <c r="G1381" t="s">
        <v>34</v>
      </c>
      <c r="H1381" t="s">
        <v>3064</v>
      </c>
      <c r="I1381">
        <f>81-90-9012-3456</f>
        <v>-12477</v>
      </c>
      <c r="J1381" s="1">
        <v>45648</v>
      </c>
      <c r="K1381" s="1">
        <v>45305</v>
      </c>
      <c r="L1381">
        <v>21700.400000000001</v>
      </c>
      <c r="M1381">
        <v>11800.25</v>
      </c>
      <c r="N1381">
        <v>705</v>
      </c>
      <c r="O1381">
        <v>70000</v>
      </c>
      <c r="P1381" t="s">
        <v>26</v>
      </c>
      <c r="Q1381" t="s">
        <v>43</v>
      </c>
      <c r="R1381">
        <v>0</v>
      </c>
      <c r="S1381" t="s">
        <v>28</v>
      </c>
    </row>
    <row r="1382" spans="1:19">
      <c r="A1382" t="s">
        <v>530</v>
      </c>
      <c r="B1382" t="s">
        <v>3065</v>
      </c>
      <c r="C1382" t="s">
        <v>57</v>
      </c>
      <c r="D1382" t="s">
        <v>219</v>
      </c>
      <c r="E1382" t="s">
        <v>220</v>
      </c>
      <c r="F1382">
        <v>65</v>
      </c>
      <c r="G1382" t="s">
        <v>24</v>
      </c>
      <c r="H1382" t="s">
        <v>3066</v>
      </c>
      <c r="I1382">
        <f>233-87-890-1234</f>
        <v>-1978</v>
      </c>
      <c r="J1382" s="1">
        <v>45495</v>
      </c>
      <c r="K1382" s="1">
        <v>45303</v>
      </c>
      <c r="L1382">
        <v>48600.6</v>
      </c>
      <c r="M1382">
        <v>18600.8</v>
      </c>
      <c r="N1382">
        <v>710</v>
      </c>
      <c r="O1382">
        <v>86000</v>
      </c>
      <c r="P1382" t="s">
        <v>36</v>
      </c>
      <c r="Q1382" t="s">
        <v>27</v>
      </c>
      <c r="R1382">
        <v>0</v>
      </c>
      <c r="S1382" t="s">
        <v>28</v>
      </c>
    </row>
    <row r="1383" spans="1:19">
      <c r="A1383" t="s">
        <v>533</v>
      </c>
      <c r="B1383" t="s">
        <v>3067</v>
      </c>
      <c r="C1383" t="s">
        <v>52</v>
      </c>
      <c r="D1383" t="s">
        <v>204</v>
      </c>
      <c r="E1383" t="s">
        <v>259</v>
      </c>
      <c r="F1383">
        <v>72</v>
      </c>
      <c r="G1383" t="s">
        <v>34</v>
      </c>
      <c r="H1383" t="s">
        <v>3068</v>
      </c>
      <c r="I1383">
        <f>7-921-432-10-98</f>
        <v>-1454</v>
      </c>
      <c r="J1383" s="1">
        <v>44795</v>
      </c>
      <c r="K1383" s="1">
        <v>45301</v>
      </c>
      <c r="L1383">
        <v>79900.25</v>
      </c>
      <c r="M1383">
        <v>53000.9</v>
      </c>
      <c r="N1383">
        <v>695</v>
      </c>
      <c r="O1383">
        <v>121000</v>
      </c>
      <c r="P1383" t="s">
        <v>26</v>
      </c>
      <c r="Q1383" t="s">
        <v>27</v>
      </c>
      <c r="R1383">
        <v>0</v>
      </c>
      <c r="S1383" t="s">
        <v>28</v>
      </c>
    </row>
    <row r="1384" spans="1:19">
      <c r="A1384" t="s">
        <v>536</v>
      </c>
      <c r="B1384" t="s">
        <v>3069</v>
      </c>
      <c r="C1384" t="s">
        <v>39</v>
      </c>
      <c r="D1384" t="s">
        <v>195</v>
      </c>
      <c r="E1384" t="s">
        <v>196</v>
      </c>
      <c r="F1384">
        <v>80</v>
      </c>
      <c r="G1384" t="s">
        <v>24</v>
      </c>
      <c r="H1384" t="s">
        <v>3070</v>
      </c>
      <c r="I1384">
        <f>353-19-789-123</f>
        <v>-578</v>
      </c>
      <c r="J1384" s="1">
        <v>44249</v>
      </c>
      <c r="K1384" s="1">
        <v>45300</v>
      </c>
      <c r="L1384">
        <v>148900.4</v>
      </c>
      <c r="M1384">
        <v>101000.6</v>
      </c>
      <c r="N1384">
        <v>670</v>
      </c>
      <c r="O1384">
        <v>188000</v>
      </c>
      <c r="P1384" t="s">
        <v>76</v>
      </c>
      <c r="Q1384" t="s">
        <v>27</v>
      </c>
      <c r="R1384">
        <v>0</v>
      </c>
      <c r="S1384" t="s">
        <v>28</v>
      </c>
    </row>
    <row r="1385" spans="1:19">
      <c r="A1385" t="s">
        <v>539</v>
      </c>
      <c r="B1385" t="s">
        <v>3071</v>
      </c>
      <c r="C1385" t="s">
        <v>21</v>
      </c>
      <c r="D1385" t="s">
        <v>58</v>
      </c>
      <c r="E1385" t="s">
        <v>59</v>
      </c>
      <c r="F1385">
        <v>88</v>
      </c>
      <c r="G1385" t="s">
        <v>34</v>
      </c>
      <c r="H1385" t="s">
        <v>3072</v>
      </c>
      <c r="I1385">
        <f>86-139-6789-123</f>
        <v>-6965</v>
      </c>
      <c r="J1385" s="1">
        <v>43821</v>
      </c>
      <c r="K1385" s="1">
        <v>45299</v>
      </c>
      <c r="L1385">
        <v>315800.75</v>
      </c>
      <c r="M1385">
        <v>118000.8</v>
      </c>
      <c r="N1385">
        <v>835</v>
      </c>
      <c r="O1385">
        <v>333000</v>
      </c>
      <c r="P1385" t="s">
        <v>36</v>
      </c>
      <c r="Q1385" t="s">
        <v>27</v>
      </c>
      <c r="R1385">
        <v>0</v>
      </c>
      <c r="S1385" t="s">
        <v>28</v>
      </c>
    </row>
    <row r="1386" spans="1:19">
      <c r="A1386" t="s">
        <v>542</v>
      </c>
      <c r="B1386" t="s">
        <v>3073</v>
      </c>
      <c r="C1386" t="s">
        <v>52</v>
      </c>
      <c r="D1386" t="s">
        <v>68</v>
      </c>
      <c r="E1386" t="s">
        <v>69</v>
      </c>
      <c r="F1386">
        <v>75</v>
      </c>
      <c r="G1386" t="s">
        <v>34</v>
      </c>
      <c r="H1386" t="s">
        <v>3074</v>
      </c>
      <c r="I1386">
        <f>234-847-890-1234</f>
        <v>-2737</v>
      </c>
      <c r="J1386" s="1">
        <v>44764</v>
      </c>
      <c r="K1386" s="1">
        <v>45302</v>
      </c>
      <c r="L1386">
        <v>88600.6</v>
      </c>
      <c r="M1386">
        <v>58600.25</v>
      </c>
      <c r="N1386">
        <v>665</v>
      </c>
      <c r="O1386">
        <v>141000</v>
      </c>
      <c r="P1386" t="s">
        <v>26</v>
      </c>
      <c r="Q1386" t="s">
        <v>27</v>
      </c>
      <c r="R1386">
        <v>0</v>
      </c>
      <c r="S1386" t="s">
        <v>28</v>
      </c>
    </row>
    <row r="1387" spans="1:19">
      <c r="A1387" t="s">
        <v>545</v>
      </c>
      <c r="B1387" t="s">
        <v>3075</v>
      </c>
      <c r="C1387" t="s">
        <v>46</v>
      </c>
      <c r="D1387" t="s">
        <v>241</v>
      </c>
      <c r="E1387" t="s">
        <v>242</v>
      </c>
      <c r="F1387">
        <v>67</v>
      </c>
      <c r="G1387" t="s">
        <v>24</v>
      </c>
      <c r="H1387" t="s">
        <v>3076</v>
      </c>
      <c r="I1387">
        <f>39-381-567-8901</f>
        <v>-9810</v>
      </c>
      <c r="J1387" s="1">
        <v>45404</v>
      </c>
      <c r="K1387" s="1">
        <v>45303</v>
      </c>
      <c r="L1387">
        <v>111900.8</v>
      </c>
      <c r="M1387">
        <v>66100.399999999994</v>
      </c>
      <c r="N1387">
        <v>750</v>
      </c>
      <c r="O1387">
        <v>167000</v>
      </c>
      <c r="P1387" t="s">
        <v>26</v>
      </c>
      <c r="Q1387" t="s">
        <v>27</v>
      </c>
      <c r="R1387">
        <v>0</v>
      </c>
      <c r="S1387" t="s">
        <v>28</v>
      </c>
    </row>
    <row r="1388" spans="1:19">
      <c r="A1388" t="s">
        <v>548</v>
      </c>
      <c r="B1388" t="s">
        <v>3077</v>
      </c>
      <c r="C1388" t="s">
        <v>57</v>
      </c>
      <c r="D1388" t="s">
        <v>22</v>
      </c>
      <c r="E1388" t="s">
        <v>118</v>
      </c>
      <c r="F1388">
        <v>63</v>
      </c>
      <c r="G1388" t="s">
        <v>34</v>
      </c>
      <c r="H1388" t="s">
        <v>3078</v>
      </c>
      <c r="I1388">
        <f>1-310-555-198</f>
        <v>-1062</v>
      </c>
      <c r="J1388" s="1">
        <v>45587</v>
      </c>
      <c r="K1388" s="1">
        <v>45305</v>
      </c>
      <c r="L1388">
        <v>50800.9</v>
      </c>
      <c r="M1388">
        <v>19600.75</v>
      </c>
      <c r="N1388">
        <v>770</v>
      </c>
      <c r="O1388">
        <v>98000</v>
      </c>
      <c r="P1388" t="s">
        <v>36</v>
      </c>
      <c r="Q1388" t="s">
        <v>27</v>
      </c>
      <c r="R1388">
        <v>0</v>
      </c>
      <c r="S1388" t="s">
        <v>28</v>
      </c>
    </row>
    <row r="1389" spans="1:19">
      <c r="A1389" t="s">
        <v>551</v>
      </c>
      <c r="B1389" t="s">
        <v>3079</v>
      </c>
      <c r="C1389" t="s">
        <v>39</v>
      </c>
      <c r="D1389" t="s">
        <v>313</v>
      </c>
      <c r="E1389" t="s">
        <v>314</v>
      </c>
      <c r="F1389">
        <v>86</v>
      </c>
      <c r="G1389" t="s">
        <v>24</v>
      </c>
      <c r="H1389" t="s">
        <v>3080</v>
      </c>
      <c r="I1389">
        <f>92-333-5432109</f>
        <v>-5432350</v>
      </c>
      <c r="J1389" s="1">
        <v>44004</v>
      </c>
      <c r="K1389" s="1">
        <v>45299</v>
      </c>
      <c r="L1389">
        <v>202000.25</v>
      </c>
      <c r="M1389">
        <v>122000.8</v>
      </c>
      <c r="N1389">
        <v>645</v>
      </c>
      <c r="O1389">
        <v>238000</v>
      </c>
      <c r="P1389" t="s">
        <v>76</v>
      </c>
      <c r="Q1389" t="s">
        <v>27</v>
      </c>
      <c r="R1389">
        <v>0</v>
      </c>
      <c r="S1389" t="s">
        <v>28</v>
      </c>
    </row>
    <row r="1390" spans="1:19">
      <c r="A1390" t="s">
        <v>554</v>
      </c>
      <c r="B1390" t="s">
        <v>3081</v>
      </c>
      <c r="C1390" t="s">
        <v>31</v>
      </c>
      <c r="D1390" t="s">
        <v>214</v>
      </c>
      <c r="E1390" t="s">
        <v>724</v>
      </c>
      <c r="F1390">
        <v>59</v>
      </c>
      <c r="G1390" t="s">
        <v>34</v>
      </c>
      <c r="H1390" t="s">
        <v>3082</v>
      </c>
      <c r="I1390">
        <f>34-656-789-12</f>
        <v>-1423</v>
      </c>
      <c r="J1390" s="1">
        <v>45654</v>
      </c>
      <c r="K1390" s="1">
        <v>45306</v>
      </c>
      <c r="L1390">
        <v>43200.5</v>
      </c>
      <c r="M1390">
        <v>19200.400000000001</v>
      </c>
      <c r="N1390">
        <v>720</v>
      </c>
      <c r="O1390">
        <v>75000</v>
      </c>
      <c r="P1390" t="s">
        <v>36</v>
      </c>
      <c r="Q1390" t="s">
        <v>27</v>
      </c>
      <c r="R1390">
        <v>0</v>
      </c>
      <c r="S1390" t="s">
        <v>28</v>
      </c>
    </row>
    <row r="1391" spans="1:19">
      <c r="A1391" t="s">
        <v>108</v>
      </c>
      <c r="B1391" t="s">
        <v>3083</v>
      </c>
      <c r="C1391" t="s">
        <v>84</v>
      </c>
      <c r="D1391" t="s">
        <v>32</v>
      </c>
      <c r="E1391" t="s">
        <v>33</v>
      </c>
      <c r="F1391">
        <v>55</v>
      </c>
      <c r="G1391" t="s">
        <v>24</v>
      </c>
      <c r="H1391" t="s">
        <v>3084</v>
      </c>
      <c r="I1391">
        <f>81-90-9012-3456</f>
        <v>-12477</v>
      </c>
      <c r="J1391" s="1">
        <v>45654</v>
      </c>
      <c r="K1391" s="1">
        <v>45304</v>
      </c>
      <c r="L1391">
        <v>5150.8</v>
      </c>
      <c r="M1391">
        <v>15200.25</v>
      </c>
      <c r="N1391">
        <v>605</v>
      </c>
      <c r="O1391">
        <v>51000</v>
      </c>
      <c r="P1391" t="s">
        <v>76</v>
      </c>
      <c r="Q1391" t="s">
        <v>43</v>
      </c>
      <c r="R1391">
        <v>0</v>
      </c>
      <c r="S1391" t="s">
        <v>28</v>
      </c>
    </row>
    <row r="1392" spans="1:19">
      <c r="A1392" t="s">
        <v>559</v>
      </c>
      <c r="B1392" t="s">
        <v>3085</v>
      </c>
      <c r="C1392" t="s">
        <v>46</v>
      </c>
      <c r="D1392" t="s">
        <v>254</v>
      </c>
      <c r="E1392" t="s">
        <v>255</v>
      </c>
      <c r="F1392">
        <v>69</v>
      </c>
      <c r="G1392" t="s">
        <v>34</v>
      </c>
      <c r="H1392" t="s">
        <v>3086</v>
      </c>
      <c r="I1392">
        <f>221-11-567-8901</f>
        <v>-9258</v>
      </c>
      <c r="J1392" s="1">
        <v>45282</v>
      </c>
      <c r="K1392" s="1">
        <v>45302</v>
      </c>
      <c r="L1392">
        <v>98600.4</v>
      </c>
      <c r="M1392">
        <v>60800.75</v>
      </c>
      <c r="N1392">
        <v>710</v>
      </c>
      <c r="O1392">
        <v>149000</v>
      </c>
      <c r="P1392" t="s">
        <v>26</v>
      </c>
      <c r="Q1392" t="s">
        <v>27</v>
      </c>
      <c r="R1392">
        <v>0</v>
      </c>
      <c r="S1392" t="s">
        <v>28</v>
      </c>
    </row>
    <row r="1393" spans="1:19">
      <c r="A1393" t="s">
        <v>562</v>
      </c>
      <c r="B1393" t="s">
        <v>3087</v>
      </c>
      <c r="C1393" t="s">
        <v>39</v>
      </c>
      <c r="D1393" t="s">
        <v>47</v>
      </c>
      <c r="E1393" t="s">
        <v>98</v>
      </c>
      <c r="F1393">
        <v>83</v>
      </c>
      <c r="G1393" t="s">
        <v>24</v>
      </c>
      <c r="H1393" t="s">
        <v>3088</v>
      </c>
      <c r="I1393">
        <f>44-79-8901-2345</f>
        <v>-11281</v>
      </c>
      <c r="J1393" s="1">
        <v>44157</v>
      </c>
      <c r="K1393" s="1">
        <v>45300</v>
      </c>
      <c r="L1393">
        <v>182200.6</v>
      </c>
      <c r="M1393">
        <v>115000.25</v>
      </c>
      <c r="N1393">
        <v>675</v>
      </c>
      <c r="O1393">
        <v>218000</v>
      </c>
      <c r="P1393" t="s">
        <v>76</v>
      </c>
      <c r="Q1393" t="s">
        <v>27</v>
      </c>
      <c r="R1393">
        <v>0</v>
      </c>
      <c r="S1393" t="s">
        <v>28</v>
      </c>
    </row>
    <row r="1394" spans="1:19">
      <c r="A1394" t="s">
        <v>565</v>
      </c>
      <c r="B1394" t="s">
        <v>3089</v>
      </c>
      <c r="C1394" t="s">
        <v>52</v>
      </c>
      <c r="D1394" t="s">
        <v>233</v>
      </c>
      <c r="E1394" t="s">
        <v>234</v>
      </c>
      <c r="F1394">
        <v>68</v>
      </c>
      <c r="G1394" t="s">
        <v>34</v>
      </c>
      <c r="H1394" t="s">
        <v>3090</v>
      </c>
      <c r="I1394">
        <f>82-10-7890-1234</f>
        <v>-9052</v>
      </c>
      <c r="J1394" s="1">
        <v>45068</v>
      </c>
      <c r="K1394" s="1">
        <v>45301</v>
      </c>
      <c r="L1394">
        <v>75000.75</v>
      </c>
      <c r="M1394">
        <v>51900.800000000003</v>
      </c>
      <c r="N1394">
        <v>725</v>
      </c>
      <c r="O1394">
        <v>115000</v>
      </c>
      <c r="P1394" t="s">
        <v>26</v>
      </c>
      <c r="Q1394" t="s">
        <v>27</v>
      </c>
      <c r="R1394">
        <v>0</v>
      </c>
      <c r="S1394" t="s">
        <v>28</v>
      </c>
    </row>
    <row r="1395" spans="1:19">
      <c r="A1395" t="s">
        <v>568</v>
      </c>
      <c r="B1395" t="s">
        <v>3091</v>
      </c>
      <c r="C1395" t="s">
        <v>57</v>
      </c>
      <c r="D1395" t="s">
        <v>79</v>
      </c>
      <c r="E1395" t="s">
        <v>80</v>
      </c>
      <c r="F1395">
        <v>66</v>
      </c>
      <c r="G1395" t="s">
        <v>24</v>
      </c>
      <c r="H1395" t="s">
        <v>3092</v>
      </c>
      <c r="I1395">
        <f>971-50-901-2345</f>
        <v>-2325</v>
      </c>
      <c r="J1395" s="1">
        <v>45526</v>
      </c>
      <c r="K1395" s="1">
        <v>45303</v>
      </c>
      <c r="L1395">
        <v>53000.4</v>
      </c>
      <c r="M1395">
        <v>20400.900000000001</v>
      </c>
      <c r="N1395">
        <v>740</v>
      </c>
      <c r="O1395">
        <v>101000</v>
      </c>
      <c r="P1395" t="s">
        <v>36</v>
      </c>
      <c r="Q1395" t="s">
        <v>27</v>
      </c>
      <c r="R1395">
        <v>0</v>
      </c>
      <c r="S1395" t="s">
        <v>28</v>
      </c>
    </row>
    <row r="1396" spans="1:19">
      <c r="A1396" t="s">
        <v>571</v>
      </c>
      <c r="B1396" t="s">
        <v>3093</v>
      </c>
      <c r="C1396" t="s">
        <v>21</v>
      </c>
      <c r="D1396" t="s">
        <v>63</v>
      </c>
      <c r="E1396" t="s">
        <v>64</v>
      </c>
      <c r="F1396">
        <v>89</v>
      </c>
      <c r="G1396" t="s">
        <v>34</v>
      </c>
      <c r="H1396" t="s">
        <v>3094</v>
      </c>
      <c r="I1396">
        <f>55-11-99901-2345</f>
        <v>-102202</v>
      </c>
      <c r="J1396" s="1">
        <v>43699</v>
      </c>
      <c r="K1396" s="1">
        <v>45299</v>
      </c>
      <c r="L1396">
        <v>271100.90000000002</v>
      </c>
      <c r="M1396">
        <v>105000.6</v>
      </c>
      <c r="N1396">
        <v>830</v>
      </c>
      <c r="O1396">
        <v>313000</v>
      </c>
      <c r="P1396" t="s">
        <v>36</v>
      </c>
      <c r="Q1396" t="s">
        <v>27</v>
      </c>
      <c r="R1396">
        <v>0</v>
      </c>
      <c r="S1396" t="s">
        <v>28</v>
      </c>
    </row>
    <row r="1397" spans="1:19">
      <c r="A1397" t="s">
        <v>574</v>
      </c>
      <c r="B1397" t="s">
        <v>3095</v>
      </c>
      <c r="C1397" t="s">
        <v>39</v>
      </c>
      <c r="D1397" t="s">
        <v>68</v>
      </c>
      <c r="E1397" t="s">
        <v>114</v>
      </c>
      <c r="F1397">
        <v>81</v>
      </c>
      <c r="G1397" t="s">
        <v>24</v>
      </c>
      <c r="H1397" t="s">
        <v>3096</v>
      </c>
      <c r="I1397">
        <f>234-848-901-2345</f>
        <v>-3860</v>
      </c>
      <c r="J1397" s="1">
        <v>44298</v>
      </c>
      <c r="K1397" s="1">
        <v>45300</v>
      </c>
      <c r="L1397">
        <v>160000.25</v>
      </c>
      <c r="M1397">
        <v>107000.4</v>
      </c>
      <c r="N1397">
        <v>655</v>
      </c>
      <c r="O1397">
        <v>203000</v>
      </c>
      <c r="P1397" t="s">
        <v>76</v>
      </c>
      <c r="Q1397" t="s">
        <v>27</v>
      </c>
      <c r="R1397">
        <v>0</v>
      </c>
      <c r="S1397" t="s">
        <v>28</v>
      </c>
    </row>
    <row r="1398" spans="1:19">
      <c r="A1398" t="s">
        <v>577</v>
      </c>
      <c r="B1398" t="s">
        <v>3097</v>
      </c>
      <c r="C1398" t="s">
        <v>46</v>
      </c>
      <c r="D1398" t="s">
        <v>85</v>
      </c>
      <c r="E1398" t="s">
        <v>162</v>
      </c>
      <c r="F1398">
        <v>70</v>
      </c>
      <c r="G1398" t="s">
        <v>34</v>
      </c>
      <c r="H1398" t="s">
        <v>3098</v>
      </c>
      <c r="I1398">
        <f>1-514-555-198</f>
        <v>-1266</v>
      </c>
      <c r="J1398" s="1">
        <v>45191</v>
      </c>
      <c r="K1398" s="1">
        <v>45302</v>
      </c>
      <c r="L1398">
        <v>117500.6</v>
      </c>
      <c r="M1398">
        <v>68800.75</v>
      </c>
      <c r="N1398">
        <v>760</v>
      </c>
      <c r="O1398">
        <v>172000</v>
      </c>
      <c r="P1398" t="s">
        <v>26</v>
      </c>
      <c r="Q1398" t="s">
        <v>27</v>
      </c>
      <c r="R1398">
        <v>0</v>
      </c>
      <c r="S1398" t="s">
        <v>28</v>
      </c>
    </row>
    <row r="1399" spans="1:19">
      <c r="A1399" t="s">
        <v>458</v>
      </c>
      <c r="B1399" t="s">
        <v>3099</v>
      </c>
      <c r="C1399" t="s">
        <v>31</v>
      </c>
      <c r="D1399" t="s">
        <v>460</v>
      </c>
      <c r="E1399" t="s">
        <v>461</v>
      </c>
      <c r="F1399">
        <v>61</v>
      </c>
      <c r="G1399" t="s">
        <v>24</v>
      </c>
      <c r="H1399" t="s">
        <v>3100</v>
      </c>
      <c r="I1399">
        <f>62-845-6789-123</f>
        <v>-7695</v>
      </c>
      <c r="J1399" s="1">
        <v>45654</v>
      </c>
      <c r="K1399" s="1">
        <v>45306</v>
      </c>
      <c r="L1399">
        <v>24900.25</v>
      </c>
      <c r="M1399">
        <v>14800.8</v>
      </c>
      <c r="N1399">
        <v>695</v>
      </c>
      <c r="O1399">
        <v>72000</v>
      </c>
      <c r="P1399" t="s">
        <v>26</v>
      </c>
      <c r="Q1399" t="s">
        <v>43</v>
      </c>
      <c r="R1399">
        <v>0</v>
      </c>
      <c r="S1399" t="s">
        <v>28</v>
      </c>
    </row>
    <row r="1400" spans="1:19">
      <c r="A1400" t="s">
        <v>582</v>
      </c>
      <c r="B1400" t="s">
        <v>3101</v>
      </c>
      <c r="C1400" t="s">
        <v>57</v>
      </c>
      <c r="D1400" t="s">
        <v>22</v>
      </c>
      <c r="E1400" t="s">
        <v>53</v>
      </c>
      <c r="F1400">
        <v>64</v>
      </c>
      <c r="G1400" t="s">
        <v>34</v>
      </c>
      <c r="H1400" t="s">
        <v>3102</v>
      </c>
      <c r="I1400">
        <f>1-773-555-194</f>
        <v>-1521</v>
      </c>
      <c r="J1400" s="1">
        <v>45465</v>
      </c>
      <c r="K1400" s="1">
        <v>45303</v>
      </c>
      <c r="L1400">
        <v>51900.9</v>
      </c>
      <c r="M1400">
        <v>20000.25</v>
      </c>
      <c r="N1400">
        <v>755</v>
      </c>
      <c r="O1400">
        <v>94000</v>
      </c>
      <c r="P1400" t="s">
        <v>36</v>
      </c>
      <c r="Q1400" t="s">
        <v>27</v>
      </c>
      <c r="R1400">
        <v>0</v>
      </c>
      <c r="S1400" t="s">
        <v>28</v>
      </c>
    </row>
    <row r="1401" spans="1:19">
      <c r="A1401" t="s">
        <v>55</v>
      </c>
      <c r="B1401" t="s">
        <v>3103</v>
      </c>
      <c r="C1401" t="s">
        <v>39</v>
      </c>
      <c r="D1401" t="s">
        <v>58</v>
      </c>
      <c r="E1401" t="s">
        <v>122</v>
      </c>
      <c r="F1401">
        <v>82</v>
      </c>
      <c r="G1401" t="s">
        <v>24</v>
      </c>
      <c r="H1401" t="s">
        <v>3104</v>
      </c>
      <c r="I1401">
        <f>86-138-123-4567</f>
        <v>-4742</v>
      </c>
      <c r="J1401" s="1">
        <v>44218</v>
      </c>
      <c r="K1401" s="1">
        <v>45300</v>
      </c>
      <c r="L1401">
        <v>192900.4</v>
      </c>
      <c r="M1401">
        <v>120000.75</v>
      </c>
      <c r="N1401">
        <v>685</v>
      </c>
      <c r="O1401">
        <v>228000</v>
      </c>
      <c r="P1401" t="s">
        <v>76</v>
      </c>
      <c r="Q1401" t="s">
        <v>27</v>
      </c>
      <c r="R1401">
        <v>0</v>
      </c>
      <c r="S1401" t="s">
        <v>28</v>
      </c>
    </row>
    <row r="1402" spans="1:19">
      <c r="A1402" t="s">
        <v>469</v>
      </c>
      <c r="B1402" t="s">
        <v>3105</v>
      </c>
      <c r="C1402" t="s">
        <v>52</v>
      </c>
      <c r="D1402" t="s">
        <v>471</v>
      </c>
      <c r="E1402" t="s">
        <v>472</v>
      </c>
      <c r="F1402">
        <v>73</v>
      </c>
      <c r="G1402" t="s">
        <v>34</v>
      </c>
      <c r="H1402" t="s">
        <v>3106</v>
      </c>
      <c r="I1402">
        <f>48-733-567-890</f>
        <v>-2142</v>
      </c>
      <c r="J1402" s="1">
        <v>44856</v>
      </c>
      <c r="K1402" s="1">
        <v>45301</v>
      </c>
      <c r="L1402">
        <v>81900.800000000003</v>
      </c>
      <c r="M1402">
        <v>55000.6</v>
      </c>
      <c r="N1402">
        <v>715</v>
      </c>
      <c r="O1402">
        <v>127000</v>
      </c>
      <c r="P1402" t="s">
        <v>26</v>
      </c>
      <c r="Q1402" t="s">
        <v>27</v>
      </c>
      <c r="R1402">
        <v>0</v>
      </c>
      <c r="S1402" t="s">
        <v>28</v>
      </c>
    </row>
    <row r="1403" spans="1:19">
      <c r="A1403" t="s">
        <v>474</v>
      </c>
      <c r="B1403" t="s">
        <v>3107</v>
      </c>
      <c r="C1403" t="s">
        <v>46</v>
      </c>
      <c r="D1403" t="s">
        <v>345</v>
      </c>
      <c r="E1403" t="s">
        <v>346</v>
      </c>
      <c r="F1403">
        <v>76</v>
      </c>
      <c r="G1403" t="s">
        <v>24</v>
      </c>
      <c r="H1403" t="s">
        <v>3108</v>
      </c>
      <c r="I1403">
        <f>880-1812-789012</f>
        <v>-789944</v>
      </c>
      <c r="J1403" s="1">
        <v>44764</v>
      </c>
      <c r="K1403" s="1">
        <v>45302</v>
      </c>
      <c r="L1403">
        <v>109700.25</v>
      </c>
      <c r="M1403">
        <v>65000.4</v>
      </c>
      <c r="N1403">
        <v>680</v>
      </c>
      <c r="O1403">
        <v>156000</v>
      </c>
      <c r="P1403" t="s">
        <v>26</v>
      </c>
      <c r="Q1403" t="s">
        <v>27</v>
      </c>
      <c r="R1403">
        <v>0</v>
      </c>
      <c r="S1403" t="s">
        <v>28</v>
      </c>
    </row>
    <row r="1404" spans="1:19">
      <c r="A1404" t="s">
        <v>592</v>
      </c>
      <c r="B1404" t="s">
        <v>3109</v>
      </c>
      <c r="C1404" t="s">
        <v>84</v>
      </c>
      <c r="D1404" t="s">
        <v>32</v>
      </c>
      <c r="E1404" t="s">
        <v>90</v>
      </c>
      <c r="F1404">
        <v>56</v>
      </c>
      <c r="G1404" t="s">
        <v>34</v>
      </c>
      <c r="H1404" t="s">
        <v>3110</v>
      </c>
      <c r="I1404">
        <f>81-90-123-4567</f>
        <v>-4699</v>
      </c>
      <c r="J1404" s="1">
        <v>45662</v>
      </c>
      <c r="K1404" s="1">
        <v>45304</v>
      </c>
      <c r="L1404">
        <v>5250.4</v>
      </c>
      <c r="M1404">
        <v>15800.75</v>
      </c>
      <c r="N1404">
        <v>610</v>
      </c>
      <c r="O1404">
        <v>52000</v>
      </c>
      <c r="P1404" t="s">
        <v>76</v>
      </c>
      <c r="Q1404" t="s">
        <v>43</v>
      </c>
      <c r="R1404">
        <v>0</v>
      </c>
      <c r="S1404" t="s">
        <v>28</v>
      </c>
    </row>
    <row r="1405" spans="1:19">
      <c r="A1405" t="s">
        <v>595</v>
      </c>
      <c r="B1405" t="s">
        <v>3111</v>
      </c>
      <c r="C1405" t="s">
        <v>21</v>
      </c>
      <c r="D1405" t="s">
        <v>209</v>
      </c>
      <c r="E1405" t="s">
        <v>210</v>
      </c>
      <c r="F1405">
        <v>88</v>
      </c>
      <c r="G1405" t="s">
        <v>24</v>
      </c>
      <c r="H1405" t="s">
        <v>3112</v>
      </c>
      <c r="I1405">
        <f>52-55-7890-123</f>
        <v>-8016</v>
      </c>
      <c r="J1405" s="1">
        <v>43912</v>
      </c>
      <c r="K1405" s="1">
        <v>45299</v>
      </c>
      <c r="L1405">
        <v>290900.8</v>
      </c>
      <c r="M1405">
        <v>111000.25</v>
      </c>
      <c r="N1405">
        <v>825</v>
      </c>
      <c r="O1405">
        <v>308000</v>
      </c>
      <c r="P1405" t="s">
        <v>36</v>
      </c>
      <c r="Q1405" t="s">
        <v>27</v>
      </c>
      <c r="R1405">
        <v>0</v>
      </c>
      <c r="S1405" t="s">
        <v>28</v>
      </c>
    </row>
    <row r="1406" spans="1:19">
      <c r="A1406" t="s">
        <v>226</v>
      </c>
      <c r="B1406" t="s">
        <v>3113</v>
      </c>
      <c r="C1406" t="s">
        <v>57</v>
      </c>
      <c r="D1406" t="s">
        <v>228</v>
      </c>
      <c r="E1406" t="s">
        <v>229</v>
      </c>
      <c r="F1406">
        <v>63</v>
      </c>
      <c r="G1406" t="s">
        <v>34</v>
      </c>
      <c r="H1406" t="s">
        <v>3114</v>
      </c>
      <c r="I1406">
        <f>254-757-890-123</f>
        <v>-1516</v>
      </c>
      <c r="J1406" s="1">
        <v>45648</v>
      </c>
      <c r="K1406" s="1">
        <v>45305</v>
      </c>
      <c r="L1406">
        <v>48600.75</v>
      </c>
      <c r="M1406">
        <v>18400.400000000001</v>
      </c>
      <c r="N1406">
        <v>725</v>
      </c>
      <c r="O1406">
        <v>84000</v>
      </c>
      <c r="P1406" t="s">
        <v>36</v>
      </c>
      <c r="Q1406" t="s">
        <v>27</v>
      </c>
      <c r="R1406">
        <v>0</v>
      </c>
      <c r="S1406" t="s">
        <v>28</v>
      </c>
    </row>
    <row r="1407" spans="1:19">
      <c r="A1407" t="s">
        <v>488</v>
      </c>
      <c r="B1407" t="s">
        <v>3115</v>
      </c>
      <c r="C1407" t="s">
        <v>39</v>
      </c>
      <c r="D1407" t="s">
        <v>304</v>
      </c>
      <c r="E1407" t="s">
        <v>304</v>
      </c>
      <c r="F1407">
        <v>80</v>
      </c>
      <c r="G1407" t="s">
        <v>24</v>
      </c>
      <c r="H1407" t="s">
        <v>3116</v>
      </c>
      <c r="I1407">
        <f>65-1690-1234</f>
        <v>-2859</v>
      </c>
      <c r="J1407" s="1">
        <v>44389</v>
      </c>
      <c r="K1407" s="1">
        <v>45300</v>
      </c>
      <c r="L1407">
        <v>171100.6</v>
      </c>
      <c r="M1407">
        <v>111000.9</v>
      </c>
      <c r="N1407">
        <v>675</v>
      </c>
      <c r="O1407">
        <v>208000</v>
      </c>
      <c r="P1407" t="s">
        <v>76</v>
      </c>
      <c r="Q1407" t="s">
        <v>27</v>
      </c>
      <c r="R1407">
        <v>0</v>
      </c>
      <c r="S1407" t="s">
        <v>28</v>
      </c>
    </row>
    <row r="1408" spans="1:19">
      <c r="A1408" t="s">
        <v>491</v>
      </c>
      <c r="B1408" t="s">
        <v>3117</v>
      </c>
      <c r="C1408" t="s">
        <v>52</v>
      </c>
      <c r="D1408" t="s">
        <v>493</v>
      </c>
      <c r="E1408" t="s">
        <v>494</v>
      </c>
      <c r="F1408">
        <v>71</v>
      </c>
      <c r="G1408" t="s">
        <v>34</v>
      </c>
      <c r="H1408" t="s">
        <v>3118</v>
      </c>
      <c r="I1408">
        <f>30-725-678-9012</f>
        <v>-10385</v>
      </c>
      <c r="J1408" s="1">
        <v>45160</v>
      </c>
      <c r="K1408" s="1">
        <v>45302</v>
      </c>
      <c r="L1408">
        <v>76100.399999999994</v>
      </c>
      <c r="M1408">
        <v>50800.25</v>
      </c>
      <c r="N1408">
        <v>705</v>
      </c>
      <c r="O1408">
        <v>116000</v>
      </c>
      <c r="P1408" t="s">
        <v>26</v>
      </c>
      <c r="Q1408" t="s">
        <v>27</v>
      </c>
      <c r="R1408">
        <v>0</v>
      </c>
      <c r="S1408" t="s">
        <v>28</v>
      </c>
    </row>
    <row r="1409" spans="1:19">
      <c r="A1409" t="s">
        <v>496</v>
      </c>
      <c r="B1409" t="s">
        <v>3119</v>
      </c>
      <c r="C1409" t="s">
        <v>46</v>
      </c>
      <c r="D1409" t="s">
        <v>321</v>
      </c>
      <c r="E1409" t="s">
        <v>322</v>
      </c>
      <c r="F1409">
        <v>74</v>
      </c>
      <c r="G1409" t="s">
        <v>24</v>
      </c>
      <c r="H1409" t="s">
        <v>3120</v>
      </c>
      <c r="I1409">
        <f>61-457-890-123</f>
        <v>-1409</v>
      </c>
      <c r="J1409" s="1">
        <v>44642</v>
      </c>
      <c r="K1409" s="1">
        <v>45301</v>
      </c>
      <c r="L1409">
        <v>121100.75</v>
      </c>
      <c r="M1409">
        <v>71900.800000000003</v>
      </c>
      <c r="N1409">
        <v>730</v>
      </c>
      <c r="O1409">
        <v>182000</v>
      </c>
      <c r="P1409" t="s">
        <v>26</v>
      </c>
      <c r="Q1409" t="s">
        <v>27</v>
      </c>
      <c r="R1409">
        <v>0</v>
      </c>
      <c r="S1409" t="s">
        <v>28</v>
      </c>
    </row>
    <row r="1410" spans="1:19">
      <c r="A1410" t="s">
        <v>324</v>
      </c>
      <c r="B1410" t="s">
        <v>3121</v>
      </c>
      <c r="C1410" t="s">
        <v>31</v>
      </c>
      <c r="D1410" t="s">
        <v>313</v>
      </c>
      <c r="E1410" t="s">
        <v>385</v>
      </c>
      <c r="F1410">
        <v>59</v>
      </c>
      <c r="G1410" t="s">
        <v>34</v>
      </c>
      <c r="H1410" t="s">
        <v>3122</v>
      </c>
      <c r="I1410">
        <f>92-355-4321098</f>
        <v>-4321361</v>
      </c>
      <c r="J1410" s="1">
        <v>45654</v>
      </c>
      <c r="K1410" s="1">
        <v>45306</v>
      </c>
      <c r="L1410">
        <v>21000.9</v>
      </c>
      <c r="M1410">
        <v>11900.75</v>
      </c>
      <c r="N1410">
        <v>685</v>
      </c>
      <c r="O1410">
        <v>69000</v>
      </c>
      <c r="P1410" t="s">
        <v>26</v>
      </c>
      <c r="Q1410" t="s">
        <v>43</v>
      </c>
      <c r="R1410">
        <v>0</v>
      </c>
      <c r="S1410" t="s">
        <v>28</v>
      </c>
    </row>
    <row r="1411" spans="1:19">
      <c r="A1411" t="s">
        <v>503</v>
      </c>
      <c r="B1411" t="s">
        <v>3123</v>
      </c>
      <c r="C1411" t="s">
        <v>21</v>
      </c>
      <c r="D1411" t="s">
        <v>32</v>
      </c>
      <c r="E1411" t="s">
        <v>33</v>
      </c>
      <c r="F1411">
        <v>91</v>
      </c>
      <c r="G1411" t="s">
        <v>24</v>
      </c>
      <c r="H1411" t="s">
        <v>3124</v>
      </c>
      <c r="I1411">
        <f>81-80-5678-9012</f>
        <v>-14689</v>
      </c>
      <c r="J1411" s="1">
        <v>43638</v>
      </c>
      <c r="K1411" s="1">
        <v>45299</v>
      </c>
      <c r="L1411">
        <v>301800.25</v>
      </c>
      <c r="M1411">
        <v>115000.4</v>
      </c>
      <c r="N1411">
        <v>840</v>
      </c>
      <c r="O1411">
        <v>323000</v>
      </c>
      <c r="P1411" t="s">
        <v>36</v>
      </c>
      <c r="Q1411" t="s">
        <v>27</v>
      </c>
      <c r="R1411">
        <v>0</v>
      </c>
      <c r="S1411" t="s">
        <v>28</v>
      </c>
    </row>
    <row r="1412" spans="1:19">
      <c r="A1412" t="s">
        <v>506</v>
      </c>
      <c r="B1412" t="s">
        <v>3125</v>
      </c>
      <c r="C1412" t="s">
        <v>39</v>
      </c>
      <c r="D1412" t="s">
        <v>68</v>
      </c>
      <c r="E1412" t="s">
        <v>69</v>
      </c>
      <c r="F1412">
        <v>83</v>
      </c>
      <c r="G1412" t="s">
        <v>34</v>
      </c>
      <c r="H1412" t="s">
        <v>3126</v>
      </c>
      <c r="I1412">
        <f>234-847-890-1234</f>
        <v>-2737</v>
      </c>
      <c r="J1412" s="1">
        <v>44157</v>
      </c>
      <c r="K1412" s="1">
        <v>45300</v>
      </c>
      <c r="L1412">
        <v>182200.4</v>
      </c>
      <c r="M1412">
        <v>115000.75</v>
      </c>
      <c r="N1412">
        <v>650</v>
      </c>
      <c r="O1412">
        <v>218000</v>
      </c>
      <c r="P1412" t="s">
        <v>76</v>
      </c>
      <c r="Q1412" t="s">
        <v>27</v>
      </c>
      <c r="R1412">
        <v>0</v>
      </c>
      <c r="S1412" t="s">
        <v>28</v>
      </c>
    </row>
    <row r="1413" spans="1:19">
      <c r="A1413" t="s">
        <v>509</v>
      </c>
      <c r="B1413" t="s">
        <v>3127</v>
      </c>
      <c r="C1413" t="s">
        <v>46</v>
      </c>
      <c r="D1413" t="s">
        <v>73</v>
      </c>
      <c r="E1413" t="s">
        <v>74</v>
      </c>
      <c r="F1413">
        <v>70</v>
      </c>
      <c r="G1413" t="s">
        <v>24</v>
      </c>
      <c r="H1413" t="s">
        <v>3128</v>
      </c>
      <c r="I1413">
        <f>49-209-123456</f>
        <v>-123616</v>
      </c>
      <c r="J1413" s="1">
        <v>45373</v>
      </c>
      <c r="K1413" s="1">
        <v>45303</v>
      </c>
      <c r="L1413">
        <v>109900.4</v>
      </c>
      <c r="M1413">
        <v>66100.25</v>
      </c>
      <c r="N1413">
        <v>745</v>
      </c>
      <c r="O1413">
        <v>162000</v>
      </c>
      <c r="P1413" t="s">
        <v>26</v>
      </c>
      <c r="Q1413" t="s">
        <v>27</v>
      </c>
      <c r="R1413">
        <v>0</v>
      </c>
      <c r="S1413" t="s">
        <v>28</v>
      </c>
    </row>
    <row r="1414" spans="1:19">
      <c r="A1414" t="s">
        <v>513</v>
      </c>
      <c r="B1414" t="s">
        <v>3129</v>
      </c>
      <c r="C1414" t="s">
        <v>57</v>
      </c>
      <c r="D1414" t="s">
        <v>58</v>
      </c>
      <c r="E1414" t="s">
        <v>122</v>
      </c>
      <c r="F1414">
        <v>65</v>
      </c>
      <c r="G1414" t="s">
        <v>34</v>
      </c>
      <c r="H1414" t="s">
        <v>3130</v>
      </c>
      <c r="I1414">
        <f>86-137-123-4567</f>
        <v>-4741</v>
      </c>
      <c r="J1414" s="1">
        <v>45557</v>
      </c>
      <c r="K1414" s="1">
        <v>45302</v>
      </c>
      <c r="L1414">
        <v>50800.800000000003</v>
      </c>
      <c r="M1414">
        <v>19600.900000000001</v>
      </c>
      <c r="N1414">
        <v>765</v>
      </c>
      <c r="O1414">
        <v>94000</v>
      </c>
      <c r="P1414" t="s">
        <v>36</v>
      </c>
      <c r="Q1414" t="s">
        <v>27</v>
      </c>
      <c r="R1414">
        <v>0</v>
      </c>
      <c r="S1414" t="s">
        <v>28</v>
      </c>
    </row>
    <row r="1415" spans="1:19">
      <c r="A1415" t="s">
        <v>516</v>
      </c>
      <c r="B1415" t="s">
        <v>3131</v>
      </c>
      <c r="C1415" t="s">
        <v>52</v>
      </c>
      <c r="D1415" t="s">
        <v>277</v>
      </c>
      <c r="E1415" t="s">
        <v>278</v>
      </c>
      <c r="F1415">
        <v>78</v>
      </c>
      <c r="G1415" t="s">
        <v>24</v>
      </c>
      <c r="H1415" t="s">
        <v>3132</v>
      </c>
      <c r="I1415">
        <f>20-122-543-2109</f>
        <v>-2754</v>
      </c>
      <c r="J1415" s="1">
        <v>44826</v>
      </c>
      <c r="K1415" s="1">
        <v>45301</v>
      </c>
      <c r="L1415">
        <v>84100.75</v>
      </c>
      <c r="M1415">
        <v>57200.4</v>
      </c>
      <c r="N1415">
        <v>675</v>
      </c>
      <c r="O1415">
        <v>134000</v>
      </c>
      <c r="P1415" t="s">
        <v>26</v>
      </c>
      <c r="Q1415" t="s">
        <v>27</v>
      </c>
      <c r="R1415">
        <v>0</v>
      </c>
      <c r="S1415" t="s">
        <v>28</v>
      </c>
    </row>
    <row r="1416" spans="1:19">
      <c r="A1416" t="s">
        <v>519</v>
      </c>
      <c r="B1416" t="s">
        <v>3133</v>
      </c>
      <c r="C1416" t="s">
        <v>84</v>
      </c>
      <c r="D1416" t="s">
        <v>183</v>
      </c>
      <c r="E1416" t="s">
        <v>184</v>
      </c>
      <c r="F1416">
        <v>57</v>
      </c>
      <c r="G1416" t="s">
        <v>34</v>
      </c>
      <c r="H1416" t="s">
        <v>3134</v>
      </c>
      <c r="I1416">
        <f>33-6-7890-1234</f>
        <v>-9097</v>
      </c>
      <c r="J1416" s="1">
        <v>45669</v>
      </c>
      <c r="K1416" s="1">
        <v>45304</v>
      </c>
      <c r="L1416">
        <v>5500.25</v>
      </c>
      <c r="M1416">
        <v>17000.599999999999</v>
      </c>
      <c r="N1416">
        <v>615</v>
      </c>
      <c r="O1416">
        <v>54000</v>
      </c>
      <c r="P1416" t="s">
        <v>76</v>
      </c>
      <c r="Q1416" t="s">
        <v>43</v>
      </c>
      <c r="R1416">
        <v>0</v>
      </c>
      <c r="S1416" t="s">
        <v>28</v>
      </c>
    </row>
    <row r="1417" spans="1:19">
      <c r="A1417" t="s">
        <v>522</v>
      </c>
      <c r="B1417" t="s">
        <v>3135</v>
      </c>
      <c r="C1417" t="s">
        <v>39</v>
      </c>
      <c r="D1417" t="s">
        <v>40</v>
      </c>
      <c r="E1417" t="s">
        <v>94</v>
      </c>
      <c r="F1417">
        <v>85</v>
      </c>
      <c r="G1417" t="s">
        <v>24</v>
      </c>
      <c r="H1417" t="s">
        <v>3136</v>
      </c>
      <c r="I1417">
        <f>91-987-654-3210</f>
        <v>-4760</v>
      </c>
      <c r="J1417" s="1">
        <v>44126</v>
      </c>
      <c r="K1417" s="1">
        <v>45299</v>
      </c>
      <c r="L1417">
        <v>216800.8</v>
      </c>
      <c r="M1417">
        <v>128000.25</v>
      </c>
      <c r="N1417">
        <v>660</v>
      </c>
      <c r="O1417">
        <v>253000</v>
      </c>
      <c r="P1417" t="s">
        <v>76</v>
      </c>
      <c r="Q1417" t="s">
        <v>27</v>
      </c>
      <c r="R1417">
        <v>0</v>
      </c>
      <c r="S1417" t="s">
        <v>28</v>
      </c>
    </row>
    <row r="1418" spans="1:19">
      <c r="A1418" t="s">
        <v>306</v>
      </c>
      <c r="B1418" t="s">
        <v>3137</v>
      </c>
      <c r="C1418" t="s">
        <v>46</v>
      </c>
      <c r="D1418" t="s">
        <v>209</v>
      </c>
      <c r="E1418" t="s">
        <v>447</v>
      </c>
      <c r="F1418">
        <v>72</v>
      </c>
      <c r="G1418" t="s">
        <v>34</v>
      </c>
      <c r="H1418" t="s">
        <v>3138</v>
      </c>
      <c r="I1418">
        <f>52-33-8901-123</f>
        <v>-9005</v>
      </c>
      <c r="J1418" s="1">
        <v>44979</v>
      </c>
      <c r="K1418" s="1">
        <v>45302</v>
      </c>
      <c r="L1418">
        <v>105200.9</v>
      </c>
      <c r="M1418">
        <v>63000.75</v>
      </c>
      <c r="N1418">
        <v>730</v>
      </c>
      <c r="O1418">
        <v>157000</v>
      </c>
      <c r="P1418" t="s">
        <v>26</v>
      </c>
      <c r="Q1418" t="s">
        <v>27</v>
      </c>
      <c r="R1418">
        <v>0</v>
      </c>
      <c r="S1418" t="s">
        <v>28</v>
      </c>
    </row>
    <row r="1419" spans="1:19">
      <c r="A1419" t="s">
        <v>527</v>
      </c>
      <c r="B1419" t="s">
        <v>3139</v>
      </c>
      <c r="C1419" t="s">
        <v>31</v>
      </c>
      <c r="D1419" t="s">
        <v>32</v>
      </c>
      <c r="E1419" t="s">
        <v>90</v>
      </c>
      <c r="F1419">
        <v>61</v>
      </c>
      <c r="G1419" t="s">
        <v>34</v>
      </c>
      <c r="H1419" t="s">
        <v>3140</v>
      </c>
      <c r="I1419">
        <f>81-90-123-4567</f>
        <v>-4699</v>
      </c>
      <c r="J1419" s="1">
        <v>45665</v>
      </c>
      <c r="K1419" s="1">
        <v>45305</v>
      </c>
      <c r="L1419">
        <v>22100.400000000001</v>
      </c>
      <c r="M1419">
        <v>12000.25</v>
      </c>
      <c r="N1419">
        <v>705</v>
      </c>
      <c r="O1419">
        <v>71000</v>
      </c>
      <c r="P1419" t="s">
        <v>26</v>
      </c>
      <c r="Q1419" t="s">
        <v>43</v>
      </c>
      <c r="R1419">
        <v>0</v>
      </c>
      <c r="S1419" t="s">
        <v>28</v>
      </c>
    </row>
    <row r="1420" spans="1:19">
      <c r="A1420" t="s">
        <v>530</v>
      </c>
      <c r="B1420" t="s">
        <v>3141</v>
      </c>
      <c r="C1420" t="s">
        <v>57</v>
      </c>
      <c r="D1420" t="s">
        <v>219</v>
      </c>
      <c r="E1420" t="s">
        <v>220</v>
      </c>
      <c r="F1420">
        <v>66</v>
      </c>
      <c r="G1420" t="s">
        <v>24</v>
      </c>
      <c r="H1420" t="s">
        <v>3142</v>
      </c>
      <c r="I1420">
        <f>233-88-901-2345</f>
        <v>-3101</v>
      </c>
      <c r="J1420" s="1">
        <v>45526</v>
      </c>
      <c r="K1420" s="1">
        <v>45303</v>
      </c>
      <c r="L1420">
        <v>49700.6</v>
      </c>
      <c r="M1420">
        <v>19000.8</v>
      </c>
      <c r="N1420">
        <v>710</v>
      </c>
      <c r="O1420">
        <v>87000</v>
      </c>
      <c r="P1420" t="s">
        <v>36</v>
      </c>
      <c r="Q1420" t="s">
        <v>27</v>
      </c>
      <c r="R1420">
        <v>0</v>
      </c>
      <c r="S1420" t="s">
        <v>28</v>
      </c>
    </row>
    <row r="1421" spans="1:19">
      <c r="A1421" t="s">
        <v>533</v>
      </c>
      <c r="B1421" t="s">
        <v>3143</v>
      </c>
      <c r="C1421" t="s">
        <v>52</v>
      </c>
      <c r="D1421" t="s">
        <v>204</v>
      </c>
      <c r="E1421" t="s">
        <v>259</v>
      </c>
      <c r="F1421">
        <v>73</v>
      </c>
      <c r="G1421" t="s">
        <v>34</v>
      </c>
      <c r="H1421" t="s">
        <v>3144</v>
      </c>
      <c r="I1421">
        <f>7-921-321-9-87</f>
        <v>-1331</v>
      </c>
      <c r="J1421" s="1">
        <v>44826</v>
      </c>
      <c r="K1421" s="1">
        <v>45301</v>
      </c>
      <c r="L1421">
        <v>81000.25</v>
      </c>
      <c r="M1421">
        <v>54100.9</v>
      </c>
      <c r="N1421">
        <v>695</v>
      </c>
      <c r="O1421">
        <v>122000</v>
      </c>
      <c r="P1421" t="s">
        <v>26</v>
      </c>
      <c r="Q1421" t="s">
        <v>27</v>
      </c>
      <c r="R1421">
        <v>0</v>
      </c>
      <c r="S1421" t="s">
        <v>28</v>
      </c>
    </row>
    <row r="1422" spans="1:19">
      <c r="A1422" t="s">
        <v>536</v>
      </c>
      <c r="B1422" t="s">
        <v>3145</v>
      </c>
      <c r="C1422" t="s">
        <v>39</v>
      </c>
      <c r="D1422" t="s">
        <v>195</v>
      </c>
      <c r="E1422" t="s">
        <v>300</v>
      </c>
      <c r="F1422">
        <v>81</v>
      </c>
      <c r="G1422" t="s">
        <v>24</v>
      </c>
      <c r="H1422" t="s">
        <v>3146</v>
      </c>
      <c r="I1422">
        <f>353-20-890-1234</f>
        <v>-1791</v>
      </c>
      <c r="J1422" s="1">
        <v>44277</v>
      </c>
      <c r="K1422" s="1">
        <v>45300</v>
      </c>
      <c r="L1422">
        <v>149000.4</v>
      </c>
      <c r="M1422">
        <v>102000.6</v>
      </c>
      <c r="N1422">
        <v>670</v>
      </c>
      <c r="O1422">
        <v>189000</v>
      </c>
      <c r="P1422" t="s">
        <v>76</v>
      </c>
      <c r="Q1422" t="s">
        <v>27</v>
      </c>
      <c r="R1422">
        <v>0</v>
      </c>
      <c r="S1422" t="s">
        <v>28</v>
      </c>
    </row>
    <row r="1423" spans="1:19">
      <c r="A1423" t="s">
        <v>539</v>
      </c>
      <c r="B1423" t="s">
        <v>3147</v>
      </c>
      <c r="C1423" t="s">
        <v>21</v>
      </c>
      <c r="D1423" t="s">
        <v>58</v>
      </c>
      <c r="E1423" t="s">
        <v>59</v>
      </c>
      <c r="F1423">
        <v>89</v>
      </c>
      <c r="G1423" t="s">
        <v>34</v>
      </c>
      <c r="H1423" t="s">
        <v>3148</v>
      </c>
      <c r="I1423">
        <f>86-139-7890-1234</f>
        <v>-9177</v>
      </c>
      <c r="J1423" s="1">
        <v>43852</v>
      </c>
      <c r="K1423" s="1">
        <v>45299</v>
      </c>
      <c r="L1423">
        <v>315900.75</v>
      </c>
      <c r="M1423">
        <v>119000.8</v>
      </c>
      <c r="N1423">
        <v>835</v>
      </c>
      <c r="O1423">
        <v>334000</v>
      </c>
      <c r="P1423" t="s">
        <v>36</v>
      </c>
      <c r="Q1423" t="s">
        <v>27</v>
      </c>
      <c r="R1423">
        <v>0</v>
      </c>
      <c r="S1423" t="s">
        <v>28</v>
      </c>
    </row>
    <row r="1424" spans="1:19">
      <c r="A1424" t="s">
        <v>542</v>
      </c>
      <c r="B1424" t="s">
        <v>3149</v>
      </c>
      <c r="C1424" t="s">
        <v>52</v>
      </c>
      <c r="D1424" t="s">
        <v>68</v>
      </c>
      <c r="E1424" t="s">
        <v>179</v>
      </c>
      <c r="F1424">
        <v>76</v>
      </c>
      <c r="G1424" t="s">
        <v>34</v>
      </c>
      <c r="H1424" t="s">
        <v>3150</v>
      </c>
      <c r="I1424">
        <f>234-848-901-2345</f>
        <v>-3860</v>
      </c>
      <c r="J1424" s="1">
        <v>44795</v>
      </c>
      <c r="K1424" s="1">
        <v>45302</v>
      </c>
      <c r="L1424">
        <v>89700.6</v>
      </c>
      <c r="M1424">
        <v>59700.25</v>
      </c>
      <c r="N1424">
        <v>665</v>
      </c>
      <c r="O1424">
        <v>142000</v>
      </c>
      <c r="P1424" t="s">
        <v>26</v>
      </c>
      <c r="Q1424" t="s">
        <v>27</v>
      </c>
      <c r="R1424">
        <v>0</v>
      </c>
      <c r="S1424" t="s">
        <v>28</v>
      </c>
    </row>
    <row r="1425" spans="1:19">
      <c r="A1425" t="s">
        <v>545</v>
      </c>
      <c r="B1425" t="s">
        <v>3151</v>
      </c>
      <c r="C1425" t="s">
        <v>46</v>
      </c>
      <c r="D1425" t="s">
        <v>241</v>
      </c>
      <c r="E1425" t="s">
        <v>389</v>
      </c>
      <c r="F1425">
        <v>68</v>
      </c>
      <c r="G1425" t="s">
        <v>24</v>
      </c>
      <c r="H1425" t="s">
        <v>3152</v>
      </c>
      <c r="I1425">
        <f>39-382-678-9012</f>
        <v>-10033</v>
      </c>
      <c r="J1425" s="1">
        <v>45434</v>
      </c>
      <c r="K1425" s="1">
        <v>45303</v>
      </c>
      <c r="L1425">
        <v>113000.8</v>
      </c>
      <c r="M1425">
        <v>67200.399999999994</v>
      </c>
      <c r="N1425">
        <v>750</v>
      </c>
      <c r="O1425">
        <v>168000</v>
      </c>
      <c r="P1425" t="s">
        <v>26</v>
      </c>
      <c r="Q1425" t="s">
        <v>27</v>
      </c>
      <c r="R1425">
        <v>0</v>
      </c>
      <c r="S1425" t="s">
        <v>28</v>
      </c>
    </row>
    <row r="1426" spans="1:19">
      <c r="A1426" t="s">
        <v>548</v>
      </c>
      <c r="B1426" t="s">
        <v>3153</v>
      </c>
      <c r="C1426" t="s">
        <v>57</v>
      </c>
      <c r="D1426" t="s">
        <v>22</v>
      </c>
      <c r="E1426" t="s">
        <v>381</v>
      </c>
      <c r="F1426">
        <v>64</v>
      </c>
      <c r="G1426" t="s">
        <v>34</v>
      </c>
      <c r="H1426" t="s">
        <v>3154</v>
      </c>
      <c r="I1426">
        <f>1-415-555-194</f>
        <v>-1163</v>
      </c>
      <c r="J1426" s="1">
        <v>45618</v>
      </c>
      <c r="K1426" s="1">
        <v>45305</v>
      </c>
      <c r="L1426">
        <v>51900.9</v>
      </c>
      <c r="M1426">
        <v>20000.75</v>
      </c>
      <c r="N1426">
        <v>770</v>
      </c>
      <c r="O1426">
        <v>99000</v>
      </c>
      <c r="P1426" t="s">
        <v>36</v>
      </c>
      <c r="Q1426" t="s">
        <v>27</v>
      </c>
      <c r="R1426">
        <v>0</v>
      </c>
      <c r="S1426" t="s">
        <v>28</v>
      </c>
    </row>
    <row r="1427" spans="1:19">
      <c r="A1427" t="s">
        <v>551</v>
      </c>
      <c r="B1427" t="s">
        <v>3155</v>
      </c>
      <c r="C1427" t="s">
        <v>39</v>
      </c>
      <c r="D1427" t="s">
        <v>313</v>
      </c>
      <c r="E1427" t="s">
        <v>501</v>
      </c>
      <c r="F1427">
        <v>87</v>
      </c>
      <c r="G1427" t="s">
        <v>24</v>
      </c>
      <c r="H1427" t="s">
        <v>3156</v>
      </c>
      <c r="I1427">
        <f>92-334-4321098</f>
        <v>-4321340</v>
      </c>
      <c r="J1427" s="1">
        <v>44034</v>
      </c>
      <c r="K1427" s="1">
        <v>45299</v>
      </c>
      <c r="L1427">
        <v>202100.25</v>
      </c>
      <c r="M1427">
        <v>123000.8</v>
      </c>
      <c r="N1427">
        <v>645</v>
      </c>
      <c r="O1427">
        <v>239000</v>
      </c>
      <c r="P1427" t="s">
        <v>76</v>
      </c>
      <c r="Q1427" t="s">
        <v>27</v>
      </c>
      <c r="R1427">
        <v>0</v>
      </c>
      <c r="S1427" t="s">
        <v>28</v>
      </c>
    </row>
    <row r="1428" spans="1:19">
      <c r="A1428" t="s">
        <v>554</v>
      </c>
      <c r="B1428" t="s">
        <v>3157</v>
      </c>
      <c r="C1428" t="s">
        <v>31</v>
      </c>
      <c r="D1428" t="s">
        <v>214</v>
      </c>
      <c r="E1428" t="s">
        <v>483</v>
      </c>
      <c r="F1428">
        <v>60</v>
      </c>
      <c r="G1428" t="s">
        <v>34</v>
      </c>
      <c r="H1428" t="s">
        <v>3158</v>
      </c>
      <c r="I1428">
        <f>34-657-890-123</f>
        <v>-1636</v>
      </c>
      <c r="J1428" s="1">
        <v>45669</v>
      </c>
      <c r="K1428" s="1">
        <v>45306</v>
      </c>
      <c r="L1428">
        <v>44200.5</v>
      </c>
      <c r="M1428">
        <v>19600.400000000001</v>
      </c>
      <c r="N1428">
        <v>720</v>
      </c>
      <c r="O1428">
        <v>76000</v>
      </c>
      <c r="P1428" t="s">
        <v>36</v>
      </c>
      <c r="Q1428" t="s">
        <v>27</v>
      </c>
      <c r="R1428">
        <v>0</v>
      </c>
      <c r="S1428" t="s">
        <v>28</v>
      </c>
    </row>
    <row r="1429" spans="1:19">
      <c r="A1429" t="s">
        <v>108</v>
      </c>
      <c r="B1429" t="s">
        <v>3159</v>
      </c>
      <c r="C1429" t="s">
        <v>84</v>
      </c>
      <c r="D1429" t="s">
        <v>32</v>
      </c>
      <c r="E1429" t="s">
        <v>33</v>
      </c>
      <c r="F1429">
        <v>56</v>
      </c>
      <c r="G1429" t="s">
        <v>24</v>
      </c>
      <c r="H1429" t="s">
        <v>3160</v>
      </c>
      <c r="I1429">
        <f>81-90-1234-5678</f>
        <v>-6921</v>
      </c>
      <c r="J1429" s="1">
        <v>45672</v>
      </c>
      <c r="K1429" s="1">
        <v>45304</v>
      </c>
      <c r="L1429">
        <v>5250.8</v>
      </c>
      <c r="M1429">
        <v>15400.25</v>
      </c>
      <c r="N1429">
        <v>605</v>
      </c>
      <c r="O1429">
        <v>52000</v>
      </c>
      <c r="P1429" t="s">
        <v>76</v>
      </c>
      <c r="Q1429" t="s">
        <v>43</v>
      </c>
      <c r="R1429">
        <v>0</v>
      </c>
      <c r="S1429" t="s">
        <v>28</v>
      </c>
    </row>
    <row r="1430" spans="1:19">
      <c r="A1430" t="s">
        <v>559</v>
      </c>
      <c r="B1430" t="s">
        <v>3161</v>
      </c>
      <c r="C1430" t="s">
        <v>46</v>
      </c>
      <c r="D1430" t="s">
        <v>254</v>
      </c>
      <c r="E1430" t="s">
        <v>255</v>
      </c>
      <c r="F1430">
        <v>70</v>
      </c>
      <c r="G1430" t="s">
        <v>34</v>
      </c>
      <c r="H1430" t="s">
        <v>3162</v>
      </c>
      <c r="I1430">
        <f>221-12-678-9012</f>
        <v>-9481</v>
      </c>
      <c r="J1430" s="1">
        <v>45313</v>
      </c>
      <c r="K1430" s="1">
        <v>45302</v>
      </c>
      <c r="L1430">
        <v>99700.4</v>
      </c>
      <c r="M1430">
        <v>61900.75</v>
      </c>
      <c r="N1430">
        <v>710</v>
      </c>
      <c r="O1430">
        <v>150000</v>
      </c>
      <c r="P1430" t="s">
        <v>26</v>
      </c>
      <c r="Q1430" t="s">
        <v>27</v>
      </c>
      <c r="R1430">
        <v>0</v>
      </c>
      <c r="S1430" t="s">
        <v>28</v>
      </c>
    </row>
    <row r="1431" spans="1:19">
      <c r="A1431" t="s">
        <v>562</v>
      </c>
      <c r="B1431" t="s">
        <v>3163</v>
      </c>
      <c r="C1431" t="s">
        <v>39</v>
      </c>
      <c r="D1431" t="s">
        <v>47</v>
      </c>
      <c r="E1431" t="s">
        <v>48</v>
      </c>
      <c r="F1431">
        <v>84</v>
      </c>
      <c r="G1431" t="s">
        <v>24</v>
      </c>
      <c r="H1431" t="s">
        <v>3164</v>
      </c>
      <c r="I1431">
        <f>44-79-9012-3456</f>
        <v>-12503</v>
      </c>
      <c r="J1431" s="1">
        <v>44187</v>
      </c>
      <c r="K1431" s="1">
        <v>45300</v>
      </c>
      <c r="L1431">
        <v>182300.6</v>
      </c>
      <c r="M1431">
        <v>116000.25</v>
      </c>
      <c r="N1431">
        <v>675</v>
      </c>
      <c r="O1431">
        <v>219000</v>
      </c>
      <c r="P1431" t="s">
        <v>76</v>
      </c>
      <c r="Q1431" t="s">
        <v>27</v>
      </c>
      <c r="R1431">
        <v>0</v>
      </c>
      <c r="S1431" t="s">
        <v>28</v>
      </c>
    </row>
    <row r="1432" spans="1:19">
      <c r="A1432" t="s">
        <v>565</v>
      </c>
      <c r="B1432" t="s">
        <v>3165</v>
      </c>
      <c r="C1432" t="s">
        <v>52</v>
      </c>
      <c r="D1432" t="s">
        <v>233</v>
      </c>
      <c r="E1432" t="s">
        <v>296</v>
      </c>
      <c r="F1432">
        <v>69</v>
      </c>
      <c r="G1432" t="s">
        <v>34</v>
      </c>
      <c r="H1432" t="s">
        <v>3166</v>
      </c>
      <c r="I1432">
        <f>82-10-8901-2345</f>
        <v>-11174</v>
      </c>
      <c r="J1432" s="1">
        <v>45099</v>
      </c>
      <c r="K1432" s="1">
        <v>45301</v>
      </c>
      <c r="L1432">
        <v>76100.75</v>
      </c>
      <c r="M1432">
        <v>53000.800000000003</v>
      </c>
      <c r="N1432">
        <v>725</v>
      </c>
      <c r="O1432">
        <v>116000</v>
      </c>
      <c r="P1432" t="s">
        <v>26</v>
      </c>
      <c r="Q1432" t="s">
        <v>27</v>
      </c>
      <c r="R1432">
        <v>0</v>
      </c>
      <c r="S1432" t="s">
        <v>28</v>
      </c>
    </row>
    <row r="1433" spans="1:19">
      <c r="A1433" t="s">
        <v>568</v>
      </c>
      <c r="B1433" t="s">
        <v>3167</v>
      </c>
      <c r="C1433" t="s">
        <v>57</v>
      </c>
      <c r="D1433" t="s">
        <v>79</v>
      </c>
      <c r="E1433" t="s">
        <v>102</v>
      </c>
      <c r="F1433">
        <v>67</v>
      </c>
      <c r="G1433" t="s">
        <v>24</v>
      </c>
      <c r="H1433" t="s">
        <v>3168</v>
      </c>
      <c r="I1433">
        <f>971-50-12-3456</f>
        <v>-2547</v>
      </c>
      <c r="J1433" s="1">
        <v>45557</v>
      </c>
      <c r="K1433" s="1">
        <v>45303</v>
      </c>
      <c r="L1433">
        <v>54100.4</v>
      </c>
      <c r="M1433">
        <v>20800.900000000001</v>
      </c>
      <c r="N1433">
        <v>740</v>
      </c>
      <c r="O1433">
        <v>102000</v>
      </c>
      <c r="P1433" t="s">
        <v>36</v>
      </c>
      <c r="Q1433" t="s">
        <v>27</v>
      </c>
      <c r="R1433">
        <v>0</v>
      </c>
      <c r="S1433" t="s">
        <v>28</v>
      </c>
    </row>
    <row r="1434" spans="1:19">
      <c r="A1434" t="s">
        <v>571</v>
      </c>
      <c r="B1434" t="s">
        <v>3169</v>
      </c>
      <c r="C1434" t="s">
        <v>21</v>
      </c>
      <c r="D1434" t="s">
        <v>63</v>
      </c>
      <c r="E1434" t="s">
        <v>106</v>
      </c>
      <c r="F1434">
        <v>90</v>
      </c>
      <c r="G1434" t="s">
        <v>34</v>
      </c>
      <c r="H1434" t="s">
        <v>3170</v>
      </c>
      <c r="I1434">
        <f>55-21-99912-3456</f>
        <v>-103334</v>
      </c>
      <c r="J1434" s="1">
        <v>43730</v>
      </c>
      <c r="K1434" s="1">
        <v>45299</v>
      </c>
      <c r="L1434">
        <v>271200.90000000002</v>
      </c>
      <c r="M1434">
        <v>106000.6</v>
      </c>
      <c r="N1434">
        <v>830</v>
      </c>
      <c r="O1434">
        <v>314000</v>
      </c>
      <c r="P1434" t="s">
        <v>36</v>
      </c>
      <c r="Q1434" t="s">
        <v>27</v>
      </c>
      <c r="R1434">
        <v>0</v>
      </c>
      <c r="S1434" t="s">
        <v>28</v>
      </c>
    </row>
    <row r="1435" spans="1:19">
      <c r="A1435" t="s">
        <v>574</v>
      </c>
      <c r="B1435" t="s">
        <v>3171</v>
      </c>
      <c r="C1435" t="s">
        <v>39</v>
      </c>
      <c r="D1435" t="s">
        <v>68</v>
      </c>
      <c r="E1435" t="s">
        <v>114</v>
      </c>
      <c r="F1435">
        <v>82</v>
      </c>
      <c r="G1435" t="s">
        <v>24</v>
      </c>
      <c r="H1435" t="s">
        <v>3172</v>
      </c>
      <c r="I1435">
        <f>234-849-12-3456</f>
        <v>-4083</v>
      </c>
      <c r="J1435" s="1">
        <v>44328</v>
      </c>
      <c r="K1435" s="1">
        <v>45300</v>
      </c>
      <c r="L1435">
        <v>160100.25</v>
      </c>
      <c r="M1435">
        <v>108000.4</v>
      </c>
      <c r="N1435">
        <v>655</v>
      </c>
      <c r="O1435">
        <v>204000</v>
      </c>
      <c r="P1435" t="s">
        <v>76</v>
      </c>
      <c r="Q1435" t="s">
        <v>27</v>
      </c>
      <c r="R1435">
        <v>0</v>
      </c>
      <c r="S1435" t="s">
        <v>28</v>
      </c>
    </row>
    <row r="1436" spans="1:19">
      <c r="A1436" t="s">
        <v>577</v>
      </c>
      <c r="B1436" t="s">
        <v>3173</v>
      </c>
      <c r="C1436" t="s">
        <v>46</v>
      </c>
      <c r="D1436" t="s">
        <v>85</v>
      </c>
      <c r="E1436" t="s">
        <v>130</v>
      </c>
      <c r="F1436">
        <v>71</v>
      </c>
      <c r="G1436" t="s">
        <v>34</v>
      </c>
      <c r="H1436" t="s">
        <v>3174</v>
      </c>
      <c r="I1436">
        <f>1-604-555-198</f>
        <v>-1356</v>
      </c>
      <c r="J1436" s="1">
        <v>45221</v>
      </c>
      <c r="K1436" s="1">
        <v>45302</v>
      </c>
      <c r="L1436">
        <v>118600.6</v>
      </c>
      <c r="M1436">
        <v>69900.75</v>
      </c>
      <c r="N1436">
        <v>760</v>
      </c>
      <c r="O1436">
        <v>173000</v>
      </c>
      <c r="P1436" t="s">
        <v>26</v>
      </c>
      <c r="Q1436" t="s">
        <v>27</v>
      </c>
      <c r="R1436">
        <v>0</v>
      </c>
      <c r="S1436" t="s">
        <v>28</v>
      </c>
    </row>
    <row r="1437" spans="1:19">
      <c r="A1437" t="s">
        <v>458</v>
      </c>
      <c r="B1437" t="s">
        <v>3175</v>
      </c>
      <c r="C1437" t="s">
        <v>31</v>
      </c>
      <c r="D1437" t="s">
        <v>460</v>
      </c>
      <c r="E1437" t="s">
        <v>663</v>
      </c>
      <c r="F1437">
        <v>62</v>
      </c>
      <c r="G1437" t="s">
        <v>24</v>
      </c>
      <c r="H1437" t="s">
        <v>3176</v>
      </c>
      <c r="I1437">
        <f>62-846-7890-1234</f>
        <v>-9908</v>
      </c>
      <c r="J1437" s="1">
        <v>45665</v>
      </c>
      <c r="K1437" s="1">
        <v>45306</v>
      </c>
      <c r="L1437">
        <v>25400.25</v>
      </c>
      <c r="M1437">
        <v>15100.8</v>
      </c>
      <c r="N1437">
        <v>695</v>
      </c>
      <c r="O1437">
        <v>73000</v>
      </c>
      <c r="P1437" t="s">
        <v>26</v>
      </c>
      <c r="Q1437" t="s">
        <v>43</v>
      </c>
      <c r="R1437">
        <v>0</v>
      </c>
      <c r="S1437" t="s">
        <v>28</v>
      </c>
    </row>
    <row r="1438" spans="1:19">
      <c r="A1438" t="s">
        <v>582</v>
      </c>
      <c r="B1438" t="s">
        <v>3177</v>
      </c>
      <c r="C1438" t="s">
        <v>57</v>
      </c>
      <c r="D1438" t="s">
        <v>22</v>
      </c>
      <c r="E1438" t="s">
        <v>23</v>
      </c>
      <c r="F1438">
        <v>65</v>
      </c>
      <c r="G1438" t="s">
        <v>34</v>
      </c>
      <c r="H1438" t="s">
        <v>3178</v>
      </c>
      <c r="I1438">
        <f>1-646-555-198</f>
        <v>-1398</v>
      </c>
      <c r="J1438" s="1">
        <v>45495</v>
      </c>
      <c r="K1438" s="1">
        <v>45303</v>
      </c>
      <c r="L1438">
        <v>53000.9</v>
      </c>
      <c r="M1438">
        <v>20400.25</v>
      </c>
      <c r="N1438">
        <v>755</v>
      </c>
      <c r="O1438">
        <v>95000</v>
      </c>
      <c r="P1438" t="s">
        <v>36</v>
      </c>
      <c r="Q1438" t="s">
        <v>27</v>
      </c>
      <c r="R1438">
        <v>0</v>
      </c>
      <c r="S1438" t="s">
        <v>28</v>
      </c>
    </row>
    <row r="1439" spans="1:19">
      <c r="A1439" t="s">
        <v>55</v>
      </c>
      <c r="B1439" t="s">
        <v>3179</v>
      </c>
      <c r="C1439" t="s">
        <v>39</v>
      </c>
      <c r="D1439" t="s">
        <v>58</v>
      </c>
      <c r="E1439" t="s">
        <v>122</v>
      </c>
      <c r="F1439">
        <v>83</v>
      </c>
      <c r="G1439" t="s">
        <v>24</v>
      </c>
      <c r="H1439" t="s">
        <v>3180</v>
      </c>
      <c r="I1439">
        <f>86-138-1234-5678</f>
        <v>-6964</v>
      </c>
      <c r="J1439" s="1">
        <v>44249</v>
      </c>
      <c r="K1439" s="1">
        <v>45300</v>
      </c>
      <c r="L1439">
        <v>193000.4</v>
      </c>
      <c r="M1439">
        <v>121000.75</v>
      </c>
      <c r="N1439">
        <v>685</v>
      </c>
      <c r="O1439">
        <v>229000</v>
      </c>
      <c r="P1439" t="s">
        <v>76</v>
      </c>
      <c r="Q1439" t="s">
        <v>27</v>
      </c>
      <c r="R1439">
        <v>0</v>
      </c>
      <c r="S1439" t="s">
        <v>28</v>
      </c>
    </row>
    <row r="1440" spans="1:19">
      <c r="A1440" t="s">
        <v>469</v>
      </c>
      <c r="B1440" t="s">
        <v>3181</v>
      </c>
      <c r="C1440" t="s">
        <v>52</v>
      </c>
      <c r="D1440" t="s">
        <v>471</v>
      </c>
      <c r="E1440" t="s">
        <v>472</v>
      </c>
      <c r="F1440">
        <v>74</v>
      </c>
      <c r="G1440" t="s">
        <v>34</v>
      </c>
      <c r="H1440" t="s">
        <v>3182</v>
      </c>
      <c r="I1440">
        <f>48-734-678-901</f>
        <v>-2265</v>
      </c>
      <c r="J1440" s="1">
        <v>44887</v>
      </c>
      <c r="K1440" s="1">
        <v>45301</v>
      </c>
      <c r="L1440">
        <v>83000.800000000003</v>
      </c>
      <c r="M1440">
        <v>56100.6</v>
      </c>
      <c r="N1440">
        <v>715</v>
      </c>
      <c r="O1440">
        <v>128000</v>
      </c>
      <c r="P1440" t="s">
        <v>26</v>
      </c>
      <c r="Q1440" t="s">
        <v>27</v>
      </c>
      <c r="R1440">
        <v>0</v>
      </c>
      <c r="S1440" t="s">
        <v>28</v>
      </c>
    </row>
    <row r="1441" spans="1:19">
      <c r="A1441" t="s">
        <v>474</v>
      </c>
      <c r="B1441" t="s">
        <v>3183</v>
      </c>
      <c r="C1441" t="s">
        <v>46</v>
      </c>
      <c r="D1441" t="s">
        <v>345</v>
      </c>
      <c r="E1441" t="s">
        <v>476</v>
      </c>
      <c r="F1441">
        <v>77</v>
      </c>
      <c r="G1441" t="s">
        <v>24</v>
      </c>
      <c r="H1441" t="s">
        <v>3184</v>
      </c>
      <c r="I1441">
        <f>880-1812-890123</f>
        <v>-891055</v>
      </c>
      <c r="J1441" s="1">
        <v>44795</v>
      </c>
      <c r="K1441" s="1">
        <v>45302</v>
      </c>
      <c r="L1441">
        <v>110800.25</v>
      </c>
      <c r="M1441">
        <v>66100.399999999994</v>
      </c>
      <c r="N1441">
        <v>680</v>
      </c>
      <c r="O1441">
        <v>157000</v>
      </c>
      <c r="P1441" t="s">
        <v>26</v>
      </c>
      <c r="Q1441" t="s">
        <v>27</v>
      </c>
      <c r="R1441">
        <v>0</v>
      </c>
      <c r="S1441" t="s">
        <v>28</v>
      </c>
    </row>
    <row r="1442" spans="1:19">
      <c r="A1442" t="s">
        <v>592</v>
      </c>
      <c r="B1442" t="s">
        <v>3185</v>
      </c>
      <c r="C1442" t="s">
        <v>84</v>
      </c>
      <c r="D1442" t="s">
        <v>32</v>
      </c>
      <c r="E1442" t="s">
        <v>90</v>
      </c>
      <c r="F1442">
        <v>57</v>
      </c>
      <c r="G1442" t="s">
        <v>34</v>
      </c>
      <c r="H1442" t="s">
        <v>3186</v>
      </c>
      <c r="I1442">
        <f>81-90-2345-6789</f>
        <v>-9143</v>
      </c>
      <c r="J1442" s="1">
        <v>45679</v>
      </c>
      <c r="K1442" s="1">
        <v>45304</v>
      </c>
      <c r="L1442">
        <v>5350.4</v>
      </c>
      <c r="M1442">
        <v>16000.75</v>
      </c>
      <c r="N1442">
        <v>610</v>
      </c>
      <c r="O1442">
        <v>53000</v>
      </c>
      <c r="P1442" t="s">
        <v>76</v>
      </c>
      <c r="Q1442" t="s">
        <v>43</v>
      </c>
      <c r="R1442">
        <v>0</v>
      </c>
      <c r="S1442" t="s">
        <v>28</v>
      </c>
    </row>
    <row r="1443" spans="1:19">
      <c r="A1443" t="s">
        <v>595</v>
      </c>
      <c r="B1443" t="s">
        <v>3187</v>
      </c>
      <c r="C1443" t="s">
        <v>21</v>
      </c>
      <c r="D1443" t="s">
        <v>209</v>
      </c>
      <c r="E1443" t="s">
        <v>210</v>
      </c>
      <c r="F1443">
        <v>89</v>
      </c>
      <c r="G1443" t="s">
        <v>24</v>
      </c>
      <c r="H1443" t="s">
        <v>3188</v>
      </c>
      <c r="I1443">
        <f>52-55-8901-123</f>
        <v>-9027</v>
      </c>
      <c r="J1443" s="1">
        <v>43943</v>
      </c>
      <c r="K1443" s="1">
        <v>45299</v>
      </c>
      <c r="L1443">
        <v>291000.8</v>
      </c>
      <c r="M1443">
        <v>112000.25</v>
      </c>
      <c r="N1443">
        <v>825</v>
      </c>
      <c r="O1443">
        <v>309000</v>
      </c>
      <c r="P1443" t="s">
        <v>36</v>
      </c>
      <c r="Q1443" t="s">
        <v>27</v>
      </c>
      <c r="R1443">
        <v>0</v>
      </c>
      <c r="S1443" t="s">
        <v>28</v>
      </c>
    </row>
    <row r="1444" spans="1:19">
      <c r="A1444" t="s">
        <v>226</v>
      </c>
      <c r="B1444" t="s">
        <v>3189</v>
      </c>
      <c r="C1444" t="s">
        <v>57</v>
      </c>
      <c r="D1444" t="s">
        <v>228</v>
      </c>
      <c r="E1444" t="s">
        <v>678</v>
      </c>
      <c r="F1444">
        <v>64</v>
      </c>
      <c r="G1444" t="s">
        <v>34</v>
      </c>
      <c r="H1444" t="s">
        <v>3190</v>
      </c>
      <c r="I1444">
        <f>254-758-901-234</f>
        <v>-1639</v>
      </c>
      <c r="J1444" s="1">
        <v>45679</v>
      </c>
      <c r="K1444" s="1">
        <v>45305</v>
      </c>
      <c r="L1444">
        <v>49700.75</v>
      </c>
      <c r="M1444">
        <v>18800.400000000001</v>
      </c>
      <c r="N1444">
        <v>725</v>
      </c>
      <c r="O1444">
        <v>85000</v>
      </c>
      <c r="P1444" t="s">
        <v>36</v>
      </c>
      <c r="Q1444" t="s">
        <v>27</v>
      </c>
      <c r="R1444">
        <v>0</v>
      </c>
      <c r="S1444" t="s">
        <v>28</v>
      </c>
    </row>
    <row r="1445" spans="1:19">
      <c r="A1445" t="s">
        <v>488</v>
      </c>
      <c r="B1445" t="s">
        <v>3191</v>
      </c>
      <c r="C1445" t="s">
        <v>39</v>
      </c>
      <c r="D1445" t="s">
        <v>304</v>
      </c>
      <c r="E1445" t="s">
        <v>304</v>
      </c>
      <c r="F1445">
        <v>81</v>
      </c>
      <c r="G1445" t="s">
        <v>24</v>
      </c>
      <c r="H1445" t="s">
        <v>3192</v>
      </c>
      <c r="I1445">
        <f>65-1790-1234</f>
        <v>-2959</v>
      </c>
      <c r="J1445" s="1">
        <v>44420</v>
      </c>
      <c r="K1445" s="1">
        <v>45300</v>
      </c>
      <c r="L1445">
        <v>171200.6</v>
      </c>
      <c r="M1445">
        <v>112000.9</v>
      </c>
      <c r="N1445">
        <v>675</v>
      </c>
      <c r="O1445">
        <v>209000</v>
      </c>
      <c r="P1445" t="s">
        <v>76</v>
      </c>
      <c r="Q1445" t="s">
        <v>27</v>
      </c>
      <c r="R1445">
        <v>0</v>
      </c>
      <c r="S1445" t="s">
        <v>28</v>
      </c>
    </row>
    <row r="1446" spans="1:19">
      <c r="A1446" t="s">
        <v>491</v>
      </c>
      <c r="B1446" t="s">
        <v>3193</v>
      </c>
      <c r="C1446" t="s">
        <v>52</v>
      </c>
      <c r="D1446" t="s">
        <v>493</v>
      </c>
      <c r="E1446" t="s">
        <v>494</v>
      </c>
      <c r="F1446">
        <v>72</v>
      </c>
      <c r="G1446" t="s">
        <v>34</v>
      </c>
      <c r="H1446" t="s">
        <v>3194</v>
      </c>
      <c r="I1446">
        <f>30-726-789-123</f>
        <v>-1608</v>
      </c>
      <c r="J1446" s="1">
        <v>45191</v>
      </c>
      <c r="K1446" s="1">
        <v>45302</v>
      </c>
      <c r="L1446">
        <v>77200.399999999994</v>
      </c>
      <c r="M1446">
        <v>51900.25</v>
      </c>
      <c r="N1446">
        <v>705</v>
      </c>
      <c r="O1446">
        <v>117000</v>
      </c>
      <c r="P1446" t="s">
        <v>26</v>
      </c>
      <c r="Q1446" t="s">
        <v>27</v>
      </c>
      <c r="R1446">
        <v>0</v>
      </c>
      <c r="S1446" t="s">
        <v>28</v>
      </c>
    </row>
    <row r="1447" spans="1:19">
      <c r="A1447" t="s">
        <v>496</v>
      </c>
      <c r="B1447" t="s">
        <v>3195</v>
      </c>
      <c r="C1447" t="s">
        <v>46</v>
      </c>
      <c r="D1447" t="s">
        <v>321</v>
      </c>
      <c r="E1447" t="s">
        <v>322</v>
      </c>
      <c r="F1447">
        <v>75</v>
      </c>
      <c r="G1447" t="s">
        <v>24</v>
      </c>
      <c r="H1447" t="s">
        <v>3196</v>
      </c>
      <c r="I1447">
        <f>61-458-901-234</f>
        <v>-1532</v>
      </c>
      <c r="J1447" s="1">
        <v>44673</v>
      </c>
      <c r="K1447" s="1">
        <v>45301</v>
      </c>
      <c r="L1447">
        <v>122100.75</v>
      </c>
      <c r="M1447">
        <v>73000.800000000003</v>
      </c>
      <c r="N1447">
        <v>730</v>
      </c>
      <c r="O1447">
        <v>183000</v>
      </c>
      <c r="P1447" t="s">
        <v>26</v>
      </c>
      <c r="Q1447" t="s">
        <v>27</v>
      </c>
      <c r="R1447">
        <v>0</v>
      </c>
      <c r="S1447" t="s">
        <v>28</v>
      </c>
    </row>
    <row r="1448" spans="1:19">
      <c r="A1448" t="s">
        <v>324</v>
      </c>
      <c r="B1448" t="s">
        <v>3197</v>
      </c>
      <c r="C1448" t="s">
        <v>31</v>
      </c>
      <c r="D1448" t="s">
        <v>313</v>
      </c>
      <c r="E1448" t="s">
        <v>314</v>
      </c>
      <c r="F1448">
        <v>60</v>
      </c>
      <c r="G1448" t="s">
        <v>34</v>
      </c>
      <c r="H1448" t="s">
        <v>3198</v>
      </c>
      <c r="I1448">
        <f>92-356-3210987</f>
        <v>-3211251</v>
      </c>
      <c r="J1448" s="1">
        <v>45672</v>
      </c>
      <c r="K1448" s="1">
        <v>45306</v>
      </c>
      <c r="L1448">
        <v>21400.9</v>
      </c>
      <c r="M1448">
        <v>12100.75</v>
      </c>
      <c r="N1448">
        <v>685</v>
      </c>
      <c r="O1448">
        <v>70000</v>
      </c>
      <c r="P1448" t="s">
        <v>26</v>
      </c>
      <c r="Q1448" t="s">
        <v>43</v>
      </c>
      <c r="R1448">
        <v>0</v>
      </c>
      <c r="S1448" t="s">
        <v>28</v>
      </c>
    </row>
    <row r="1449" spans="1:19">
      <c r="A1449" t="s">
        <v>503</v>
      </c>
      <c r="B1449" t="s">
        <v>3199</v>
      </c>
      <c r="C1449" t="s">
        <v>21</v>
      </c>
      <c r="D1449" t="s">
        <v>32</v>
      </c>
      <c r="E1449" t="s">
        <v>33</v>
      </c>
      <c r="F1449">
        <v>92</v>
      </c>
      <c r="G1449" t="s">
        <v>24</v>
      </c>
      <c r="H1449" t="s">
        <v>3200</v>
      </c>
      <c r="I1449">
        <f>81-80-6789-123</f>
        <v>-6911</v>
      </c>
      <c r="J1449" s="1">
        <v>43668</v>
      </c>
      <c r="K1449" s="1">
        <v>45299</v>
      </c>
      <c r="L1449">
        <v>301900.25</v>
      </c>
      <c r="M1449">
        <v>116000.4</v>
      </c>
      <c r="N1449">
        <v>840</v>
      </c>
      <c r="O1449">
        <v>324000</v>
      </c>
      <c r="P1449" t="s">
        <v>36</v>
      </c>
      <c r="Q1449" t="s">
        <v>27</v>
      </c>
      <c r="R1449">
        <v>0</v>
      </c>
      <c r="S1449" t="s">
        <v>28</v>
      </c>
    </row>
    <row r="1450" spans="1:19">
      <c r="A1450" t="s">
        <v>506</v>
      </c>
      <c r="B1450" t="s">
        <v>3201</v>
      </c>
      <c r="C1450" t="s">
        <v>39</v>
      </c>
      <c r="D1450" t="s">
        <v>68</v>
      </c>
      <c r="E1450" t="s">
        <v>69</v>
      </c>
      <c r="F1450">
        <v>84</v>
      </c>
      <c r="G1450" t="s">
        <v>34</v>
      </c>
      <c r="H1450" t="s">
        <v>3202</v>
      </c>
      <c r="I1450">
        <f>234-848-901-2345</f>
        <v>-3860</v>
      </c>
      <c r="J1450" s="1">
        <v>44187</v>
      </c>
      <c r="K1450" s="1">
        <v>45300</v>
      </c>
      <c r="L1450">
        <v>182300.4</v>
      </c>
      <c r="M1450">
        <v>116000.75</v>
      </c>
      <c r="N1450">
        <v>650</v>
      </c>
      <c r="O1450">
        <v>219000</v>
      </c>
      <c r="P1450" t="s">
        <v>76</v>
      </c>
      <c r="Q1450" t="s">
        <v>27</v>
      </c>
      <c r="R1450">
        <v>0</v>
      </c>
      <c r="S1450" t="s">
        <v>28</v>
      </c>
    </row>
    <row r="1451" spans="1:19">
      <c r="A1451" t="s">
        <v>509</v>
      </c>
      <c r="B1451" t="s">
        <v>3203</v>
      </c>
      <c r="C1451" t="s">
        <v>46</v>
      </c>
      <c r="D1451" t="s">
        <v>73</v>
      </c>
      <c r="E1451" t="s">
        <v>126</v>
      </c>
      <c r="F1451">
        <v>71</v>
      </c>
      <c r="G1451" t="s">
        <v>24</v>
      </c>
      <c r="H1451" t="s">
        <v>3204</v>
      </c>
      <c r="I1451">
        <f>49-210-1234567</f>
        <v>-1234728</v>
      </c>
      <c r="J1451" s="1">
        <v>45404</v>
      </c>
      <c r="K1451" s="1">
        <v>45303</v>
      </c>
      <c r="L1451">
        <v>110900.4</v>
      </c>
      <c r="M1451">
        <v>67200.25</v>
      </c>
      <c r="N1451">
        <v>745</v>
      </c>
      <c r="O1451">
        <v>163000</v>
      </c>
      <c r="P1451" t="s">
        <v>26</v>
      </c>
      <c r="Q1451" t="s">
        <v>27</v>
      </c>
      <c r="R1451">
        <v>0</v>
      </c>
      <c r="S1451" t="s">
        <v>28</v>
      </c>
    </row>
    <row r="1452" spans="1:19">
      <c r="A1452" t="s">
        <v>513</v>
      </c>
      <c r="B1452" t="s">
        <v>3205</v>
      </c>
      <c r="C1452" t="s">
        <v>57</v>
      </c>
      <c r="D1452" t="s">
        <v>58</v>
      </c>
      <c r="E1452" t="s">
        <v>122</v>
      </c>
      <c r="F1452">
        <v>66</v>
      </c>
      <c r="G1452" t="s">
        <v>34</v>
      </c>
      <c r="H1452" t="s">
        <v>3206</v>
      </c>
      <c r="I1452">
        <f>86-137-1234-5678</f>
        <v>-6963</v>
      </c>
      <c r="J1452" s="1">
        <v>45587</v>
      </c>
      <c r="K1452" s="1">
        <v>45302</v>
      </c>
      <c r="L1452">
        <v>51900.800000000003</v>
      </c>
      <c r="M1452">
        <v>20000.900000000001</v>
      </c>
      <c r="N1452">
        <v>765</v>
      </c>
      <c r="O1452">
        <v>95000</v>
      </c>
      <c r="P1452" t="s">
        <v>36</v>
      </c>
      <c r="Q1452" t="s">
        <v>27</v>
      </c>
      <c r="R1452">
        <v>0</v>
      </c>
      <c r="S1452" t="s">
        <v>28</v>
      </c>
    </row>
    <row r="1453" spans="1:19">
      <c r="A1453" t="s">
        <v>516</v>
      </c>
      <c r="B1453" t="s">
        <v>3207</v>
      </c>
      <c r="C1453" t="s">
        <v>52</v>
      </c>
      <c r="D1453" t="s">
        <v>277</v>
      </c>
      <c r="E1453" t="s">
        <v>278</v>
      </c>
      <c r="F1453">
        <v>79</v>
      </c>
      <c r="G1453" t="s">
        <v>24</v>
      </c>
      <c r="H1453" t="s">
        <v>3208</v>
      </c>
      <c r="I1453">
        <f>20-122-432-1098</f>
        <v>-1632</v>
      </c>
      <c r="J1453" s="1">
        <v>44856</v>
      </c>
      <c r="K1453" s="1">
        <v>45301</v>
      </c>
      <c r="L1453">
        <v>85200.75</v>
      </c>
      <c r="M1453">
        <v>58300.4</v>
      </c>
      <c r="N1453">
        <v>675</v>
      </c>
      <c r="O1453">
        <v>135000</v>
      </c>
      <c r="P1453" t="s">
        <v>26</v>
      </c>
      <c r="Q1453" t="s">
        <v>27</v>
      </c>
      <c r="R1453">
        <v>0</v>
      </c>
      <c r="S1453" t="s">
        <v>28</v>
      </c>
    </row>
    <row r="1454" spans="1:19">
      <c r="A1454" t="s">
        <v>519</v>
      </c>
      <c r="B1454" t="s">
        <v>3209</v>
      </c>
      <c r="C1454" t="s">
        <v>84</v>
      </c>
      <c r="D1454" t="s">
        <v>183</v>
      </c>
      <c r="E1454" t="s">
        <v>273</v>
      </c>
      <c r="F1454">
        <v>58</v>
      </c>
      <c r="G1454" t="s">
        <v>34</v>
      </c>
      <c r="H1454" t="s">
        <v>3210</v>
      </c>
      <c r="I1454">
        <f>33-6-8901-2345</f>
        <v>-11219</v>
      </c>
      <c r="J1454" s="1">
        <v>45685</v>
      </c>
      <c r="K1454" s="1">
        <v>45304</v>
      </c>
      <c r="L1454">
        <v>5600.25</v>
      </c>
      <c r="M1454">
        <v>17200.599999999999</v>
      </c>
      <c r="N1454">
        <v>615</v>
      </c>
      <c r="O1454">
        <v>55000</v>
      </c>
      <c r="P1454" t="s">
        <v>76</v>
      </c>
      <c r="Q1454" t="s">
        <v>43</v>
      </c>
      <c r="R1454">
        <v>0</v>
      </c>
      <c r="S1454" t="s">
        <v>28</v>
      </c>
    </row>
    <row r="1455" spans="1:19">
      <c r="A1455" t="s">
        <v>522</v>
      </c>
      <c r="B1455" t="s">
        <v>3211</v>
      </c>
      <c r="C1455" t="s">
        <v>39</v>
      </c>
      <c r="D1455" t="s">
        <v>40</v>
      </c>
      <c r="E1455" t="s">
        <v>94</v>
      </c>
      <c r="F1455">
        <v>86</v>
      </c>
      <c r="G1455" t="s">
        <v>24</v>
      </c>
      <c r="H1455" t="s">
        <v>3212</v>
      </c>
      <c r="I1455">
        <f>91-987-654-3210</f>
        <v>-4760</v>
      </c>
      <c r="J1455" s="1">
        <v>44157</v>
      </c>
      <c r="K1455" s="1">
        <v>45299</v>
      </c>
      <c r="L1455">
        <v>216900.8</v>
      </c>
      <c r="M1455">
        <v>129000.25</v>
      </c>
      <c r="N1455">
        <v>660</v>
      </c>
      <c r="O1455">
        <v>254000</v>
      </c>
      <c r="P1455" t="s">
        <v>76</v>
      </c>
      <c r="Q1455" t="s">
        <v>27</v>
      </c>
      <c r="R1455">
        <v>0</v>
      </c>
      <c r="S1455" t="s">
        <v>28</v>
      </c>
    </row>
    <row r="1456" spans="1:19">
      <c r="A1456" t="s">
        <v>306</v>
      </c>
      <c r="B1456" t="s">
        <v>3213</v>
      </c>
      <c r="C1456" t="s">
        <v>46</v>
      </c>
      <c r="D1456" t="s">
        <v>209</v>
      </c>
      <c r="E1456" t="s">
        <v>210</v>
      </c>
      <c r="F1456">
        <v>73</v>
      </c>
      <c r="G1456" t="s">
        <v>34</v>
      </c>
      <c r="H1456" t="s">
        <v>3214</v>
      </c>
      <c r="I1456">
        <f>52-55-9012-123</f>
        <v>-9138</v>
      </c>
      <c r="J1456" s="1">
        <v>45007</v>
      </c>
      <c r="K1456" s="1">
        <v>45302</v>
      </c>
      <c r="L1456">
        <v>106300.9</v>
      </c>
      <c r="M1456">
        <v>64100.75</v>
      </c>
      <c r="N1456">
        <v>730</v>
      </c>
      <c r="O1456">
        <v>158000</v>
      </c>
      <c r="P1456" t="s">
        <v>26</v>
      </c>
      <c r="Q1456" t="s">
        <v>27</v>
      </c>
      <c r="R1456">
        <v>0</v>
      </c>
      <c r="S1456" t="s">
        <v>28</v>
      </c>
    </row>
    <row r="1457" spans="1:19">
      <c r="A1457" t="s">
        <v>527</v>
      </c>
      <c r="B1457" t="s">
        <v>3215</v>
      </c>
      <c r="C1457" t="s">
        <v>31</v>
      </c>
      <c r="D1457" t="s">
        <v>32</v>
      </c>
      <c r="E1457" t="s">
        <v>90</v>
      </c>
      <c r="F1457">
        <v>62</v>
      </c>
      <c r="G1457" t="s">
        <v>34</v>
      </c>
      <c r="H1457" t="s">
        <v>3216</v>
      </c>
      <c r="I1457">
        <f>81-90-2345-6789</f>
        <v>-9143</v>
      </c>
      <c r="J1457" s="1">
        <v>45679</v>
      </c>
      <c r="K1457" s="1">
        <v>45305</v>
      </c>
      <c r="L1457">
        <v>22500.400000000001</v>
      </c>
      <c r="M1457">
        <v>12200.25</v>
      </c>
      <c r="N1457">
        <v>705</v>
      </c>
      <c r="O1457">
        <v>72000</v>
      </c>
      <c r="P1457" t="s">
        <v>26</v>
      </c>
      <c r="Q1457" t="s">
        <v>43</v>
      </c>
      <c r="R1457">
        <v>0</v>
      </c>
      <c r="S1457" t="s">
        <v>28</v>
      </c>
    </row>
    <row r="1458" spans="1:19">
      <c r="A1458" t="s">
        <v>530</v>
      </c>
      <c r="B1458" t="s">
        <v>3217</v>
      </c>
      <c r="C1458" t="s">
        <v>57</v>
      </c>
      <c r="D1458" t="s">
        <v>219</v>
      </c>
      <c r="E1458" t="s">
        <v>220</v>
      </c>
      <c r="F1458">
        <v>67</v>
      </c>
      <c r="G1458" t="s">
        <v>24</v>
      </c>
      <c r="H1458" t="s">
        <v>3218</v>
      </c>
      <c r="I1458">
        <f>233-89-12-3456</f>
        <v>-3324</v>
      </c>
      <c r="J1458" s="1">
        <v>45557</v>
      </c>
      <c r="K1458" s="1">
        <v>45303</v>
      </c>
      <c r="L1458">
        <v>50800.6</v>
      </c>
      <c r="M1458">
        <v>19400.8</v>
      </c>
      <c r="N1458">
        <v>710</v>
      </c>
      <c r="O1458">
        <v>88000</v>
      </c>
      <c r="P1458" t="s">
        <v>36</v>
      </c>
      <c r="Q1458" t="s">
        <v>27</v>
      </c>
      <c r="R1458">
        <v>0</v>
      </c>
      <c r="S1458" t="s">
        <v>28</v>
      </c>
    </row>
    <row r="1459" spans="1:19">
      <c r="A1459" t="s">
        <v>533</v>
      </c>
      <c r="B1459" t="s">
        <v>3219</v>
      </c>
      <c r="C1459" t="s">
        <v>52</v>
      </c>
      <c r="D1459" t="s">
        <v>204</v>
      </c>
      <c r="E1459" t="s">
        <v>205</v>
      </c>
      <c r="F1459">
        <v>74</v>
      </c>
      <c r="G1459" t="s">
        <v>34</v>
      </c>
      <c r="H1459" t="s">
        <v>3220</v>
      </c>
      <c r="I1459">
        <f>7-921-210-98-76</f>
        <v>-1298</v>
      </c>
      <c r="J1459" s="1">
        <v>44856</v>
      </c>
      <c r="K1459" s="1">
        <v>45301</v>
      </c>
      <c r="L1459">
        <v>82100.25</v>
      </c>
      <c r="M1459">
        <v>55200.9</v>
      </c>
      <c r="N1459">
        <v>695</v>
      </c>
      <c r="O1459">
        <v>123000</v>
      </c>
      <c r="P1459" t="s">
        <v>26</v>
      </c>
      <c r="Q1459" t="s">
        <v>27</v>
      </c>
      <c r="R1459">
        <v>0</v>
      </c>
      <c r="S1459" t="s">
        <v>28</v>
      </c>
    </row>
    <row r="1460" spans="1:19">
      <c r="A1460" t="s">
        <v>536</v>
      </c>
      <c r="B1460" t="s">
        <v>3221</v>
      </c>
      <c r="C1460" t="s">
        <v>39</v>
      </c>
      <c r="D1460" t="s">
        <v>195</v>
      </c>
      <c r="E1460" t="s">
        <v>196</v>
      </c>
      <c r="F1460">
        <v>82</v>
      </c>
      <c r="G1460" t="s">
        <v>24</v>
      </c>
      <c r="H1460" t="s">
        <v>3222</v>
      </c>
      <c r="I1460">
        <f>353-21-901-2345</f>
        <v>-2914</v>
      </c>
      <c r="J1460" s="1">
        <v>44308</v>
      </c>
      <c r="K1460" s="1">
        <v>45300</v>
      </c>
      <c r="L1460">
        <v>149100.4</v>
      </c>
      <c r="M1460">
        <v>103000.6</v>
      </c>
      <c r="N1460">
        <v>670</v>
      </c>
      <c r="O1460">
        <v>190000</v>
      </c>
      <c r="P1460" t="s">
        <v>76</v>
      </c>
      <c r="Q1460" t="s">
        <v>27</v>
      </c>
      <c r="R1460">
        <v>0</v>
      </c>
      <c r="S1460" t="s">
        <v>28</v>
      </c>
    </row>
    <row r="1461" spans="1:19">
      <c r="A1461" t="s">
        <v>539</v>
      </c>
      <c r="B1461" t="s">
        <v>3223</v>
      </c>
      <c r="C1461" t="s">
        <v>21</v>
      </c>
      <c r="D1461" t="s">
        <v>58</v>
      </c>
      <c r="E1461" t="s">
        <v>59</v>
      </c>
      <c r="F1461">
        <v>90</v>
      </c>
      <c r="G1461" t="s">
        <v>34</v>
      </c>
      <c r="H1461" t="s">
        <v>3224</v>
      </c>
      <c r="I1461">
        <f>86-139-8901-2345</f>
        <v>-11299</v>
      </c>
      <c r="J1461" s="1">
        <v>43883</v>
      </c>
      <c r="K1461" s="1">
        <v>45299</v>
      </c>
      <c r="L1461">
        <v>316000.75</v>
      </c>
      <c r="M1461">
        <v>120000.8</v>
      </c>
      <c r="N1461">
        <v>835</v>
      </c>
      <c r="O1461">
        <v>335000</v>
      </c>
      <c r="P1461" t="s">
        <v>36</v>
      </c>
      <c r="Q1461" t="s">
        <v>27</v>
      </c>
      <c r="R1461">
        <v>0</v>
      </c>
      <c r="S1461" t="s">
        <v>28</v>
      </c>
    </row>
    <row r="1462" spans="1:19">
      <c r="A1462" t="s">
        <v>542</v>
      </c>
      <c r="B1462" t="s">
        <v>3225</v>
      </c>
      <c r="C1462" t="s">
        <v>52</v>
      </c>
      <c r="D1462" t="s">
        <v>68</v>
      </c>
      <c r="E1462" t="s">
        <v>114</v>
      </c>
      <c r="F1462">
        <v>77</v>
      </c>
      <c r="G1462" t="s">
        <v>34</v>
      </c>
      <c r="H1462" t="s">
        <v>3226</v>
      </c>
      <c r="I1462">
        <f>234-849-12-3456</f>
        <v>-4083</v>
      </c>
      <c r="J1462" s="1">
        <v>44826</v>
      </c>
      <c r="K1462" s="1">
        <v>45302</v>
      </c>
      <c r="L1462">
        <v>90800.6</v>
      </c>
      <c r="M1462">
        <v>60800.25</v>
      </c>
      <c r="N1462">
        <v>665</v>
      </c>
      <c r="O1462">
        <v>143000</v>
      </c>
      <c r="P1462" t="s">
        <v>26</v>
      </c>
      <c r="Q1462" t="s">
        <v>27</v>
      </c>
      <c r="R1462">
        <v>0</v>
      </c>
      <c r="S1462" t="s">
        <v>28</v>
      </c>
    </row>
    <row r="1463" spans="1:19">
      <c r="A1463" t="s">
        <v>545</v>
      </c>
      <c r="B1463" t="s">
        <v>3227</v>
      </c>
      <c r="C1463" t="s">
        <v>46</v>
      </c>
      <c r="D1463" t="s">
        <v>241</v>
      </c>
      <c r="E1463" t="s">
        <v>242</v>
      </c>
      <c r="F1463">
        <v>69</v>
      </c>
      <c r="G1463" t="s">
        <v>24</v>
      </c>
      <c r="H1463" t="s">
        <v>3228</v>
      </c>
      <c r="I1463">
        <f>39-383-789-123</f>
        <v>-1256</v>
      </c>
      <c r="J1463" s="1">
        <v>45465</v>
      </c>
      <c r="K1463" s="1">
        <v>45303</v>
      </c>
      <c r="L1463">
        <v>114100.8</v>
      </c>
      <c r="M1463">
        <v>68300.399999999994</v>
      </c>
      <c r="N1463">
        <v>750</v>
      </c>
      <c r="O1463">
        <v>169000</v>
      </c>
      <c r="P1463" t="s">
        <v>26</v>
      </c>
      <c r="Q1463" t="s">
        <v>27</v>
      </c>
      <c r="R1463">
        <v>0</v>
      </c>
      <c r="S1463" t="s">
        <v>28</v>
      </c>
    </row>
    <row r="1464" spans="1:19">
      <c r="A1464" t="s">
        <v>548</v>
      </c>
      <c r="B1464" t="s">
        <v>3229</v>
      </c>
      <c r="C1464" t="s">
        <v>57</v>
      </c>
      <c r="D1464" t="s">
        <v>22</v>
      </c>
      <c r="E1464" t="s">
        <v>282</v>
      </c>
      <c r="F1464">
        <v>65</v>
      </c>
      <c r="G1464" t="s">
        <v>34</v>
      </c>
      <c r="H1464" t="s">
        <v>3230</v>
      </c>
      <c r="I1464">
        <f>1-206-555-198</f>
        <v>-958</v>
      </c>
      <c r="J1464" s="1">
        <v>45648</v>
      </c>
      <c r="K1464" s="1">
        <v>45305</v>
      </c>
      <c r="L1464">
        <v>53000.9</v>
      </c>
      <c r="M1464">
        <v>20400.75</v>
      </c>
      <c r="N1464">
        <v>770</v>
      </c>
      <c r="O1464">
        <v>100000</v>
      </c>
      <c r="P1464" t="s">
        <v>36</v>
      </c>
      <c r="Q1464" t="s">
        <v>27</v>
      </c>
      <c r="R1464">
        <v>0</v>
      </c>
      <c r="S1464" t="s">
        <v>28</v>
      </c>
    </row>
    <row r="1465" spans="1:19">
      <c r="A1465" t="s">
        <v>551</v>
      </c>
      <c r="B1465" t="s">
        <v>3231</v>
      </c>
      <c r="C1465" t="s">
        <v>39</v>
      </c>
      <c r="D1465" t="s">
        <v>313</v>
      </c>
      <c r="E1465" t="s">
        <v>385</v>
      </c>
      <c r="F1465">
        <v>88</v>
      </c>
      <c r="G1465" t="s">
        <v>24</v>
      </c>
      <c r="H1465" t="s">
        <v>3232</v>
      </c>
      <c r="I1465">
        <f>92-335-3210987</f>
        <v>-3211230</v>
      </c>
      <c r="J1465" s="1">
        <v>44065</v>
      </c>
      <c r="K1465" s="1">
        <v>45299</v>
      </c>
      <c r="L1465">
        <v>202200.25</v>
      </c>
      <c r="M1465">
        <v>124000.8</v>
      </c>
      <c r="N1465">
        <v>645</v>
      </c>
      <c r="O1465">
        <v>240000</v>
      </c>
      <c r="P1465" t="s">
        <v>76</v>
      </c>
      <c r="Q1465" t="s">
        <v>27</v>
      </c>
      <c r="R1465">
        <v>0</v>
      </c>
      <c r="S1465" t="s">
        <v>28</v>
      </c>
    </row>
    <row r="1466" spans="1:19">
      <c r="A1466" t="s">
        <v>554</v>
      </c>
      <c r="B1466" t="s">
        <v>3233</v>
      </c>
      <c r="C1466" t="s">
        <v>31</v>
      </c>
      <c r="D1466" t="s">
        <v>214</v>
      </c>
      <c r="E1466" t="s">
        <v>215</v>
      </c>
      <c r="F1466">
        <v>61</v>
      </c>
      <c r="G1466" t="s">
        <v>34</v>
      </c>
      <c r="H1466" t="s">
        <v>3234</v>
      </c>
      <c r="I1466">
        <f>34-658-901-234</f>
        <v>-1759</v>
      </c>
      <c r="J1466" s="1">
        <v>45685</v>
      </c>
      <c r="K1466" s="1">
        <v>45306</v>
      </c>
      <c r="L1466">
        <v>45200.5</v>
      </c>
      <c r="M1466">
        <v>20000.400000000001</v>
      </c>
      <c r="N1466">
        <v>720</v>
      </c>
      <c r="O1466">
        <v>77000</v>
      </c>
      <c r="P1466" t="s">
        <v>36</v>
      </c>
      <c r="Q1466" t="s">
        <v>27</v>
      </c>
      <c r="R1466">
        <v>0</v>
      </c>
      <c r="S1466" t="s">
        <v>28</v>
      </c>
    </row>
    <row r="1467" spans="1:19">
      <c r="A1467" t="s">
        <v>108</v>
      </c>
      <c r="B1467" t="s">
        <v>3235</v>
      </c>
      <c r="C1467" t="s">
        <v>84</v>
      </c>
      <c r="D1467" t="s">
        <v>32</v>
      </c>
      <c r="E1467" t="s">
        <v>33</v>
      </c>
      <c r="F1467">
        <v>57</v>
      </c>
      <c r="G1467" t="s">
        <v>24</v>
      </c>
      <c r="H1467" t="s">
        <v>3236</v>
      </c>
      <c r="I1467">
        <f>81-90-3456-7890</f>
        <v>-11355</v>
      </c>
      <c r="J1467" s="1">
        <v>45685</v>
      </c>
      <c r="K1467" s="1">
        <v>45304</v>
      </c>
      <c r="L1467">
        <v>5350.8</v>
      </c>
      <c r="M1467">
        <v>15600.25</v>
      </c>
      <c r="N1467">
        <v>605</v>
      </c>
      <c r="O1467">
        <v>53000</v>
      </c>
      <c r="P1467" t="s">
        <v>76</v>
      </c>
      <c r="Q1467" t="s">
        <v>43</v>
      </c>
      <c r="R1467">
        <v>0</v>
      </c>
      <c r="S1467" t="s">
        <v>28</v>
      </c>
    </row>
    <row r="1468" spans="1:19">
      <c r="A1468" t="s">
        <v>559</v>
      </c>
      <c r="B1468" t="s">
        <v>3237</v>
      </c>
      <c r="C1468" t="s">
        <v>46</v>
      </c>
      <c r="D1468" t="s">
        <v>254</v>
      </c>
      <c r="E1468" t="s">
        <v>255</v>
      </c>
      <c r="F1468">
        <v>71</v>
      </c>
      <c r="G1468" t="s">
        <v>34</v>
      </c>
      <c r="H1468" t="s">
        <v>3238</v>
      </c>
      <c r="I1468">
        <f>221-13-789-123</f>
        <v>-704</v>
      </c>
      <c r="J1468" s="1">
        <v>45344</v>
      </c>
      <c r="K1468" s="1">
        <v>45302</v>
      </c>
      <c r="L1468">
        <v>100800.4</v>
      </c>
      <c r="M1468">
        <v>63000.75</v>
      </c>
      <c r="N1468">
        <v>710</v>
      </c>
      <c r="O1468">
        <v>151000</v>
      </c>
      <c r="P1468" t="s">
        <v>26</v>
      </c>
      <c r="Q1468" t="s">
        <v>27</v>
      </c>
      <c r="R1468">
        <v>0</v>
      </c>
      <c r="S1468" t="s">
        <v>28</v>
      </c>
    </row>
    <row r="1469" spans="1:19">
      <c r="A1469" t="s">
        <v>562</v>
      </c>
      <c r="B1469" t="s">
        <v>3239</v>
      </c>
      <c r="C1469" t="s">
        <v>39</v>
      </c>
      <c r="D1469" t="s">
        <v>47</v>
      </c>
      <c r="E1469" t="s">
        <v>48</v>
      </c>
      <c r="F1469">
        <v>85</v>
      </c>
      <c r="G1469" t="s">
        <v>24</v>
      </c>
      <c r="H1469" t="s">
        <v>3240</v>
      </c>
      <c r="I1469">
        <f>44-79-123-4567</f>
        <v>-4725</v>
      </c>
      <c r="J1469" s="1">
        <v>44218</v>
      </c>
      <c r="K1469" s="1">
        <v>45300</v>
      </c>
      <c r="L1469">
        <v>182400.6</v>
      </c>
      <c r="M1469">
        <v>117000.25</v>
      </c>
      <c r="N1469">
        <v>675</v>
      </c>
      <c r="O1469">
        <v>220000</v>
      </c>
      <c r="P1469" t="s">
        <v>76</v>
      </c>
      <c r="Q1469" t="s">
        <v>27</v>
      </c>
      <c r="R1469">
        <v>0</v>
      </c>
      <c r="S1469" t="s">
        <v>28</v>
      </c>
    </row>
    <row r="1470" spans="1:19">
      <c r="A1470" t="s">
        <v>565</v>
      </c>
      <c r="B1470" t="s">
        <v>3241</v>
      </c>
      <c r="C1470" t="s">
        <v>52</v>
      </c>
      <c r="D1470" t="s">
        <v>233</v>
      </c>
      <c r="E1470" t="s">
        <v>234</v>
      </c>
      <c r="F1470">
        <v>70</v>
      </c>
      <c r="G1470" t="s">
        <v>34</v>
      </c>
      <c r="H1470" t="s">
        <v>3242</v>
      </c>
      <c r="I1470">
        <f>82-10-9012-3456</f>
        <v>-12396</v>
      </c>
      <c r="J1470" s="1">
        <v>45129</v>
      </c>
      <c r="K1470" s="1">
        <v>45301</v>
      </c>
      <c r="L1470">
        <v>77200.75</v>
      </c>
      <c r="M1470">
        <v>54100.800000000003</v>
      </c>
      <c r="N1470">
        <v>725</v>
      </c>
      <c r="O1470">
        <v>117000</v>
      </c>
      <c r="P1470" t="s">
        <v>26</v>
      </c>
      <c r="Q1470" t="s">
        <v>27</v>
      </c>
      <c r="R1470">
        <v>0</v>
      </c>
      <c r="S1470" t="s">
        <v>28</v>
      </c>
    </row>
    <row r="1471" spans="1:19">
      <c r="A1471" t="s">
        <v>568</v>
      </c>
      <c r="B1471" t="s">
        <v>3243</v>
      </c>
      <c r="C1471" t="s">
        <v>57</v>
      </c>
      <c r="D1471" t="s">
        <v>79</v>
      </c>
      <c r="E1471" t="s">
        <v>80</v>
      </c>
      <c r="F1471">
        <v>68</v>
      </c>
      <c r="G1471" t="s">
        <v>24</v>
      </c>
      <c r="H1471" t="s">
        <v>3244</v>
      </c>
      <c r="I1471">
        <f>971-50-123-4567</f>
        <v>-3769</v>
      </c>
      <c r="J1471" s="1">
        <v>45587</v>
      </c>
      <c r="K1471" s="1">
        <v>45303</v>
      </c>
      <c r="L1471">
        <v>55200.4</v>
      </c>
      <c r="M1471">
        <v>21200.9</v>
      </c>
      <c r="N1471">
        <v>740</v>
      </c>
      <c r="O1471">
        <v>103000</v>
      </c>
      <c r="P1471" t="s">
        <v>36</v>
      </c>
      <c r="Q1471" t="s">
        <v>27</v>
      </c>
      <c r="R1471">
        <v>0</v>
      </c>
      <c r="S1471" t="s">
        <v>28</v>
      </c>
    </row>
    <row r="1472" spans="1:19">
      <c r="A1472" t="s">
        <v>571</v>
      </c>
      <c r="B1472" t="s">
        <v>3245</v>
      </c>
      <c r="C1472" t="s">
        <v>21</v>
      </c>
      <c r="D1472" t="s">
        <v>63</v>
      </c>
      <c r="E1472" t="s">
        <v>64</v>
      </c>
      <c r="F1472">
        <v>91</v>
      </c>
      <c r="G1472" t="s">
        <v>34</v>
      </c>
      <c r="H1472" t="s">
        <v>3246</v>
      </c>
      <c r="I1472">
        <f>55-11-99923-4567</f>
        <v>-104446</v>
      </c>
      <c r="J1472" s="1">
        <v>43760</v>
      </c>
      <c r="K1472" s="1">
        <v>45299</v>
      </c>
      <c r="L1472">
        <v>271300.90000000002</v>
      </c>
      <c r="M1472">
        <v>107000.6</v>
      </c>
      <c r="N1472">
        <v>830</v>
      </c>
      <c r="O1472">
        <v>315000</v>
      </c>
      <c r="P1472" t="s">
        <v>36</v>
      </c>
      <c r="Q1472" t="s">
        <v>27</v>
      </c>
      <c r="R1472">
        <v>0</v>
      </c>
      <c r="S1472" t="s">
        <v>28</v>
      </c>
    </row>
    <row r="1473" spans="1:19">
      <c r="A1473" t="s">
        <v>574</v>
      </c>
      <c r="B1473" t="s">
        <v>3247</v>
      </c>
      <c r="C1473" t="s">
        <v>39</v>
      </c>
      <c r="D1473" t="s">
        <v>68</v>
      </c>
      <c r="E1473" t="s">
        <v>179</v>
      </c>
      <c r="F1473">
        <v>83</v>
      </c>
      <c r="G1473" t="s">
        <v>24</v>
      </c>
      <c r="H1473" t="s">
        <v>3248</v>
      </c>
      <c r="I1473">
        <f>234-850-123-4567</f>
        <v>-5306</v>
      </c>
      <c r="J1473" s="1">
        <v>44359</v>
      </c>
      <c r="K1473" s="1">
        <v>45300</v>
      </c>
      <c r="L1473">
        <v>160200.25</v>
      </c>
      <c r="M1473">
        <v>109000.4</v>
      </c>
      <c r="N1473">
        <v>655</v>
      </c>
      <c r="O1473">
        <v>205000</v>
      </c>
      <c r="P1473" t="s">
        <v>76</v>
      </c>
      <c r="Q1473" t="s">
        <v>27</v>
      </c>
      <c r="R1473">
        <v>0</v>
      </c>
      <c r="S1473" t="s">
        <v>28</v>
      </c>
    </row>
    <row r="1474" spans="1:19">
      <c r="A1474" t="s">
        <v>577</v>
      </c>
      <c r="B1474" t="s">
        <v>3249</v>
      </c>
      <c r="C1474" t="s">
        <v>46</v>
      </c>
      <c r="D1474" t="s">
        <v>85</v>
      </c>
      <c r="E1474" t="s">
        <v>86</v>
      </c>
      <c r="F1474">
        <v>72</v>
      </c>
      <c r="G1474" t="s">
        <v>34</v>
      </c>
      <c r="H1474" t="s">
        <v>3250</v>
      </c>
      <c r="I1474">
        <f>1-647-555-198</f>
        <v>-1399</v>
      </c>
      <c r="J1474" s="1">
        <v>45252</v>
      </c>
      <c r="K1474" s="1">
        <v>45302</v>
      </c>
      <c r="L1474">
        <v>119700.6</v>
      </c>
      <c r="M1474">
        <v>71000.75</v>
      </c>
      <c r="N1474">
        <v>760</v>
      </c>
      <c r="O1474">
        <v>174000</v>
      </c>
      <c r="P1474" t="s">
        <v>26</v>
      </c>
      <c r="Q1474" t="s">
        <v>27</v>
      </c>
      <c r="R1474">
        <v>0</v>
      </c>
      <c r="S1474" t="s">
        <v>28</v>
      </c>
    </row>
    <row r="1475" spans="1:19">
      <c r="A1475" t="s">
        <v>458</v>
      </c>
      <c r="B1475" t="s">
        <v>3251</v>
      </c>
      <c r="C1475" t="s">
        <v>31</v>
      </c>
      <c r="D1475" t="s">
        <v>460</v>
      </c>
      <c r="E1475" t="s">
        <v>461</v>
      </c>
      <c r="F1475">
        <v>63</v>
      </c>
      <c r="G1475" t="s">
        <v>24</v>
      </c>
      <c r="H1475" t="s">
        <v>3252</v>
      </c>
      <c r="I1475">
        <f>62-847-8901-2345</f>
        <v>-12031</v>
      </c>
      <c r="J1475" s="1">
        <v>45685</v>
      </c>
      <c r="K1475" s="1">
        <v>45306</v>
      </c>
      <c r="L1475">
        <v>25900.25</v>
      </c>
      <c r="M1475">
        <v>15400.8</v>
      </c>
      <c r="N1475">
        <v>695</v>
      </c>
      <c r="O1475">
        <v>74000</v>
      </c>
      <c r="P1475" t="s">
        <v>26</v>
      </c>
      <c r="Q1475" t="s">
        <v>43</v>
      </c>
      <c r="R1475">
        <v>0</v>
      </c>
      <c r="S1475" t="s">
        <v>28</v>
      </c>
    </row>
    <row r="1476" spans="1:19">
      <c r="A1476" t="s">
        <v>582</v>
      </c>
      <c r="B1476" t="s">
        <v>3253</v>
      </c>
      <c r="C1476" t="s">
        <v>57</v>
      </c>
      <c r="D1476" t="s">
        <v>22</v>
      </c>
      <c r="E1476" t="s">
        <v>53</v>
      </c>
      <c r="F1476">
        <v>66</v>
      </c>
      <c r="G1476" t="s">
        <v>34</v>
      </c>
      <c r="H1476" t="s">
        <v>3254</v>
      </c>
      <c r="I1476">
        <f>1-773-555-194</f>
        <v>-1521</v>
      </c>
      <c r="J1476" s="1">
        <v>45526</v>
      </c>
      <c r="K1476" s="1">
        <v>45303</v>
      </c>
      <c r="L1476">
        <v>54100.9</v>
      </c>
      <c r="M1476">
        <v>20800.25</v>
      </c>
      <c r="N1476">
        <v>755</v>
      </c>
      <c r="O1476">
        <v>96000</v>
      </c>
      <c r="P1476" t="s">
        <v>36</v>
      </c>
      <c r="Q1476" t="s">
        <v>27</v>
      </c>
      <c r="R1476">
        <v>0</v>
      </c>
      <c r="S1476" t="s">
        <v>28</v>
      </c>
    </row>
    <row r="1477" spans="1:19">
      <c r="A1477" t="s">
        <v>55</v>
      </c>
      <c r="B1477" t="s">
        <v>3255</v>
      </c>
      <c r="C1477" t="s">
        <v>39</v>
      </c>
      <c r="D1477" t="s">
        <v>58</v>
      </c>
      <c r="E1477" t="s">
        <v>122</v>
      </c>
      <c r="F1477">
        <v>84</v>
      </c>
      <c r="G1477" t="s">
        <v>24</v>
      </c>
      <c r="H1477" t="s">
        <v>3256</v>
      </c>
      <c r="I1477">
        <f>86-138-2345-6789</f>
        <v>-9186</v>
      </c>
      <c r="J1477" s="1">
        <v>44277</v>
      </c>
      <c r="K1477" s="1">
        <v>45300</v>
      </c>
      <c r="L1477">
        <v>193100.4</v>
      </c>
      <c r="M1477">
        <v>122000.75</v>
      </c>
      <c r="N1477">
        <v>685</v>
      </c>
      <c r="O1477">
        <v>230000</v>
      </c>
      <c r="P1477" t="s">
        <v>76</v>
      </c>
      <c r="Q1477" t="s">
        <v>27</v>
      </c>
      <c r="R1477">
        <v>0</v>
      </c>
      <c r="S1477" t="s">
        <v>28</v>
      </c>
    </row>
    <row r="1478" spans="1:19">
      <c r="A1478" t="s">
        <v>469</v>
      </c>
      <c r="B1478" t="s">
        <v>3257</v>
      </c>
      <c r="C1478" t="s">
        <v>52</v>
      </c>
      <c r="D1478" t="s">
        <v>471</v>
      </c>
      <c r="E1478" t="s">
        <v>472</v>
      </c>
      <c r="F1478">
        <v>75</v>
      </c>
      <c r="G1478" t="s">
        <v>34</v>
      </c>
      <c r="H1478" t="s">
        <v>3258</v>
      </c>
      <c r="I1478">
        <f>48-735-789-12</f>
        <v>-1488</v>
      </c>
      <c r="J1478" s="1">
        <v>44917</v>
      </c>
      <c r="K1478" s="1">
        <v>45301</v>
      </c>
      <c r="L1478">
        <v>84100.800000000003</v>
      </c>
      <c r="M1478">
        <v>57200.6</v>
      </c>
      <c r="N1478">
        <v>715</v>
      </c>
      <c r="O1478">
        <v>129000</v>
      </c>
      <c r="P1478" t="s">
        <v>26</v>
      </c>
      <c r="Q1478" t="s">
        <v>27</v>
      </c>
      <c r="R1478">
        <v>0</v>
      </c>
      <c r="S1478" t="s">
        <v>28</v>
      </c>
    </row>
    <row r="1479" spans="1:19">
      <c r="A1479" t="s">
        <v>474</v>
      </c>
      <c r="B1479" t="s">
        <v>3259</v>
      </c>
      <c r="C1479" t="s">
        <v>46</v>
      </c>
      <c r="D1479" t="s">
        <v>345</v>
      </c>
      <c r="E1479" t="s">
        <v>476</v>
      </c>
      <c r="F1479">
        <v>78</v>
      </c>
      <c r="G1479" t="s">
        <v>24</v>
      </c>
      <c r="H1479" t="s">
        <v>3260</v>
      </c>
      <c r="I1479">
        <f>880-1812-901234</f>
        <v>-902166</v>
      </c>
      <c r="J1479" s="1">
        <v>44826</v>
      </c>
      <c r="K1479" s="1">
        <v>45302</v>
      </c>
      <c r="L1479">
        <v>111900.25</v>
      </c>
      <c r="M1479">
        <v>67200.399999999994</v>
      </c>
      <c r="N1479">
        <v>680</v>
      </c>
      <c r="O1479">
        <v>158000</v>
      </c>
      <c r="P1479" t="s">
        <v>26</v>
      </c>
      <c r="Q1479" t="s">
        <v>27</v>
      </c>
      <c r="R1479">
        <v>0</v>
      </c>
      <c r="S1479" t="s">
        <v>28</v>
      </c>
    </row>
    <row r="1480" spans="1:19">
      <c r="A1480" t="s">
        <v>592</v>
      </c>
      <c r="B1480" t="s">
        <v>3261</v>
      </c>
      <c r="C1480" t="s">
        <v>84</v>
      </c>
      <c r="D1480" t="s">
        <v>32</v>
      </c>
      <c r="E1480" t="s">
        <v>90</v>
      </c>
      <c r="F1480">
        <v>58</v>
      </c>
      <c r="G1480" t="s">
        <v>34</v>
      </c>
      <c r="H1480" t="s">
        <v>3262</v>
      </c>
      <c r="I1480">
        <f>81-90-4567-8901</f>
        <v>-13477</v>
      </c>
      <c r="J1480" s="1">
        <v>45693</v>
      </c>
      <c r="K1480" s="1">
        <v>45304</v>
      </c>
      <c r="L1480">
        <v>5450.4</v>
      </c>
      <c r="M1480">
        <v>16200.75</v>
      </c>
      <c r="N1480">
        <v>610</v>
      </c>
      <c r="O1480">
        <v>54000</v>
      </c>
      <c r="P1480" t="s">
        <v>76</v>
      </c>
      <c r="Q1480" t="s">
        <v>43</v>
      </c>
      <c r="R1480">
        <v>0</v>
      </c>
      <c r="S1480" t="s">
        <v>28</v>
      </c>
    </row>
    <row r="1481" spans="1:19">
      <c r="A1481" t="s">
        <v>595</v>
      </c>
      <c r="B1481" t="s">
        <v>3263</v>
      </c>
      <c r="C1481" t="s">
        <v>21</v>
      </c>
      <c r="D1481" t="s">
        <v>209</v>
      </c>
      <c r="E1481" t="s">
        <v>210</v>
      </c>
      <c r="F1481">
        <v>90</v>
      </c>
      <c r="G1481" t="s">
        <v>24</v>
      </c>
      <c r="H1481" t="s">
        <v>3264</v>
      </c>
      <c r="I1481">
        <f>52-55-9012-123</f>
        <v>-9138</v>
      </c>
      <c r="J1481" s="1">
        <v>43973</v>
      </c>
      <c r="K1481" s="1">
        <v>45299</v>
      </c>
      <c r="L1481">
        <v>291100.79999999999</v>
      </c>
      <c r="M1481">
        <v>113000.25</v>
      </c>
      <c r="N1481">
        <v>825</v>
      </c>
      <c r="O1481">
        <v>310000</v>
      </c>
      <c r="P1481" t="s">
        <v>36</v>
      </c>
      <c r="Q1481" t="s">
        <v>27</v>
      </c>
      <c r="R1481">
        <v>0</v>
      </c>
      <c r="S1481" t="s">
        <v>28</v>
      </c>
    </row>
    <row r="1482" spans="1:19">
      <c r="A1482" t="s">
        <v>226</v>
      </c>
      <c r="B1482" t="s">
        <v>3265</v>
      </c>
      <c r="C1482" t="s">
        <v>57</v>
      </c>
      <c r="D1482" t="s">
        <v>228</v>
      </c>
      <c r="E1482" t="s">
        <v>229</v>
      </c>
      <c r="F1482">
        <v>65</v>
      </c>
      <c r="G1482" t="s">
        <v>34</v>
      </c>
      <c r="H1482" t="s">
        <v>3266</v>
      </c>
      <c r="I1482">
        <f>254-759-12-345</f>
        <v>-862</v>
      </c>
      <c r="J1482" s="1">
        <v>45710</v>
      </c>
      <c r="K1482" s="1">
        <v>45305</v>
      </c>
      <c r="L1482">
        <v>50800.75</v>
      </c>
      <c r="M1482">
        <v>19200.400000000001</v>
      </c>
      <c r="N1482">
        <v>725</v>
      </c>
      <c r="O1482">
        <v>86000</v>
      </c>
      <c r="P1482" t="s">
        <v>36</v>
      </c>
      <c r="Q1482" t="s">
        <v>27</v>
      </c>
      <c r="R1482">
        <v>0</v>
      </c>
      <c r="S1482" t="s">
        <v>28</v>
      </c>
    </row>
    <row r="1483" spans="1:19">
      <c r="A1483" t="s">
        <v>488</v>
      </c>
      <c r="B1483" t="s">
        <v>3267</v>
      </c>
      <c r="C1483" t="s">
        <v>39</v>
      </c>
      <c r="D1483" t="s">
        <v>304</v>
      </c>
      <c r="E1483" t="s">
        <v>304</v>
      </c>
      <c r="F1483">
        <v>82</v>
      </c>
      <c r="G1483" t="s">
        <v>24</v>
      </c>
      <c r="H1483" t="s">
        <v>3268</v>
      </c>
      <c r="I1483">
        <f>65-1890-1234</f>
        <v>-3059</v>
      </c>
      <c r="J1483" s="1">
        <v>44451</v>
      </c>
      <c r="K1483" s="1">
        <v>45300</v>
      </c>
      <c r="L1483">
        <v>171300.6</v>
      </c>
      <c r="M1483">
        <v>113000.9</v>
      </c>
      <c r="N1483">
        <v>675</v>
      </c>
      <c r="O1483">
        <v>210000</v>
      </c>
      <c r="P1483" t="s">
        <v>76</v>
      </c>
      <c r="Q1483" t="s">
        <v>27</v>
      </c>
      <c r="R1483">
        <v>0</v>
      </c>
      <c r="S1483" t="s">
        <v>28</v>
      </c>
    </row>
    <row r="1484" spans="1:19">
      <c r="A1484" t="s">
        <v>491</v>
      </c>
      <c r="B1484" t="s">
        <v>3269</v>
      </c>
      <c r="C1484" t="s">
        <v>52</v>
      </c>
      <c r="D1484" t="s">
        <v>493</v>
      </c>
      <c r="E1484" t="s">
        <v>494</v>
      </c>
      <c r="F1484">
        <v>73</v>
      </c>
      <c r="G1484" t="s">
        <v>34</v>
      </c>
      <c r="H1484" t="s">
        <v>3270</v>
      </c>
      <c r="I1484">
        <f>30-727-890-1234</f>
        <v>-2821</v>
      </c>
      <c r="J1484" s="1">
        <v>45221</v>
      </c>
      <c r="K1484" s="1">
        <v>45302</v>
      </c>
      <c r="L1484">
        <v>78300.399999999994</v>
      </c>
      <c r="M1484">
        <v>53000.25</v>
      </c>
      <c r="N1484">
        <v>705</v>
      </c>
      <c r="O1484">
        <v>118000</v>
      </c>
      <c r="P1484" t="s">
        <v>26</v>
      </c>
      <c r="Q1484" t="s">
        <v>27</v>
      </c>
      <c r="R1484">
        <v>0</v>
      </c>
      <c r="S1484" t="s">
        <v>28</v>
      </c>
    </row>
    <row r="1485" spans="1:19">
      <c r="A1485" t="s">
        <v>496</v>
      </c>
      <c r="B1485" t="s">
        <v>3271</v>
      </c>
      <c r="C1485" t="s">
        <v>46</v>
      </c>
      <c r="D1485" t="s">
        <v>321</v>
      </c>
      <c r="E1485" t="s">
        <v>322</v>
      </c>
      <c r="F1485">
        <v>76</v>
      </c>
      <c r="G1485" t="s">
        <v>24</v>
      </c>
      <c r="H1485" t="s">
        <v>3272</v>
      </c>
      <c r="I1485">
        <f>61-459-12-345</f>
        <v>-755</v>
      </c>
      <c r="J1485" s="1">
        <v>44703</v>
      </c>
      <c r="K1485" s="1">
        <v>45301</v>
      </c>
      <c r="L1485">
        <v>123100.75</v>
      </c>
      <c r="M1485">
        <v>74100.800000000003</v>
      </c>
      <c r="N1485">
        <v>730</v>
      </c>
      <c r="O1485">
        <v>184000</v>
      </c>
      <c r="P1485" t="s">
        <v>26</v>
      </c>
      <c r="Q1485" t="s">
        <v>27</v>
      </c>
      <c r="R1485">
        <v>0</v>
      </c>
      <c r="S1485" t="s">
        <v>28</v>
      </c>
    </row>
    <row r="1486" spans="1:19">
      <c r="A1486" t="s">
        <v>324</v>
      </c>
      <c r="B1486" t="s">
        <v>3273</v>
      </c>
      <c r="C1486" t="s">
        <v>31</v>
      </c>
      <c r="D1486" t="s">
        <v>313</v>
      </c>
      <c r="E1486" t="s">
        <v>501</v>
      </c>
      <c r="F1486">
        <v>61</v>
      </c>
      <c r="G1486" t="s">
        <v>34</v>
      </c>
      <c r="H1486" t="s">
        <v>3274</v>
      </c>
      <c r="I1486">
        <f>92-357-2109876</f>
        <v>-2110141</v>
      </c>
      <c r="J1486" s="1">
        <v>45685</v>
      </c>
      <c r="K1486" s="1">
        <v>45306</v>
      </c>
      <c r="L1486">
        <v>21800.9</v>
      </c>
      <c r="M1486">
        <v>12300.75</v>
      </c>
      <c r="N1486">
        <v>685</v>
      </c>
      <c r="O1486">
        <v>71000</v>
      </c>
      <c r="P1486" t="s">
        <v>26</v>
      </c>
      <c r="Q1486" t="s">
        <v>43</v>
      </c>
      <c r="R1486">
        <v>0</v>
      </c>
      <c r="S1486" t="s">
        <v>28</v>
      </c>
    </row>
    <row r="1487" spans="1:19">
      <c r="A1487" t="s">
        <v>503</v>
      </c>
      <c r="B1487" t="s">
        <v>3275</v>
      </c>
      <c r="C1487" t="s">
        <v>21</v>
      </c>
      <c r="D1487" t="s">
        <v>32</v>
      </c>
      <c r="E1487" t="s">
        <v>33</v>
      </c>
      <c r="F1487">
        <v>93</v>
      </c>
      <c r="G1487" t="s">
        <v>24</v>
      </c>
      <c r="H1487" t="s">
        <v>3276</v>
      </c>
      <c r="I1487">
        <f>81-80-7890-1234</f>
        <v>-9123</v>
      </c>
      <c r="J1487" s="1">
        <v>43699</v>
      </c>
      <c r="K1487" s="1">
        <v>45299</v>
      </c>
      <c r="L1487">
        <v>302000.25</v>
      </c>
      <c r="M1487">
        <v>117000.4</v>
      </c>
      <c r="N1487">
        <v>840</v>
      </c>
      <c r="O1487">
        <v>325000</v>
      </c>
      <c r="P1487" t="s">
        <v>36</v>
      </c>
      <c r="Q1487" t="s">
        <v>27</v>
      </c>
      <c r="R1487">
        <v>0</v>
      </c>
      <c r="S1487" t="s">
        <v>28</v>
      </c>
    </row>
    <row r="1488" spans="1:19">
      <c r="A1488" t="s">
        <v>506</v>
      </c>
      <c r="B1488" t="s">
        <v>3277</v>
      </c>
      <c r="C1488" t="s">
        <v>39</v>
      </c>
      <c r="D1488" t="s">
        <v>68</v>
      </c>
      <c r="E1488" t="s">
        <v>69</v>
      </c>
      <c r="F1488">
        <v>85</v>
      </c>
      <c r="G1488" t="s">
        <v>34</v>
      </c>
      <c r="H1488" t="s">
        <v>3278</v>
      </c>
      <c r="I1488">
        <f>234-849-12-3456</f>
        <v>-4083</v>
      </c>
      <c r="J1488" s="1">
        <v>44218</v>
      </c>
      <c r="K1488" s="1">
        <v>45300</v>
      </c>
      <c r="L1488">
        <v>182400.4</v>
      </c>
      <c r="M1488">
        <v>117000.75</v>
      </c>
      <c r="N1488">
        <v>650</v>
      </c>
      <c r="O1488">
        <v>220000</v>
      </c>
      <c r="P1488" t="s">
        <v>76</v>
      </c>
      <c r="Q1488" t="s">
        <v>27</v>
      </c>
      <c r="R1488">
        <v>0</v>
      </c>
      <c r="S1488" t="s">
        <v>28</v>
      </c>
    </row>
    <row r="1489" spans="1:19">
      <c r="A1489" t="s">
        <v>509</v>
      </c>
      <c r="B1489" t="s">
        <v>3279</v>
      </c>
      <c r="C1489" t="s">
        <v>46</v>
      </c>
      <c r="D1489" t="s">
        <v>73</v>
      </c>
      <c r="E1489" t="s">
        <v>158</v>
      </c>
      <c r="F1489">
        <v>72</v>
      </c>
      <c r="G1489" t="s">
        <v>24</v>
      </c>
      <c r="H1489" t="s">
        <v>3280</v>
      </c>
      <c r="I1489">
        <f>49-211-2345678</f>
        <v>-2345840</v>
      </c>
      <c r="J1489" s="1">
        <v>45434</v>
      </c>
      <c r="K1489" s="1">
        <v>45303</v>
      </c>
      <c r="L1489">
        <v>111900.4</v>
      </c>
      <c r="M1489">
        <v>68300.25</v>
      </c>
      <c r="N1489">
        <v>745</v>
      </c>
      <c r="O1489">
        <v>164000</v>
      </c>
      <c r="P1489" t="s">
        <v>26</v>
      </c>
      <c r="Q1489" t="s">
        <v>27</v>
      </c>
      <c r="R1489">
        <v>0</v>
      </c>
      <c r="S1489" t="s">
        <v>28</v>
      </c>
    </row>
    <row r="1490" spans="1:19">
      <c r="A1490" t="s">
        <v>513</v>
      </c>
      <c r="B1490" t="s">
        <v>3281</v>
      </c>
      <c r="C1490" t="s">
        <v>57</v>
      </c>
      <c r="D1490" t="s">
        <v>58</v>
      </c>
      <c r="E1490" t="s">
        <v>122</v>
      </c>
      <c r="F1490">
        <v>67</v>
      </c>
      <c r="G1490" t="s">
        <v>34</v>
      </c>
      <c r="H1490" t="s">
        <v>3282</v>
      </c>
      <c r="I1490">
        <f>86-137-2345-6789</f>
        <v>-9185</v>
      </c>
      <c r="J1490" s="1">
        <v>45618</v>
      </c>
      <c r="K1490" s="1">
        <v>45302</v>
      </c>
      <c r="L1490">
        <v>53000.800000000003</v>
      </c>
      <c r="M1490">
        <v>20400.900000000001</v>
      </c>
      <c r="N1490">
        <v>765</v>
      </c>
      <c r="O1490">
        <v>96000</v>
      </c>
      <c r="P1490" t="s">
        <v>36</v>
      </c>
      <c r="Q1490" t="s">
        <v>27</v>
      </c>
      <c r="R1490">
        <v>0</v>
      </c>
      <c r="S1490" t="s">
        <v>28</v>
      </c>
    </row>
    <row r="1491" spans="1:19">
      <c r="A1491" t="s">
        <v>516</v>
      </c>
      <c r="B1491" t="s">
        <v>3283</v>
      </c>
      <c r="C1491" t="s">
        <v>52</v>
      </c>
      <c r="D1491" t="s">
        <v>277</v>
      </c>
      <c r="E1491" t="s">
        <v>278</v>
      </c>
      <c r="F1491">
        <v>80</v>
      </c>
      <c r="G1491" t="s">
        <v>24</v>
      </c>
      <c r="H1491" t="s">
        <v>3284</v>
      </c>
      <c r="I1491">
        <f>20-122-321-987</f>
        <v>-1410</v>
      </c>
      <c r="J1491" s="1">
        <v>44887</v>
      </c>
      <c r="K1491" s="1">
        <v>45301</v>
      </c>
      <c r="L1491">
        <v>86300.75</v>
      </c>
      <c r="M1491">
        <v>59400.4</v>
      </c>
      <c r="N1491">
        <v>675</v>
      </c>
      <c r="O1491">
        <v>136000</v>
      </c>
      <c r="P1491" t="s">
        <v>26</v>
      </c>
      <c r="Q1491" t="s">
        <v>27</v>
      </c>
      <c r="R1491">
        <v>0</v>
      </c>
      <c r="S1491" t="s">
        <v>28</v>
      </c>
    </row>
    <row r="1492" spans="1:19">
      <c r="A1492" t="s">
        <v>519</v>
      </c>
      <c r="B1492" t="s">
        <v>3285</v>
      </c>
      <c r="C1492" t="s">
        <v>84</v>
      </c>
      <c r="D1492" t="s">
        <v>183</v>
      </c>
      <c r="E1492" t="s">
        <v>184</v>
      </c>
      <c r="F1492">
        <v>59</v>
      </c>
      <c r="G1492" t="s">
        <v>34</v>
      </c>
      <c r="H1492" t="s">
        <v>3286</v>
      </c>
      <c r="I1492">
        <f>33-6-9012-3456</f>
        <v>-12441</v>
      </c>
      <c r="J1492" s="1">
        <v>45700</v>
      </c>
      <c r="K1492" s="1">
        <v>45304</v>
      </c>
      <c r="L1492">
        <v>5700.25</v>
      </c>
      <c r="M1492">
        <v>17400.599999999999</v>
      </c>
      <c r="N1492">
        <v>615</v>
      </c>
      <c r="O1492">
        <v>56000</v>
      </c>
      <c r="P1492" t="s">
        <v>76</v>
      </c>
      <c r="Q1492" t="s">
        <v>43</v>
      </c>
      <c r="R1492">
        <v>0</v>
      </c>
      <c r="S1492" t="s">
        <v>28</v>
      </c>
    </row>
    <row r="1493" spans="1:19">
      <c r="A1493" t="s">
        <v>522</v>
      </c>
      <c r="B1493" t="s">
        <v>3287</v>
      </c>
      <c r="C1493" t="s">
        <v>39</v>
      </c>
      <c r="D1493" t="s">
        <v>40</v>
      </c>
      <c r="E1493" t="s">
        <v>94</v>
      </c>
      <c r="F1493">
        <v>87</v>
      </c>
      <c r="G1493" t="s">
        <v>24</v>
      </c>
      <c r="H1493" t="s">
        <v>3288</v>
      </c>
      <c r="I1493">
        <f>91-987-654-3210</f>
        <v>-4760</v>
      </c>
      <c r="J1493" s="1">
        <v>44187</v>
      </c>
      <c r="K1493" s="1">
        <v>45299</v>
      </c>
      <c r="L1493">
        <v>217000.8</v>
      </c>
      <c r="M1493">
        <v>130000.25</v>
      </c>
      <c r="N1493">
        <v>660</v>
      </c>
      <c r="O1493">
        <v>255000</v>
      </c>
      <c r="P1493" t="s">
        <v>76</v>
      </c>
      <c r="Q1493" t="s">
        <v>27</v>
      </c>
      <c r="R1493">
        <v>0</v>
      </c>
      <c r="S1493" t="s">
        <v>28</v>
      </c>
    </row>
    <row r="1494" spans="1:19">
      <c r="A1494" t="s">
        <v>306</v>
      </c>
      <c r="B1494" t="s">
        <v>3289</v>
      </c>
      <c r="C1494" t="s">
        <v>46</v>
      </c>
      <c r="D1494" t="s">
        <v>209</v>
      </c>
      <c r="E1494" t="s">
        <v>703</v>
      </c>
      <c r="F1494">
        <v>74</v>
      </c>
      <c r="G1494" t="s">
        <v>34</v>
      </c>
      <c r="H1494" t="s">
        <v>3290</v>
      </c>
      <c r="I1494">
        <f>52-81-123-123</f>
        <v>-275</v>
      </c>
      <c r="J1494" s="1">
        <v>45038</v>
      </c>
      <c r="K1494" s="1">
        <v>45302</v>
      </c>
      <c r="L1494">
        <v>107400.9</v>
      </c>
      <c r="M1494">
        <v>65200.75</v>
      </c>
      <c r="N1494">
        <v>730</v>
      </c>
      <c r="O1494">
        <v>159000</v>
      </c>
      <c r="P1494" t="s">
        <v>26</v>
      </c>
      <c r="Q1494" t="s">
        <v>27</v>
      </c>
      <c r="R1494">
        <v>0</v>
      </c>
      <c r="S1494" t="s">
        <v>28</v>
      </c>
    </row>
    <row r="1495" spans="1:19">
      <c r="A1495" t="s">
        <v>527</v>
      </c>
      <c r="B1495" t="s">
        <v>3291</v>
      </c>
      <c r="C1495" t="s">
        <v>31</v>
      </c>
      <c r="D1495" t="s">
        <v>32</v>
      </c>
      <c r="E1495" t="s">
        <v>90</v>
      </c>
      <c r="F1495">
        <v>63</v>
      </c>
      <c r="G1495" t="s">
        <v>34</v>
      </c>
      <c r="H1495" t="s">
        <v>3292</v>
      </c>
      <c r="I1495">
        <f>81-90-5678-9012</f>
        <v>-14699</v>
      </c>
      <c r="J1495" s="1">
        <v>45696</v>
      </c>
      <c r="K1495" s="1">
        <v>45305</v>
      </c>
      <c r="L1495">
        <v>22900.400000000001</v>
      </c>
      <c r="M1495">
        <v>12400.25</v>
      </c>
      <c r="N1495">
        <v>705</v>
      </c>
      <c r="O1495">
        <v>73000</v>
      </c>
      <c r="P1495" t="s">
        <v>26</v>
      </c>
      <c r="Q1495" t="s">
        <v>43</v>
      </c>
      <c r="R1495">
        <v>0</v>
      </c>
      <c r="S1495" t="s">
        <v>28</v>
      </c>
    </row>
    <row r="1496" spans="1:19">
      <c r="A1496" t="s">
        <v>530</v>
      </c>
      <c r="B1496" t="s">
        <v>3293</v>
      </c>
      <c r="C1496" t="s">
        <v>57</v>
      </c>
      <c r="D1496" t="s">
        <v>219</v>
      </c>
      <c r="E1496" t="s">
        <v>220</v>
      </c>
      <c r="F1496">
        <v>68</v>
      </c>
      <c r="G1496" t="s">
        <v>24</v>
      </c>
      <c r="H1496" t="s">
        <v>3294</v>
      </c>
      <c r="I1496">
        <f>233-90-123-4567</f>
        <v>-4547</v>
      </c>
      <c r="J1496" s="1">
        <v>45587</v>
      </c>
      <c r="K1496" s="1">
        <v>45303</v>
      </c>
      <c r="L1496">
        <v>51900.6</v>
      </c>
      <c r="M1496">
        <v>19800.8</v>
      </c>
      <c r="N1496">
        <v>710</v>
      </c>
      <c r="O1496">
        <v>89000</v>
      </c>
      <c r="P1496" t="s">
        <v>36</v>
      </c>
      <c r="Q1496" t="s">
        <v>27</v>
      </c>
      <c r="R1496">
        <v>0</v>
      </c>
      <c r="S1496" t="s">
        <v>28</v>
      </c>
    </row>
    <row r="1497" spans="1:19">
      <c r="A1497" t="s">
        <v>533</v>
      </c>
      <c r="B1497" t="s">
        <v>3295</v>
      </c>
      <c r="C1497" t="s">
        <v>52</v>
      </c>
      <c r="D1497" t="s">
        <v>204</v>
      </c>
      <c r="E1497" t="s">
        <v>259</v>
      </c>
      <c r="F1497">
        <v>75</v>
      </c>
      <c r="G1497" t="s">
        <v>34</v>
      </c>
      <c r="H1497" t="s">
        <v>3296</v>
      </c>
      <c r="I1497">
        <f>7-921-98-76-54</f>
        <v>-1142</v>
      </c>
      <c r="J1497" s="1">
        <v>44887</v>
      </c>
      <c r="K1497" s="1">
        <v>45301</v>
      </c>
      <c r="L1497">
        <v>83200.25</v>
      </c>
      <c r="M1497">
        <v>56300.9</v>
      </c>
      <c r="N1497">
        <v>695</v>
      </c>
      <c r="O1497">
        <v>124000</v>
      </c>
      <c r="P1497" t="s">
        <v>26</v>
      </c>
      <c r="Q1497" t="s">
        <v>27</v>
      </c>
      <c r="R1497">
        <v>0</v>
      </c>
      <c r="S1497" t="s">
        <v>28</v>
      </c>
    </row>
    <row r="1498" spans="1:19">
      <c r="A1498" t="s">
        <v>536</v>
      </c>
      <c r="B1498" t="s">
        <v>3297</v>
      </c>
      <c r="C1498" t="s">
        <v>39</v>
      </c>
      <c r="D1498" t="s">
        <v>195</v>
      </c>
      <c r="E1498" t="s">
        <v>196</v>
      </c>
      <c r="F1498">
        <v>83</v>
      </c>
      <c r="G1498" t="s">
        <v>24</v>
      </c>
      <c r="H1498" t="s">
        <v>3298</v>
      </c>
      <c r="I1498">
        <f>353-22-12-3456</f>
        <v>-3137</v>
      </c>
      <c r="J1498" s="1">
        <v>44338</v>
      </c>
      <c r="K1498" s="1">
        <v>45300</v>
      </c>
      <c r="L1498">
        <v>149200.4</v>
      </c>
      <c r="M1498">
        <v>104000.6</v>
      </c>
      <c r="N1498">
        <v>670</v>
      </c>
      <c r="O1498">
        <v>191000</v>
      </c>
      <c r="P1498" t="s">
        <v>76</v>
      </c>
      <c r="Q1498" t="s">
        <v>27</v>
      </c>
      <c r="R1498">
        <v>0</v>
      </c>
      <c r="S1498" t="s">
        <v>28</v>
      </c>
    </row>
    <row r="1499" spans="1:19">
      <c r="A1499" t="s">
        <v>539</v>
      </c>
      <c r="B1499" t="s">
        <v>3299</v>
      </c>
      <c r="C1499" t="s">
        <v>21</v>
      </c>
      <c r="D1499" t="s">
        <v>58</v>
      </c>
      <c r="E1499" t="s">
        <v>59</v>
      </c>
      <c r="F1499">
        <v>91</v>
      </c>
      <c r="G1499" t="s">
        <v>34</v>
      </c>
      <c r="H1499" t="s">
        <v>3300</v>
      </c>
      <c r="I1499">
        <f>86-139-9012-3456</f>
        <v>-12521</v>
      </c>
      <c r="J1499" s="1">
        <v>43912</v>
      </c>
      <c r="K1499" s="1">
        <v>45299</v>
      </c>
      <c r="L1499">
        <v>316100.75</v>
      </c>
      <c r="M1499">
        <v>121000.8</v>
      </c>
      <c r="N1499">
        <v>835</v>
      </c>
      <c r="O1499">
        <v>336000</v>
      </c>
      <c r="P1499" t="s">
        <v>36</v>
      </c>
      <c r="Q1499" t="s">
        <v>27</v>
      </c>
      <c r="R1499">
        <v>0</v>
      </c>
      <c r="S1499" t="s">
        <v>28</v>
      </c>
    </row>
    <row r="1500" spans="1:19">
      <c r="A1500" t="s">
        <v>542</v>
      </c>
      <c r="B1500" t="s">
        <v>3301</v>
      </c>
      <c r="C1500" t="s">
        <v>52</v>
      </c>
      <c r="D1500" t="s">
        <v>68</v>
      </c>
      <c r="E1500" t="s">
        <v>69</v>
      </c>
      <c r="F1500">
        <v>78</v>
      </c>
      <c r="G1500" t="s">
        <v>34</v>
      </c>
      <c r="H1500" t="s">
        <v>3302</v>
      </c>
      <c r="I1500">
        <f>234-850-123-4567</f>
        <v>-5306</v>
      </c>
      <c r="J1500" s="1">
        <v>44856</v>
      </c>
      <c r="K1500" s="1">
        <v>45302</v>
      </c>
      <c r="L1500">
        <v>91900.6</v>
      </c>
      <c r="M1500">
        <v>61900.25</v>
      </c>
      <c r="N1500">
        <v>665</v>
      </c>
      <c r="O1500">
        <v>144000</v>
      </c>
      <c r="P1500" t="s">
        <v>26</v>
      </c>
      <c r="Q1500" t="s">
        <v>27</v>
      </c>
      <c r="R1500">
        <v>0</v>
      </c>
      <c r="S1500" t="s">
        <v>28</v>
      </c>
    </row>
    <row r="1501" spans="1:19">
      <c r="A1501" t="s">
        <v>545</v>
      </c>
      <c r="B1501" t="s">
        <v>3303</v>
      </c>
      <c r="C1501" t="s">
        <v>46</v>
      </c>
      <c r="D1501" t="s">
        <v>241</v>
      </c>
      <c r="E1501" t="s">
        <v>242</v>
      </c>
      <c r="F1501">
        <v>70</v>
      </c>
      <c r="G1501" t="s">
        <v>24</v>
      </c>
      <c r="H1501" t="s">
        <v>3304</v>
      </c>
      <c r="I1501">
        <f>39-384-890-1234</f>
        <v>-2469</v>
      </c>
      <c r="J1501" s="1">
        <v>45495</v>
      </c>
      <c r="K1501" s="1">
        <v>45303</v>
      </c>
      <c r="L1501">
        <v>115200.8</v>
      </c>
      <c r="M1501">
        <v>69400.399999999994</v>
      </c>
      <c r="N1501">
        <v>750</v>
      </c>
      <c r="O1501">
        <v>170000</v>
      </c>
      <c r="P1501" t="s">
        <v>26</v>
      </c>
      <c r="Q1501" t="s">
        <v>27</v>
      </c>
      <c r="R1501">
        <v>0</v>
      </c>
      <c r="S1501" t="s">
        <v>28</v>
      </c>
    </row>
    <row r="1502" spans="1:19">
      <c r="A1502" t="s">
        <v>548</v>
      </c>
      <c r="B1502" t="s">
        <v>3305</v>
      </c>
      <c r="C1502" t="s">
        <v>57</v>
      </c>
      <c r="D1502" t="s">
        <v>22</v>
      </c>
      <c r="E1502" t="s">
        <v>118</v>
      </c>
      <c r="F1502">
        <v>66</v>
      </c>
      <c r="G1502" t="s">
        <v>34</v>
      </c>
      <c r="H1502" t="s">
        <v>3306</v>
      </c>
      <c r="I1502">
        <f>1-310-555-194</f>
        <v>-1058</v>
      </c>
      <c r="J1502" s="1">
        <v>45679</v>
      </c>
      <c r="K1502" s="1">
        <v>45305</v>
      </c>
      <c r="L1502">
        <v>54100.9</v>
      </c>
      <c r="M1502">
        <v>20800.75</v>
      </c>
      <c r="N1502">
        <v>770</v>
      </c>
      <c r="O1502">
        <v>101000</v>
      </c>
      <c r="P1502" t="s">
        <v>36</v>
      </c>
      <c r="Q1502" t="s">
        <v>27</v>
      </c>
      <c r="R1502">
        <v>0</v>
      </c>
      <c r="S1502" t="s">
        <v>28</v>
      </c>
    </row>
    <row r="1503" spans="1:19">
      <c r="A1503" t="s">
        <v>551</v>
      </c>
      <c r="B1503" t="s">
        <v>3307</v>
      </c>
      <c r="C1503" t="s">
        <v>39</v>
      </c>
      <c r="D1503" t="s">
        <v>313</v>
      </c>
      <c r="E1503" t="s">
        <v>314</v>
      </c>
      <c r="F1503">
        <v>89</v>
      </c>
      <c r="G1503" t="s">
        <v>24</v>
      </c>
      <c r="H1503" t="s">
        <v>3308</v>
      </c>
      <c r="I1503">
        <f>92-336-2109876</f>
        <v>-2110120</v>
      </c>
      <c r="J1503" s="1">
        <v>44096</v>
      </c>
      <c r="K1503" s="1">
        <v>45299</v>
      </c>
      <c r="L1503">
        <v>202300.25</v>
      </c>
      <c r="M1503">
        <v>125000.8</v>
      </c>
      <c r="N1503">
        <v>645</v>
      </c>
      <c r="O1503">
        <v>241000</v>
      </c>
      <c r="P1503" t="s">
        <v>76</v>
      </c>
      <c r="Q1503" t="s">
        <v>27</v>
      </c>
      <c r="R1503">
        <v>0</v>
      </c>
      <c r="S1503" t="s">
        <v>28</v>
      </c>
    </row>
    <row r="1504" spans="1:19">
      <c r="A1504" t="s">
        <v>554</v>
      </c>
      <c r="B1504" t="s">
        <v>3309</v>
      </c>
      <c r="C1504" t="s">
        <v>31</v>
      </c>
      <c r="D1504" t="s">
        <v>214</v>
      </c>
      <c r="E1504" t="s">
        <v>724</v>
      </c>
      <c r="F1504">
        <v>62</v>
      </c>
      <c r="G1504" t="s">
        <v>34</v>
      </c>
      <c r="H1504" t="s">
        <v>3310</v>
      </c>
      <c r="I1504">
        <f>34-659-12-345</f>
        <v>-982</v>
      </c>
      <c r="J1504" s="1">
        <v>45700</v>
      </c>
      <c r="K1504" s="1">
        <v>45306</v>
      </c>
      <c r="L1504">
        <v>46200.5</v>
      </c>
      <c r="M1504">
        <v>20400.400000000001</v>
      </c>
      <c r="N1504">
        <v>720</v>
      </c>
      <c r="O1504">
        <v>78000</v>
      </c>
      <c r="P1504" t="s">
        <v>36</v>
      </c>
      <c r="Q1504" t="s">
        <v>27</v>
      </c>
      <c r="R1504">
        <v>0</v>
      </c>
      <c r="S1504" t="s">
        <v>28</v>
      </c>
    </row>
    <row r="1505" spans="1:19">
      <c r="A1505" t="s">
        <v>108</v>
      </c>
      <c r="B1505" t="s">
        <v>3311</v>
      </c>
      <c r="C1505" t="s">
        <v>84</v>
      </c>
      <c r="D1505" t="s">
        <v>32</v>
      </c>
      <c r="E1505" t="s">
        <v>33</v>
      </c>
      <c r="F1505">
        <v>58</v>
      </c>
      <c r="G1505" t="s">
        <v>24</v>
      </c>
      <c r="H1505" t="s">
        <v>3312</v>
      </c>
      <c r="I1505">
        <f>81-90-5678-9012</f>
        <v>-14699</v>
      </c>
      <c r="J1505" s="1">
        <v>45703</v>
      </c>
      <c r="K1505" s="1">
        <v>45304</v>
      </c>
      <c r="L1505">
        <v>5450.8</v>
      </c>
      <c r="M1505">
        <v>15800.25</v>
      </c>
      <c r="N1505">
        <v>605</v>
      </c>
      <c r="O1505">
        <v>54000</v>
      </c>
      <c r="P1505" t="s">
        <v>76</v>
      </c>
      <c r="Q1505" t="s">
        <v>43</v>
      </c>
      <c r="R1505">
        <v>0</v>
      </c>
      <c r="S1505" t="s">
        <v>28</v>
      </c>
    </row>
    <row r="1506" spans="1:19">
      <c r="A1506" t="s">
        <v>559</v>
      </c>
      <c r="B1506" t="s">
        <v>3313</v>
      </c>
      <c r="C1506" t="s">
        <v>46</v>
      </c>
      <c r="D1506" t="s">
        <v>254</v>
      </c>
      <c r="E1506" t="s">
        <v>255</v>
      </c>
      <c r="F1506">
        <v>72</v>
      </c>
      <c r="G1506" t="s">
        <v>34</v>
      </c>
      <c r="H1506" t="s">
        <v>3314</v>
      </c>
      <c r="I1506">
        <f>221-14-890-1234</f>
        <v>-1917</v>
      </c>
      <c r="J1506" s="1">
        <v>45373</v>
      </c>
      <c r="K1506" s="1">
        <v>45302</v>
      </c>
      <c r="L1506">
        <v>101900.4</v>
      </c>
      <c r="M1506">
        <v>64100.75</v>
      </c>
      <c r="N1506">
        <v>710</v>
      </c>
      <c r="O1506">
        <v>152000</v>
      </c>
      <c r="P1506" t="s">
        <v>26</v>
      </c>
      <c r="Q1506" t="s">
        <v>27</v>
      </c>
      <c r="R1506">
        <v>0</v>
      </c>
      <c r="S1506" t="s">
        <v>28</v>
      </c>
    </row>
    <row r="1507" spans="1:19">
      <c r="A1507" t="s">
        <v>562</v>
      </c>
      <c r="B1507" t="s">
        <v>3315</v>
      </c>
      <c r="C1507" t="s">
        <v>39</v>
      </c>
      <c r="D1507" t="s">
        <v>47</v>
      </c>
      <c r="E1507" t="s">
        <v>98</v>
      </c>
      <c r="F1507">
        <v>86</v>
      </c>
      <c r="G1507" t="s">
        <v>24</v>
      </c>
      <c r="H1507" t="s">
        <v>3316</v>
      </c>
      <c r="I1507">
        <f>44-79-1234-5678</f>
        <v>-6947</v>
      </c>
      <c r="J1507" s="1">
        <v>44249</v>
      </c>
      <c r="K1507" s="1">
        <v>45300</v>
      </c>
      <c r="L1507">
        <v>182500.6</v>
      </c>
      <c r="M1507">
        <v>118000.25</v>
      </c>
      <c r="N1507">
        <v>675</v>
      </c>
      <c r="O1507">
        <v>221000</v>
      </c>
      <c r="P1507" t="s">
        <v>76</v>
      </c>
      <c r="Q1507" t="s">
        <v>27</v>
      </c>
      <c r="R1507">
        <v>0</v>
      </c>
      <c r="S1507" t="s">
        <v>28</v>
      </c>
    </row>
    <row r="1508" spans="1:19">
      <c r="A1508" t="s">
        <v>565</v>
      </c>
      <c r="B1508" t="s">
        <v>3317</v>
      </c>
      <c r="C1508" t="s">
        <v>52</v>
      </c>
      <c r="D1508" t="s">
        <v>233</v>
      </c>
      <c r="E1508" t="s">
        <v>234</v>
      </c>
      <c r="F1508">
        <v>71</v>
      </c>
      <c r="G1508" t="s">
        <v>34</v>
      </c>
      <c r="H1508" t="s">
        <v>3318</v>
      </c>
      <c r="I1508">
        <f>82-10-123-4567</f>
        <v>-4618</v>
      </c>
      <c r="J1508" s="1">
        <v>45160</v>
      </c>
      <c r="K1508" s="1">
        <v>45301</v>
      </c>
      <c r="L1508">
        <v>78300.75</v>
      </c>
      <c r="M1508">
        <v>55200.800000000003</v>
      </c>
      <c r="N1508">
        <v>725</v>
      </c>
      <c r="O1508">
        <v>118000</v>
      </c>
      <c r="P1508" t="s">
        <v>26</v>
      </c>
      <c r="Q1508" t="s">
        <v>27</v>
      </c>
      <c r="R1508">
        <v>0</v>
      </c>
      <c r="S1508" t="s">
        <v>28</v>
      </c>
    </row>
    <row r="1509" spans="1:19">
      <c r="A1509" t="s">
        <v>568</v>
      </c>
      <c r="B1509" t="s">
        <v>3319</v>
      </c>
      <c r="C1509" t="s">
        <v>57</v>
      </c>
      <c r="D1509" t="s">
        <v>79</v>
      </c>
      <c r="E1509" t="s">
        <v>80</v>
      </c>
      <c r="F1509">
        <v>69</v>
      </c>
      <c r="G1509" t="s">
        <v>24</v>
      </c>
      <c r="H1509" t="s">
        <v>3320</v>
      </c>
      <c r="I1509">
        <f>971-50-234-5678</f>
        <v>-4991</v>
      </c>
      <c r="J1509" s="1">
        <v>45618</v>
      </c>
      <c r="K1509" s="1">
        <v>45303</v>
      </c>
      <c r="L1509">
        <v>56300.4</v>
      </c>
      <c r="M1509">
        <v>21600.9</v>
      </c>
      <c r="N1509">
        <v>740</v>
      </c>
      <c r="O1509">
        <v>104000</v>
      </c>
      <c r="P1509" t="s">
        <v>36</v>
      </c>
      <c r="Q1509" t="s">
        <v>27</v>
      </c>
      <c r="R1509">
        <v>0</v>
      </c>
      <c r="S1509" t="s">
        <v>28</v>
      </c>
    </row>
    <row r="1510" spans="1:19">
      <c r="A1510" t="s">
        <v>571</v>
      </c>
      <c r="B1510" t="s">
        <v>3321</v>
      </c>
      <c r="C1510" t="s">
        <v>21</v>
      </c>
      <c r="D1510" t="s">
        <v>63</v>
      </c>
      <c r="E1510" t="s">
        <v>64</v>
      </c>
      <c r="F1510">
        <v>92</v>
      </c>
      <c r="G1510" t="s">
        <v>34</v>
      </c>
      <c r="H1510" t="s">
        <v>3322</v>
      </c>
      <c r="I1510">
        <f>55-11-99934-5678</f>
        <v>-105568</v>
      </c>
      <c r="J1510" s="1">
        <v>43791</v>
      </c>
      <c r="K1510" s="1">
        <v>45299</v>
      </c>
      <c r="L1510">
        <v>271400.90000000002</v>
      </c>
      <c r="M1510">
        <v>108000.6</v>
      </c>
      <c r="N1510">
        <v>830</v>
      </c>
      <c r="O1510">
        <v>316000</v>
      </c>
      <c r="P1510" t="s">
        <v>36</v>
      </c>
      <c r="Q1510" t="s">
        <v>27</v>
      </c>
      <c r="R1510">
        <v>0</v>
      </c>
      <c r="S1510" t="s">
        <v>28</v>
      </c>
    </row>
    <row r="1511" spans="1:19">
      <c r="A1511" t="s">
        <v>574</v>
      </c>
      <c r="B1511" t="s">
        <v>3323</v>
      </c>
      <c r="C1511" t="s">
        <v>39</v>
      </c>
      <c r="D1511" t="s">
        <v>68</v>
      </c>
      <c r="E1511" t="s">
        <v>114</v>
      </c>
      <c r="F1511">
        <v>84</v>
      </c>
      <c r="G1511" t="s">
        <v>24</v>
      </c>
      <c r="H1511" t="s">
        <v>3324</v>
      </c>
      <c r="I1511">
        <f>234-851-234-5678</f>
        <v>-6529</v>
      </c>
      <c r="J1511" s="1">
        <v>44389</v>
      </c>
      <c r="K1511" s="1">
        <v>45300</v>
      </c>
      <c r="L1511">
        <v>160300.25</v>
      </c>
      <c r="M1511">
        <v>110000.4</v>
      </c>
      <c r="N1511">
        <v>655</v>
      </c>
      <c r="O1511">
        <v>206000</v>
      </c>
      <c r="P1511" t="s">
        <v>76</v>
      </c>
      <c r="Q1511" t="s">
        <v>27</v>
      </c>
      <c r="R1511">
        <v>0</v>
      </c>
      <c r="S1511" t="s">
        <v>28</v>
      </c>
    </row>
    <row r="1512" spans="1:19">
      <c r="A1512" t="s">
        <v>577</v>
      </c>
      <c r="B1512" t="s">
        <v>3325</v>
      </c>
      <c r="C1512" t="s">
        <v>46</v>
      </c>
      <c r="D1512" t="s">
        <v>85</v>
      </c>
      <c r="E1512" t="s">
        <v>162</v>
      </c>
      <c r="F1512">
        <v>73</v>
      </c>
      <c r="G1512" t="s">
        <v>34</v>
      </c>
      <c r="H1512" t="s">
        <v>3326</v>
      </c>
      <c r="I1512">
        <f>1-514-555-194</f>
        <v>-1262</v>
      </c>
      <c r="J1512" s="1">
        <v>45282</v>
      </c>
      <c r="K1512" s="1">
        <v>45302</v>
      </c>
      <c r="L1512">
        <v>120800.6</v>
      </c>
      <c r="M1512">
        <v>72100.75</v>
      </c>
      <c r="N1512">
        <v>760</v>
      </c>
      <c r="O1512">
        <v>175000</v>
      </c>
      <c r="P1512" t="s">
        <v>26</v>
      </c>
      <c r="Q1512" t="s">
        <v>27</v>
      </c>
      <c r="R1512">
        <v>0</v>
      </c>
      <c r="S1512" t="s">
        <v>28</v>
      </c>
    </row>
    <row r="1513" spans="1:19">
      <c r="A1513" t="s">
        <v>458</v>
      </c>
      <c r="B1513" t="s">
        <v>3327</v>
      </c>
      <c r="C1513" t="s">
        <v>31</v>
      </c>
      <c r="D1513" t="s">
        <v>460</v>
      </c>
      <c r="E1513" t="s">
        <v>663</v>
      </c>
      <c r="F1513">
        <v>64</v>
      </c>
      <c r="G1513" t="s">
        <v>24</v>
      </c>
      <c r="H1513" t="s">
        <v>3328</v>
      </c>
      <c r="I1513">
        <f>62-848-9012-3456</f>
        <v>-13254</v>
      </c>
      <c r="J1513" s="1">
        <v>45696</v>
      </c>
      <c r="K1513" s="1">
        <v>45306</v>
      </c>
      <c r="L1513">
        <v>26400.25</v>
      </c>
      <c r="M1513">
        <v>15700.8</v>
      </c>
      <c r="N1513">
        <v>695</v>
      </c>
      <c r="O1513">
        <v>75000</v>
      </c>
      <c r="P1513" t="s">
        <v>26</v>
      </c>
      <c r="Q1513" t="s">
        <v>43</v>
      </c>
      <c r="R1513">
        <v>0</v>
      </c>
      <c r="S1513" t="s">
        <v>28</v>
      </c>
    </row>
    <row r="1514" spans="1:19">
      <c r="A1514" t="s">
        <v>582</v>
      </c>
      <c r="B1514" t="s">
        <v>3329</v>
      </c>
      <c r="C1514" t="s">
        <v>57</v>
      </c>
      <c r="D1514" t="s">
        <v>22</v>
      </c>
      <c r="E1514" t="s">
        <v>53</v>
      </c>
      <c r="F1514">
        <v>67</v>
      </c>
      <c r="G1514" t="s">
        <v>34</v>
      </c>
      <c r="H1514" t="s">
        <v>3330</v>
      </c>
      <c r="I1514">
        <f>1-773-555-198</f>
        <v>-1525</v>
      </c>
      <c r="J1514" s="1">
        <v>45557</v>
      </c>
      <c r="K1514" s="1">
        <v>45303</v>
      </c>
      <c r="L1514">
        <v>55200.9</v>
      </c>
      <c r="M1514">
        <v>21200.25</v>
      </c>
      <c r="N1514">
        <v>755</v>
      </c>
      <c r="O1514">
        <v>97000</v>
      </c>
      <c r="P1514" t="s">
        <v>36</v>
      </c>
      <c r="Q1514" t="s">
        <v>27</v>
      </c>
      <c r="R1514">
        <v>0</v>
      </c>
      <c r="S1514" t="s">
        <v>28</v>
      </c>
    </row>
    <row r="1515" spans="1:19">
      <c r="A1515" t="s">
        <v>55</v>
      </c>
      <c r="B1515" t="s">
        <v>3331</v>
      </c>
      <c r="C1515" t="s">
        <v>39</v>
      </c>
      <c r="D1515" t="s">
        <v>58</v>
      </c>
      <c r="E1515" t="s">
        <v>122</v>
      </c>
      <c r="F1515">
        <v>85</v>
      </c>
      <c r="G1515" t="s">
        <v>24</v>
      </c>
      <c r="H1515" t="s">
        <v>3332</v>
      </c>
      <c r="I1515">
        <f>86-138-3456-7890</f>
        <v>-11398</v>
      </c>
      <c r="J1515" s="1">
        <v>44308</v>
      </c>
      <c r="K1515" s="1">
        <v>45300</v>
      </c>
      <c r="L1515">
        <v>193200.4</v>
      </c>
      <c r="M1515">
        <v>123000.75</v>
      </c>
      <c r="N1515">
        <v>685</v>
      </c>
      <c r="O1515">
        <v>231000</v>
      </c>
      <c r="P1515" t="s">
        <v>76</v>
      </c>
      <c r="Q1515" t="s">
        <v>27</v>
      </c>
      <c r="R1515">
        <v>0</v>
      </c>
      <c r="S1515" t="s">
        <v>28</v>
      </c>
    </row>
    <row r="1516" spans="1:19">
      <c r="A1516" t="s">
        <v>469</v>
      </c>
      <c r="B1516" t="s">
        <v>3333</v>
      </c>
      <c r="C1516" t="s">
        <v>52</v>
      </c>
      <c r="D1516" t="s">
        <v>471</v>
      </c>
      <c r="E1516" t="s">
        <v>472</v>
      </c>
      <c r="F1516">
        <v>76</v>
      </c>
      <c r="G1516" t="s">
        <v>34</v>
      </c>
      <c r="H1516" t="s">
        <v>3334</v>
      </c>
      <c r="I1516">
        <f>48-736-890-123</f>
        <v>-1701</v>
      </c>
      <c r="J1516" s="1">
        <v>44948</v>
      </c>
      <c r="K1516" s="1">
        <v>45301</v>
      </c>
      <c r="L1516">
        <v>85200.8</v>
      </c>
      <c r="M1516">
        <v>58300.6</v>
      </c>
      <c r="N1516">
        <v>715</v>
      </c>
      <c r="O1516">
        <v>130000</v>
      </c>
      <c r="P1516" t="s">
        <v>26</v>
      </c>
      <c r="Q1516" t="s">
        <v>27</v>
      </c>
      <c r="R1516">
        <v>0</v>
      </c>
      <c r="S1516" t="s">
        <v>28</v>
      </c>
    </row>
    <row r="1517" spans="1:19">
      <c r="A1517" t="s">
        <v>474</v>
      </c>
      <c r="B1517" t="s">
        <v>3335</v>
      </c>
      <c r="C1517" t="s">
        <v>46</v>
      </c>
      <c r="D1517" t="s">
        <v>345</v>
      </c>
      <c r="E1517" t="s">
        <v>476</v>
      </c>
      <c r="F1517">
        <v>79</v>
      </c>
      <c r="G1517" t="s">
        <v>24</v>
      </c>
      <c r="H1517" t="s">
        <v>3336</v>
      </c>
      <c r="I1517">
        <f>880-1812-12345</f>
        <v>-13277</v>
      </c>
      <c r="J1517" s="1">
        <v>44856</v>
      </c>
      <c r="K1517" s="1">
        <v>45302</v>
      </c>
      <c r="L1517">
        <v>113000.25</v>
      </c>
      <c r="M1517">
        <v>68300.399999999994</v>
      </c>
      <c r="N1517">
        <v>680</v>
      </c>
      <c r="O1517">
        <v>159000</v>
      </c>
      <c r="P1517" t="s">
        <v>26</v>
      </c>
      <c r="Q1517" t="s">
        <v>27</v>
      </c>
      <c r="R1517">
        <v>0</v>
      </c>
      <c r="S1517" t="s">
        <v>28</v>
      </c>
    </row>
    <row r="1518" spans="1:19">
      <c r="A1518" t="s">
        <v>592</v>
      </c>
      <c r="B1518" t="s">
        <v>3337</v>
      </c>
      <c r="C1518" t="s">
        <v>84</v>
      </c>
      <c r="D1518" t="s">
        <v>32</v>
      </c>
      <c r="E1518" t="s">
        <v>90</v>
      </c>
      <c r="F1518">
        <v>59</v>
      </c>
      <c r="G1518" t="s">
        <v>34</v>
      </c>
      <c r="H1518" t="s">
        <v>3338</v>
      </c>
      <c r="I1518">
        <f>81-90-6789-123</f>
        <v>-6921</v>
      </c>
      <c r="J1518" s="1">
        <v>45710</v>
      </c>
      <c r="K1518" s="1">
        <v>45304</v>
      </c>
      <c r="L1518">
        <v>5550.4</v>
      </c>
      <c r="M1518">
        <v>16400.75</v>
      </c>
      <c r="N1518">
        <v>610</v>
      </c>
      <c r="O1518">
        <v>55000</v>
      </c>
      <c r="P1518" t="s">
        <v>76</v>
      </c>
      <c r="Q1518" t="s">
        <v>43</v>
      </c>
      <c r="R1518">
        <v>0</v>
      </c>
      <c r="S1518" t="s">
        <v>28</v>
      </c>
    </row>
    <row r="1519" spans="1:19">
      <c r="A1519" t="s">
        <v>595</v>
      </c>
      <c r="B1519" t="s">
        <v>3339</v>
      </c>
      <c r="C1519" t="s">
        <v>21</v>
      </c>
      <c r="D1519" t="s">
        <v>209</v>
      </c>
      <c r="E1519" t="s">
        <v>210</v>
      </c>
      <c r="F1519">
        <v>91</v>
      </c>
      <c r="G1519" t="s">
        <v>24</v>
      </c>
      <c r="H1519" t="s">
        <v>3340</v>
      </c>
      <c r="I1519">
        <f>52-55-123-123</f>
        <v>-249</v>
      </c>
      <c r="J1519" s="1">
        <v>44004</v>
      </c>
      <c r="K1519" s="1">
        <v>45299</v>
      </c>
      <c r="L1519">
        <v>291200.8</v>
      </c>
      <c r="M1519">
        <v>114000.25</v>
      </c>
      <c r="N1519">
        <v>825</v>
      </c>
      <c r="O1519">
        <v>311000</v>
      </c>
      <c r="P1519" t="s">
        <v>36</v>
      </c>
      <c r="Q1519" t="s">
        <v>27</v>
      </c>
      <c r="R1519">
        <v>0</v>
      </c>
      <c r="S1519" t="s">
        <v>28</v>
      </c>
    </row>
    <row r="1520" spans="1:19">
      <c r="A1520" t="s">
        <v>226</v>
      </c>
      <c r="B1520" t="s">
        <v>3341</v>
      </c>
      <c r="C1520" t="s">
        <v>57</v>
      </c>
      <c r="D1520" t="s">
        <v>228</v>
      </c>
      <c r="E1520" t="s">
        <v>229</v>
      </c>
      <c r="F1520">
        <v>66</v>
      </c>
      <c r="G1520" t="s">
        <v>34</v>
      </c>
      <c r="H1520" t="s">
        <v>3342</v>
      </c>
      <c r="I1520">
        <f>254-760-123-456</f>
        <v>-1085</v>
      </c>
      <c r="J1520" s="1">
        <v>45738</v>
      </c>
      <c r="K1520" s="1">
        <v>45305</v>
      </c>
      <c r="L1520">
        <v>51900.75</v>
      </c>
      <c r="M1520">
        <v>19600.400000000001</v>
      </c>
      <c r="N1520">
        <v>725</v>
      </c>
      <c r="O1520">
        <v>87000</v>
      </c>
      <c r="P1520" t="s">
        <v>36</v>
      </c>
      <c r="Q1520" t="s">
        <v>27</v>
      </c>
      <c r="R1520">
        <v>0</v>
      </c>
      <c r="S1520" t="s">
        <v>28</v>
      </c>
    </row>
    <row r="1521" spans="1:19">
      <c r="A1521" t="s">
        <v>488</v>
      </c>
      <c r="B1521" t="s">
        <v>3343</v>
      </c>
      <c r="C1521" t="s">
        <v>39</v>
      </c>
      <c r="D1521" t="s">
        <v>304</v>
      </c>
      <c r="E1521" t="s">
        <v>304</v>
      </c>
      <c r="F1521">
        <v>83</v>
      </c>
      <c r="G1521" t="s">
        <v>24</v>
      </c>
      <c r="H1521" t="s">
        <v>3344</v>
      </c>
      <c r="I1521">
        <f>65-1990-1234</f>
        <v>-3159</v>
      </c>
      <c r="J1521" s="1">
        <v>44481</v>
      </c>
      <c r="K1521" s="1">
        <v>45300</v>
      </c>
      <c r="L1521">
        <v>171400.6</v>
      </c>
      <c r="M1521">
        <v>114000.9</v>
      </c>
      <c r="N1521">
        <v>675</v>
      </c>
      <c r="O1521">
        <v>211000</v>
      </c>
      <c r="P1521" t="s">
        <v>76</v>
      </c>
      <c r="Q1521" t="s">
        <v>27</v>
      </c>
      <c r="R1521">
        <v>0</v>
      </c>
      <c r="S1521" t="s">
        <v>28</v>
      </c>
    </row>
    <row r="1522" spans="1:19">
      <c r="A1522" t="s">
        <v>491</v>
      </c>
      <c r="B1522" t="s">
        <v>3345</v>
      </c>
      <c r="C1522" t="s">
        <v>52</v>
      </c>
      <c r="D1522" t="s">
        <v>493</v>
      </c>
      <c r="E1522" t="s">
        <v>494</v>
      </c>
      <c r="F1522">
        <v>74</v>
      </c>
      <c r="G1522" t="s">
        <v>34</v>
      </c>
      <c r="H1522" t="s">
        <v>3346</v>
      </c>
      <c r="I1522">
        <f>30-728-901-2345</f>
        <v>-3944</v>
      </c>
      <c r="J1522" s="1">
        <v>45252</v>
      </c>
      <c r="K1522" s="1">
        <v>45302</v>
      </c>
      <c r="L1522">
        <v>79400.399999999994</v>
      </c>
      <c r="M1522">
        <v>54100.25</v>
      </c>
      <c r="N1522">
        <v>705</v>
      </c>
      <c r="O1522">
        <v>119000</v>
      </c>
      <c r="P1522" t="s">
        <v>26</v>
      </c>
      <c r="Q1522" t="s">
        <v>27</v>
      </c>
      <c r="R1522">
        <v>0</v>
      </c>
      <c r="S1522" t="s">
        <v>28</v>
      </c>
    </row>
    <row r="1523" spans="1:19">
      <c r="A1523" t="s">
        <v>496</v>
      </c>
      <c r="B1523" t="s">
        <v>3347</v>
      </c>
      <c r="C1523" t="s">
        <v>46</v>
      </c>
      <c r="D1523" t="s">
        <v>321</v>
      </c>
      <c r="E1523" t="s">
        <v>322</v>
      </c>
      <c r="F1523">
        <v>77</v>
      </c>
      <c r="G1523" t="s">
        <v>24</v>
      </c>
      <c r="H1523" t="s">
        <v>3348</v>
      </c>
      <c r="I1523">
        <f>61-460-123-456</f>
        <v>-978</v>
      </c>
      <c r="J1523" s="1">
        <v>44734</v>
      </c>
      <c r="K1523" s="1">
        <v>45301</v>
      </c>
      <c r="L1523">
        <v>124100.75</v>
      </c>
      <c r="M1523">
        <v>75200.800000000003</v>
      </c>
      <c r="N1523">
        <v>730</v>
      </c>
      <c r="O1523">
        <v>185000</v>
      </c>
      <c r="P1523" t="s">
        <v>26</v>
      </c>
      <c r="Q1523" t="s">
        <v>27</v>
      </c>
      <c r="R1523">
        <v>0</v>
      </c>
      <c r="S1523" t="s">
        <v>28</v>
      </c>
    </row>
    <row r="1524" spans="1:19">
      <c r="A1524" t="s">
        <v>324</v>
      </c>
      <c r="B1524" t="s">
        <v>3349</v>
      </c>
      <c r="C1524" t="s">
        <v>31</v>
      </c>
      <c r="D1524" t="s">
        <v>313</v>
      </c>
      <c r="E1524" t="s">
        <v>385</v>
      </c>
      <c r="F1524">
        <v>62</v>
      </c>
      <c r="G1524" t="s">
        <v>34</v>
      </c>
      <c r="H1524" t="s">
        <v>3350</v>
      </c>
      <c r="I1524">
        <f>92-358-1098765</f>
        <v>-1099031</v>
      </c>
      <c r="J1524" s="1">
        <v>45703</v>
      </c>
      <c r="K1524" s="1">
        <v>45306</v>
      </c>
      <c r="L1524">
        <v>22200.9</v>
      </c>
      <c r="M1524">
        <v>12500.75</v>
      </c>
      <c r="N1524">
        <v>685</v>
      </c>
      <c r="O1524">
        <v>72000</v>
      </c>
      <c r="P1524" t="s">
        <v>26</v>
      </c>
      <c r="Q1524" t="s">
        <v>43</v>
      </c>
      <c r="R1524">
        <v>0</v>
      </c>
      <c r="S1524" t="s">
        <v>28</v>
      </c>
    </row>
    <row r="1525" spans="1:19">
      <c r="A1525" t="s">
        <v>503</v>
      </c>
      <c r="B1525" t="s">
        <v>3351</v>
      </c>
      <c r="C1525" t="s">
        <v>21</v>
      </c>
      <c r="D1525" t="s">
        <v>32</v>
      </c>
      <c r="E1525" t="s">
        <v>33</v>
      </c>
      <c r="F1525">
        <v>94</v>
      </c>
      <c r="G1525" t="s">
        <v>24</v>
      </c>
      <c r="H1525" t="s">
        <v>3352</v>
      </c>
      <c r="I1525">
        <f>81-80-8901-2345</f>
        <v>-11245</v>
      </c>
      <c r="J1525" s="1">
        <v>43730</v>
      </c>
      <c r="K1525" s="1">
        <v>45299</v>
      </c>
      <c r="L1525">
        <v>302100.25</v>
      </c>
      <c r="M1525">
        <v>118000.4</v>
      </c>
      <c r="N1525">
        <v>840</v>
      </c>
      <c r="O1525">
        <v>326000</v>
      </c>
      <c r="P1525" t="s">
        <v>36</v>
      </c>
      <c r="Q1525" t="s">
        <v>27</v>
      </c>
      <c r="R1525">
        <v>0</v>
      </c>
      <c r="S1525" t="s">
        <v>28</v>
      </c>
    </row>
    <row r="1526" spans="1:19">
      <c r="A1526" t="s">
        <v>506</v>
      </c>
      <c r="B1526" t="s">
        <v>3353</v>
      </c>
      <c r="C1526" t="s">
        <v>39</v>
      </c>
      <c r="D1526" t="s">
        <v>68</v>
      </c>
      <c r="E1526" t="s">
        <v>69</v>
      </c>
      <c r="F1526">
        <v>86</v>
      </c>
      <c r="G1526" t="s">
        <v>34</v>
      </c>
      <c r="H1526" t="s">
        <v>3354</v>
      </c>
      <c r="I1526">
        <f>234-850-123-4567</f>
        <v>-5306</v>
      </c>
      <c r="J1526" s="1">
        <v>44249</v>
      </c>
      <c r="K1526" s="1">
        <v>45300</v>
      </c>
      <c r="L1526">
        <v>182500.4</v>
      </c>
      <c r="M1526">
        <v>118000.75</v>
      </c>
      <c r="N1526">
        <v>650</v>
      </c>
      <c r="O1526">
        <v>221000</v>
      </c>
      <c r="P1526" t="s">
        <v>76</v>
      </c>
      <c r="Q1526" t="s">
        <v>27</v>
      </c>
      <c r="R1526">
        <v>0</v>
      </c>
      <c r="S1526" t="s">
        <v>28</v>
      </c>
    </row>
    <row r="1527" spans="1:19">
      <c r="A1527" t="s">
        <v>509</v>
      </c>
      <c r="B1527" t="s">
        <v>3355</v>
      </c>
      <c r="C1527" t="s">
        <v>46</v>
      </c>
      <c r="D1527" t="s">
        <v>73</v>
      </c>
      <c r="E1527" t="s">
        <v>74</v>
      </c>
      <c r="F1527">
        <v>73</v>
      </c>
      <c r="G1527" t="s">
        <v>24</v>
      </c>
      <c r="H1527" t="s">
        <v>3356</v>
      </c>
      <c r="I1527">
        <f>49-212-3456789</f>
        <v>-3456952</v>
      </c>
      <c r="J1527" s="1">
        <v>45465</v>
      </c>
      <c r="K1527" s="1">
        <v>45303</v>
      </c>
      <c r="L1527">
        <v>112900.4</v>
      </c>
      <c r="M1527">
        <v>69400.25</v>
      </c>
      <c r="N1527">
        <v>745</v>
      </c>
      <c r="O1527">
        <v>165000</v>
      </c>
      <c r="P1527" t="s">
        <v>26</v>
      </c>
      <c r="Q1527" t="s">
        <v>27</v>
      </c>
      <c r="R1527">
        <v>0</v>
      </c>
      <c r="S1527" t="s">
        <v>28</v>
      </c>
    </row>
    <row r="1528" spans="1:19">
      <c r="A1528" t="s">
        <v>513</v>
      </c>
      <c r="B1528" t="s">
        <v>3357</v>
      </c>
      <c r="C1528" t="s">
        <v>57</v>
      </c>
      <c r="D1528" t="s">
        <v>58</v>
      </c>
      <c r="E1528" t="s">
        <v>122</v>
      </c>
      <c r="F1528">
        <v>68</v>
      </c>
      <c r="G1528" t="s">
        <v>34</v>
      </c>
      <c r="H1528" t="s">
        <v>3358</v>
      </c>
      <c r="I1528">
        <f>86-137-3456-7890</f>
        <v>-11397</v>
      </c>
      <c r="J1528" s="1">
        <v>45648</v>
      </c>
      <c r="K1528" s="1">
        <v>45302</v>
      </c>
      <c r="L1528">
        <v>54100.800000000003</v>
      </c>
      <c r="M1528">
        <v>20800.900000000001</v>
      </c>
      <c r="N1528">
        <v>765</v>
      </c>
      <c r="O1528">
        <v>97000</v>
      </c>
      <c r="P1528" t="s">
        <v>36</v>
      </c>
      <c r="Q1528" t="s">
        <v>27</v>
      </c>
      <c r="R1528">
        <v>0</v>
      </c>
      <c r="S1528" t="s">
        <v>28</v>
      </c>
    </row>
    <row r="1529" spans="1:19">
      <c r="A1529" t="s">
        <v>516</v>
      </c>
      <c r="B1529" t="s">
        <v>3359</v>
      </c>
      <c r="C1529" t="s">
        <v>52</v>
      </c>
      <c r="D1529" t="s">
        <v>277</v>
      </c>
      <c r="E1529" t="s">
        <v>278</v>
      </c>
      <c r="F1529">
        <v>81</v>
      </c>
      <c r="G1529" t="s">
        <v>24</v>
      </c>
      <c r="H1529" t="s">
        <v>3360</v>
      </c>
      <c r="I1529">
        <f>20-122-210-9876</f>
        <v>-10188</v>
      </c>
      <c r="J1529" s="1">
        <v>44917</v>
      </c>
      <c r="K1529" s="1">
        <v>45301</v>
      </c>
      <c r="L1529">
        <v>87400.75</v>
      </c>
      <c r="M1529">
        <v>60500.4</v>
      </c>
      <c r="N1529">
        <v>675</v>
      </c>
      <c r="O1529">
        <v>137000</v>
      </c>
      <c r="P1529" t="s">
        <v>26</v>
      </c>
      <c r="Q1529" t="s">
        <v>27</v>
      </c>
      <c r="R1529">
        <v>0</v>
      </c>
      <c r="S1529" t="s">
        <v>28</v>
      </c>
    </row>
    <row r="1530" spans="1:19">
      <c r="A1530" t="s">
        <v>519</v>
      </c>
      <c r="B1530" t="s">
        <v>3361</v>
      </c>
      <c r="C1530" t="s">
        <v>84</v>
      </c>
      <c r="D1530" t="s">
        <v>183</v>
      </c>
      <c r="E1530" t="s">
        <v>184</v>
      </c>
      <c r="F1530">
        <v>60</v>
      </c>
      <c r="G1530" t="s">
        <v>34</v>
      </c>
      <c r="H1530" t="s">
        <v>3362</v>
      </c>
      <c r="I1530">
        <f>33-6-123-4567</f>
        <v>-4663</v>
      </c>
      <c r="J1530" s="1">
        <v>45716</v>
      </c>
      <c r="K1530" s="1">
        <v>45304</v>
      </c>
      <c r="L1530">
        <v>5800.25</v>
      </c>
      <c r="M1530">
        <v>17600.599999999999</v>
      </c>
      <c r="N1530">
        <v>615</v>
      </c>
      <c r="O1530">
        <v>57000</v>
      </c>
      <c r="P1530" t="s">
        <v>76</v>
      </c>
      <c r="Q1530" t="s">
        <v>43</v>
      </c>
      <c r="R1530">
        <v>0</v>
      </c>
      <c r="S1530" t="s">
        <v>28</v>
      </c>
    </row>
    <row r="1531" spans="1:19">
      <c r="A1531" t="s">
        <v>522</v>
      </c>
      <c r="B1531" t="s">
        <v>3363</v>
      </c>
      <c r="C1531" t="s">
        <v>39</v>
      </c>
      <c r="D1531" t="s">
        <v>40</v>
      </c>
      <c r="E1531" t="s">
        <v>94</v>
      </c>
      <c r="F1531">
        <v>88</v>
      </c>
      <c r="G1531" t="s">
        <v>24</v>
      </c>
      <c r="H1531" t="s">
        <v>3364</v>
      </c>
      <c r="I1531">
        <f>91-987-654-3210</f>
        <v>-4760</v>
      </c>
      <c r="J1531" s="1">
        <v>44218</v>
      </c>
      <c r="K1531" s="1">
        <v>45299</v>
      </c>
      <c r="L1531">
        <v>217100.79999999999</v>
      </c>
      <c r="M1531">
        <v>131000.25</v>
      </c>
      <c r="N1531">
        <v>660</v>
      </c>
      <c r="O1531">
        <v>256000</v>
      </c>
      <c r="P1531" t="s">
        <v>76</v>
      </c>
      <c r="Q1531" t="s">
        <v>27</v>
      </c>
      <c r="R1531">
        <v>0</v>
      </c>
      <c r="S1531" t="s">
        <v>28</v>
      </c>
    </row>
    <row r="1532" spans="1:19">
      <c r="A1532" t="s">
        <v>306</v>
      </c>
      <c r="B1532" t="s">
        <v>3365</v>
      </c>
      <c r="C1532" t="s">
        <v>46</v>
      </c>
      <c r="D1532" t="s">
        <v>209</v>
      </c>
      <c r="E1532" t="s">
        <v>447</v>
      </c>
      <c r="F1532">
        <v>75</v>
      </c>
      <c r="G1532" t="s">
        <v>34</v>
      </c>
      <c r="H1532" t="s">
        <v>3366</v>
      </c>
      <c r="I1532">
        <f>52-33-1234-123</f>
        <v>-1338</v>
      </c>
      <c r="J1532" s="1">
        <v>45068</v>
      </c>
      <c r="K1532" s="1">
        <v>45302</v>
      </c>
      <c r="L1532">
        <v>108500.9</v>
      </c>
      <c r="M1532">
        <v>66300.75</v>
      </c>
      <c r="N1532">
        <v>730</v>
      </c>
      <c r="O1532">
        <v>160000</v>
      </c>
      <c r="P1532" t="s">
        <v>26</v>
      </c>
      <c r="Q1532" t="s">
        <v>27</v>
      </c>
      <c r="R1532">
        <v>0</v>
      </c>
      <c r="S1532" t="s">
        <v>28</v>
      </c>
    </row>
    <row r="1533" spans="1:19">
      <c r="A1533" t="s">
        <v>527</v>
      </c>
      <c r="B1533" t="s">
        <v>3367</v>
      </c>
      <c r="C1533" t="s">
        <v>31</v>
      </c>
      <c r="D1533" t="s">
        <v>32</v>
      </c>
      <c r="E1533" t="s">
        <v>90</v>
      </c>
      <c r="F1533">
        <v>64</v>
      </c>
      <c r="G1533" t="s">
        <v>34</v>
      </c>
      <c r="H1533" t="s">
        <v>3368</v>
      </c>
      <c r="I1533">
        <f>81-90-6789-123</f>
        <v>-6921</v>
      </c>
      <c r="J1533" s="1">
        <v>45710</v>
      </c>
      <c r="K1533" s="1">
        <v>45305</v>
      </c>
      <c r="L1533">
        <v>23300.400000000001</v>
      </c>
      <c r="M1533">
        <v>12600.25</v>
      </c>
      <c r="N1533">
        <v>705</v>
      </c>
      <c r="O1533">
        <v>74000</v>
      </c>
      <c r="P1533" t="s">
        <v>26</v>
      </c>
      <c r="Q1533" t="s">
        <v>43</v>
      </c>
      <c r="R1533">
        <v>0</v>
      </c>
      <c r="S1533" t="s">
        <v>28</v>
      </c>
    </row>
    <row r="1534" spans="1:19">
      <c r="A1534" t="s">
        <v>530</v>
      </c>
      <c r="B1534" t="s">
        <v>3369</v>
      </c>
      <c r="C1534" t="s">
        <v>57</v>
      </c>
      <c r="D1534" t="s">
        <v>219</v>
      </c>
      <c r="E1534" t="s">
        <v>220</v>
      </c>
      <c r="F1534">
        <v>69</v>
      </c>
      <c r="G1534" t="s">
        <v>24</v>
      </c>
      <c r="H1534" t="s">
        <v>3370</v>
      </c>
      <c r="I1534">
        <f>233-91-234-5678</f>
        <v>-5770</v>
      </c>
      <c r="J1534" s="1">
        <v>45618</v>
      </c>
      <c r="K1534" s="1">
        <v>45303</v>
      </c>
      <c r="L1534">
        <v>53000.6</v>
      </c>
      <c r="M1534">
        <v>20200.8</v>
      </c>
      <c r="N1534">
        <v>710</v>
      </c>
      <c r="O1534">
        <v>90000</v>
      </c>
      <c r="P1534" t="s">
        <v>36</v>
      </c>
      <c r="Q1534" t="s">
        <v>27</v>
      </c>
      <c r="R1534">
        <v>0</v>
      </c>
      <c r="S1534" t="s">
        <v>28</v>
      </c>
    </row>
    <row r="1535" spans="1:19">
      <c r="A1535" t="s">
        <v>533</v>
      </c>
      <c r="B1535" t="s">
        <v>3371</v>
      </c>
      <c r="C1535" t="s">
        <v>52</v>
      </c>
      <c r="D1535" t="s">
        <v>204</v>
      </c>
      <c r="E1535" t="s">
        <v>259</v>
      </c>
      <c r="F1535">
        <v>76</v>
      </c>
      <c r="G1535" t="s">
        <v>34</v>
      </c>
      <c r="H1535" t="s">
        <v>3372</v>
      </c>
      <c r="I1535">
        <f>7-921-987-65-43</f>
        <v>-2009</v>
      </c>
      <c r="J1535" s="1">
        <v>44917</v>
      </c>
      <c r="K1535" s="1">
        <v>45301</v>
      </c>
      <c r="L1535">
        <v>84300.25</v>
      </c>
      <c r="M1535">
        <v>57400.9</v>
      </c>
      <c r="N1535">
        <v>695</v>
      </c>
      <c r="O1535">
        <v>125000</v>
      </c>
      <c r="P1535" t="s">
        <v>26</v>
      </c>
      <c r="Q1535" t="s">
        <v>27</v>
      </c>
      <c r="R1535">
        <v>0</v>
      </c>
      <c r="S1535" t="s">
        <v>28</v>
      </c>
    </row>
    <row r="1536" spans="1:19">
      <c r="A1536" t="s">
        <v>536</v>
      </c>
      <c r="B1536" t="s">
        <v>3373</v>
      </c>
      <c r="C1536" t="s">
        <v>39</v>
      </c>
      <c r="D1536" t="s">
        <v>195</v>
      </c>
      <c r="E1536" t="s">
        <v>300</v>
      </c>
      <c r="F1536">
        <v>84</v>
      </c>
      <c r="G1536" t="s">
        <v>24</v>
      </c>
      <c r="H1536" t="s">
        <v>3374</v>
      </c>
      <c r="I1536">
        <f>353-23-123-4567</f>
        <v>-4360</v>
      </c>
      <c r="J1536" s="1">
        <v>44369</v>
      </c>
      <c r="K1536" s="1">
        <v>45300</v>
      </c>
      <c r="L1536">
        <v>149300.4</v>
      </c>
      <c r="M1536">
        <v>105000.6</v>
      </c>
      <c r="N1536">
        <v>670</v>
      </c>
      <c r="O1536">
        <v>192000</v>
      </c>
      <c r="P1536" t="s">
        <v>76</v>
      </c>
      <c r="Q1536" t="s">
        <v>27</v>
      </c>
      <c r="R1536">
        <v>0</v>
      </c>
      <c r="S1536" t="s">
        <v>28</v>
      </c>
    </row>
    <row r="1537" spans="1:19">
      <c r="A1537" t="s">
        <v>539</v>
      </c>
      <c r="B1537" t="s">
        <v>3375</v>
      </c>
      <c r="C1537" t="s">
        <v>21</v>
      </c>
      <c r="D1537" t="s">
        <v>58</v>
      </c>
      <c r="E1537" t="s">
        <v>59</v>
      </c>
      <c r="F1537">
        <v>92</v>
      </c>
      <c r="G1537" t="s">
        <v>34</v>
      </c>
      <c r="H1537" t="s">
        <v>3376</v>
      </c>
      <c r="I1537">
        <f>86-139-123-4567</f>
        <v>-4743</v>
      </c>
      <c r="J1537" s="1">
        <v>43943</v>
      </c>
      <c r="K1537" s="1">
        <v>45299</v>
      </c>
      <c r="L1537">
        <v>316200.75</v>
      </c>
      <c r="M1537">
        <v>122000.8</v>
      </c>
      <c r="N1537">
        <v>835</v>
      </c>
      <c r="O1537">
        <v>337000</v>
      </c>
      <c r="P1537" t="s">
        <v>36</v>
      </c>
      <c r="Q1537" t="s">
        <v>27</v>
      </c>
      <c r="R1537">
        <v>0</v>
      </c>
      <c r="S1537" t="s">
        <v>28</v>
      </c>
    </row>
    <row r="1538" spans="1:19">
      <c r="A1538" t="s">
        <v>542</v>
      </c>
      <c r="B1538" t="s">
        <v>3377</v>
      </c>
      <c r="C1538" t="s">
        <v>52</v>
      </c>
      <c r="D1538" t="s">
        <v>68</v>
      </c>
      <c r="E1538" t="s">
        <v>179</v>
      </c>
      <c r="F1538">
        <v>79</v>
      </c>
      <c r="G1538" t="s">
        <v>34</v>
      </c>
      <c r="H1538" t="s">
        <v>3378</v>
      </c>
      <c r="I1538">
        <f>234-851-234-5678</f>
        <v>-6529</v>
      </c>
      <c r="J1538" s="1">
        <v>44887</v>
      </c>
      <c r="K1538" s="1">
        <v>45302</v>
      </c>
      <c r="L1538">
        <v>93000.6</v>
      </c>
      <c r="M1538">
        <v>63000.25</v>
      </c>
      <c r="N1538">
        <v>665</v>
      </c>
      <c r="O1538">
        <v>145000</v>
      </c>
      <c r="P1538" t="s">
        <v>26</v>
      </c>
      <c r="Q1538" t="s">
        <v>27</v>
      </c>
      <c r="R1538">
        <v>0</v>
      </c>
      <c r="S1538" t="s">
        <v>28</v>
      </c>
    </row>
    <row r="1539" spans="1:19">
      <c r="A1539" t="s">
        <v>545</v>
      </c>
      <c r="B1539" t="s">
        <v>3379</v>
      </c>
      <c r="C1539" t="s">
        <v>46</v>
      </c>
      <c r="D1539" t="s">
        <v>241</v>
      </c>
      <c r="E1539" t="s">
        <v>389</v>
      </c>
      <c r="F1539">
        <v>71</v>
      </c>
      <c r="G1539" t="s">
        <v>24</v>
      </c>
      <c r="H1539" t="s">
        <v>3380</v>
      </c>
      <c r="I1539">
        <f>39-385-901-2345</f>
        <v>-3592</v>
      </c>
      <c r="J1539" s="1">
        <v>45526</v>
      </c>
      <c r="K1539" s="1">
        <v>45303</v>
      </c>
      <c r="L1539">
        <v>116300.8</v>
      </c>
      <c r="M1539">
        <v>70500.399999999994</v>
      </c>
      <c r="N1539">
        <v>750</v>
      </c>
      <c r="O1539">
        <v>171000</v>
      </c>
      <c r="P1539" t="s">
        <v>26</v>
      </c>
      <c r="Q1539" t="s">
        <v>27</v>
      </c>
      <c r="R1539">
        <v>0</v>
      </c>
      <c r="S1539" t="s">
        <v>28</v>
      </c>
    </row>
    <row r="1540" spans="1:19">
      <c r="A1540" t="s">
        <v>548</v>
      </c>
      <c r="B1540" t="s">
        <v>3381</v>
      </c>
      <c r="C1540" t="s">
        <v>57</v>
      </c>
      <c r="D1540" t="s">
        <v>22</v>
      </c>
      <c r="E1540" t="s">
        <v>381</v>
      </c>
      <c r="F1540">
        <v>67</v>
      </c>
      <c r="G1540" t="s">
        <v>34</v>
      </c>
      <c r="H1540" t="s">
        <v>3382</v>
      </c>
      <c r="I1540">
        <f>1-415-555-198</f>
        <v>-1167</v>
      </c>
      <c r="J1540" s="1">
        <v>45710</v>
      </c>
      <c r="K1540" s="1">
        <v>45305</v>
      </c>
      <c r="L1540">
        <v>55200.9</v>
      </c>
      <c r="M1540">
        <v>21200.75</v>
      </c>
      <c r="N1540">
        <v>770</v>
      </c>
      <c r="O1540">
        <v>102000</v>
      </c>
      <c r="P1540" t="s">
        <v>36</v>
      </c>
      <c r="Q1540" t="s">
        <v>27</v>
      </c>
      <c r="R1540">
        <v>0</v>
      </c>
      <c r="S1540" t="s">
        <v>28</v>
      </c>
    </row>
    <row r="1541" spans="1:19">
      <c r="A1541" t="s">
        <v>551</v>
      </c>
      <c r="B1541" t="s">
        <v>3383</v>
      </c>
      <c r="C1541" t="s">
        <v>39</v>
      </c>
      <c r="D1541" t="s">
        <v>313</v>
      </c>
      <c r="E1541" t="s">
        <v>501</v>
      </c>
      <c r="F1541">
        <v>90</v>
      </c>
      <c r="G1541" t="s">
        <v>24</v>
      </c>
      <c r="H1541" t="s">
        <v>3384</v>
      </c>
      <c r="I1541">
        <f>92-337-1098765</f>
        <v>-1099010</v>
      </c>
      <c r="J1541" s="1">
        <v>44126</v>
      </c>
      <c r="K1541" s="1">
        <v>45299</v>
      </c>
      <c r="L1541">
        <v>202400.25</v>
      </c>
      <c r="M1541">
        <v>126000.8</v>
      </c>
      <c r="N1541">
        <v>645</v>
      </c>
      <c r="O1541">
        <v>242000</v>
      </c>
      <c r="P1541" t="s">
        <v>76</v>
      </c>
      <c r="Q1541" t="s">
        <v>27</v>
      </c>
      <c r="R1541">
        <v>0</v>
      </c>
      <c r="S1541" t="s">
        <v>28</v>
      </c>
    </row>
    <row r="1542" spans="1:19">
      <c r="A1542" t="s">
        <v>554</v>
      </c>
      <c r="B1542" t="s">
        <v>3385</v>
      </c>
      <c r="C1542" t="s">
        <v>31</v>
      </c>
      <c r="D1542" t="s">
        <v>214</v>
      </c>
      <c r="E1542" t="s">
        <v>483</v>
      </c>
      <c r="F1542">
        <v>63</v>
      </c>
      <c r="G1542" t="s">
        <v>34</v>
      </c>
      <c r="H1542" t="s">
        <v>3386</v>
      </c>
      <c r="I1542">
        <f>34-660-123-456</f>
        <v>-1205</v>
      </c>
      <c r="J1542" s="1">
        <v>45716</v>
      </c>
      <c r="K1542" s="1">
        <v>45306</v>
      </c>
      <c r="L1542">
        <v>47200.5</v>
      </c>
      <c r="M1542">
        <v>20800.400000000001</v>
      </c>
      <c r="N1542">
        <v>720</v>
      </c>
      <c r="O1542">
        <v>79000</v>
      </c>
      <c r="P1542" t="s">
        <v>36</v>
      </c>
      <c r="Q1542" t="s">
        <v>27</v>
      </c>
      <c r="R1542">
        <v>0</v>
      </c>
      <c r="S1542" t="s">
        <v>28</v>
      </c>
    </row>
    <row r="1543" spans="1:19">
      <c r="A1543" t="s">
        <v>108</v>
      </c>
      <c r="B1543" t="s">
        <v>3387</v>
      </c>
      <c r="C1543" t="s">
        <v>84</v>
      </c>
      <c r="D1543" t="s">
        <v>32</v>
      </c>
      <c r="E1543" t="s">
        <v>33</v>
      </c>
      <c r="F1543">
        <v>59</v>
      </c>
      <c r="G1543" t="s">
        <v>24</v>
      </c>
      <c r="H1543" t="s">
        <v>3388</v>
      </c>
      <c r="I1543">
        <f>81-90-6789-123</f>
        <v>-6921</v>
      </c>
      <c r="J1543" s="1">
        <v>45716</v>
      </c>
      <c r="K1543" s="1">
        <v>45304</v>
      </c>
      <c r="L1543">
        <v>5550.8</v>
      </c>
      <c r="M1543">
        <v>16000.25</v>
      </c>
      <c r="N1543">
        <v>605</v>
      </c>
      <c r="O1543">
        <v>55000</v>
      </c>
      <c r="P1543" t="s">
        <v>76</v>
      </c>
      <c r="Q1543" t="s">
        <v>43</v>
      </c>
      <c r="R1543">
        <v>0</v>
      </c>
      <c r="S1543" t="s">
        <v>28</v>
      </c>
    </row>
    <row r="1544" spans="1:19">
      <c r="A1544" t="s">
        <v>559</v>
      </c>
      <c r="B1544" t="s">
        <v>3389</v>
      </c>
      <c r="C1544" t="s">
        <v>46</v>
      </c>
      <c r="D1544" t="s">
        <v>254</v>
      </c>
      <c r="E1544" t="s">
        <v>255</v>
      </c>
      <c r="F1544">
        <v>73</v>
      </c>
      <c r="G1544" t="s">
        <v>34</v>
      </c>
      <c r="H1544" t="s">
        <v>3390</v>
      </c>
      <c r="I1544">
        <f>221-15-901-2345</f>
        <v>-3040</v>
      </c>
      <c r="J1544" s="1">
        <v>45404</v>
      </c>
      <c r="K1544" s="1">
        <v>45302</v>
      </c>
      <c r="L1544">
        <v>103000.4</v>
      </c>
      <c r="M1544">
        <v>65200.75</v>
      </c>
      <c r="N1544">
        <v>710</v>
      </c>
      <c r="O1544">
        <v>153000</v>
      </c>
      <c r="P1544" t="s">
        <v>26</v>
      </c>
      <c r="Q1544" t="s">
        <v>27</v>
      </c>
      <c r="R1544">
        <v>0</v>
      </c>
      <c r="S1544" t="s">
        <v>28</v>
      </c>
    </row>
    <row r="1545" spans="1:19">
      <c r="A1545" t="s">
        <v>562</v>
      </c>
      <c r="B1545" t="s">
        <v>3391</v>
      </c>
      <c r="C1545" t="s">
        <v>39</v>
      </c>
      <c r="D1545" t="s">
        <v>47</v>
      </c>
      <c r="E1545" t="s">
        <v>48</v>
      </c>
      <c r="F1545">
        <v>87</v>
      </c>
      <c r="G1545" t="s">
        <v>24</v>
      </c>
      <c r="H1545" t="s">
        <v>3392</v>
      </c>
      <c r="I1545">
        <f>44-79-2345-6789</f>
        <v>-9169</v>
      </c>
      <c r="J1545" s="1">
        <v>44277</v>
      </c>
      <c r="K1545" s="1">
        <v>45300</v>
      </c>
      <c r="L1545">
        <v>182600.6</v>
      </c>
      <c r="M1545">
        <v>119000.25</v>
      </c>
      <c r="N1545">
        <v>675</v>
      </c>
      <c r="O1545">
        <v>222000</v>
      </c>
      <c r="P1545" t="s">
        <v>76</v>
      </c>
      <c r="Q1545" t="s">
        <v>27</v>
      </c>
      <c r="R1545">
        <v>0</v>
      </c>
      <c r="S1545" t="s">
        <v>28</v>
      </c>
    </row>
    <row r="1546" spans="1:19">
      <c r="A1546" t="s">
        <v>565</v>
      </c>
      <c r="B1546" t="s">
        <v>3393</v>
      </c>
      <c r="C1546" t="s">
        <v>52</v>
      </c>
      <c r="D1546" t="s">
        <v>233</v>
      </c>
      <c r="E1546" t="s">
        <v>296</v>
      </c>
      <c r="F1546">
        <v>72</v>
      </c>
      <c r="G1546" t="s">
        <v>34</v>
      </c>
      <c r="H1546" t="s">
        <v>3394</v>
      </c>
      <c r="I1546">
        <f>82-10-1234-5678</f>
        <v>-6840</v>
      </c>
      <c r="J1546" s="1">
        <v>45191</v>
      </c>
      <c r="K1546" s="1">
        <v>45301</v>
      </c>
      <c r="L1546">
        <v>79400.75</v>
      </c>
      <c r="M1546">
        <v>56300.800000000003</v>
      </c>
      <c r="N1546">
        <v>725</v>
      </c>
      <c r="O1546">
        <v>119000</v>
      </c>
      <c r="P1546" t="s">
        <v>26</v>
      </c>
      <c r="Q1546" t="s">
        <v>27</v>
      </c>
      <c r="R1546">
        <v>0</v>
      </c>
      <c r="S1546" t="s">
        <v>28</v>
      </c>
    </row>
    <row r="1547" spans="1:19">
      <c r="A1547" t="s">
        <v>568</v>
      </c>
      <c r="B1547" t="s">
        <v>3395</v>
      </c>
      <c r="C1547" t="s">
        <v>57</v>
      </c>
      <c r="D1547" t="s">
        <v>79</v>
      </c>
      <c r="E1547" t="s">
        <v>102</v>
      </c>
      <c r="F1547">
        <v>70</v>
      </c>
      <c r="G1547" t="s">
        <v>24</v>
      </c>
      <c r="H1547" t="s">
        <v>3396</v>
      </c>
      <c r="I1547">
        <f>971-50-345-6789</f>
        <v>-6213</v>
      </c>
      <c r="J1547" s="1">
        <v>45648</v>
      </c>
      <c r="K1547" s="1">
        <v>45303</v>
      </c>
      <c r="L1547">
        <v>57400.4</v>
      </c>
      <c r="M1547">
        <v>22000.9</v>
      </c>
      <c r="N1547">
        <v>740</v>
      </c>
      <c r="O1547">
        <v>105000</v>
      </c>
      <c r="P1547" t="s">
        <v>36</v>
      </c>
      <c r="Q1547" t="s">
        <v>27</v>
      </c>
      <c r="R1547">
        <v>0</v>
      </c>
      <c r="S1547" t="s">
        <v>28</v>
      </c>
    </row>
    <row r="1548" spans="1:19">
      <c r="A1548" t="s">
        <v>571</v>
      </c>
      <c r="B1548" t="s">
        <v>3397</v>
      </c>
      <c r="C1548" t="s">
        <v>21</v>
      </c>
      <c r="D1548" t="s">
        <v>63</v>
      </c>
      <c r="E1548" t="s">
        <v>106</v>
      </c>
      <c r="F1548">
        <v>93</v>
      </c>
      <c r="G1548" t="s">
        <v>34</v>
      </c>
      <c r="H1548" t="s">
        <v>3398</v>
      </c>
      <c r="I1548">
        <f>55-21-99945-6789</f>
        <v>-106700</v>
      </c>
      <c r="J1548" s="1">
        <v>43821</v>
      </c>
      <c r="K1548" s="1">
        <v>45299</v>
      </c>
      <c r="L1548">
        <v>271500.90000000002</v>
      </c>
      <c r="M1548">
        <v>109000.6</v>
      </c>
      <c r="N1548">
        <v>830</v>
      </c>
      <c r="O1548">
        <v>317000</v>
      </c>
      <c r="P1548" t="s">
        <v>36</v>
      </c>
      <c r="Q1548" t="s">
        <v>27</v>
      </c>
      <c r="R1548">
        <v>0</v>
      </c>
      <c r="S1548" t="s">
        <v>28</v>
      </c>
    </row>
    <row r="1549" spans="1:19">
      <c r="A1549" t="s">
        <v>574</v>
      </c>
      <c r="B1549" t="s">
        <v>3399</v>
      </c>
      <c r="C1549" t="s">
        <v>39</v>
      </c>
      <c r="D1549" t="s">
        <v>68</v>
      </c>
      <c r="E1549" t="s">
        <v>114</v>
      </c>
      <c r="F1549">
        <v>85</v>
      </c>
      <c r="G1549" t="s">
        <v>24</v>
      </c>
      <c r="H1549" t="s">
        <v>3400</v>
      </c>
      <c r="I1549">
        <f>234-852-345-6789</f>
        <v>-7752</v>
      </c>
      <c r="J1549" s="1">
        <v>44420</v>
      </c>
      <c r="K1549" s="1">
        <v>45300</v>
      </c>
      <c r="L1549">
        <v>160400.25</v>
      </c>
      <c r="M1549">
        <v>111000.4</v>
      </c>
      <c r="N1549">
        <v>655</v>
      </c>
      <c r="O1549">
        <v>207000</v>
      </c>
      <c r="P1549" t="s">
        <v>76</v>
      </c>
      <c r="Q1549" t="s">
        <v>27</v>
      </c>
      <c r="R1549">
        <v>0</v>
      </c>
      <c r="S1549" t="s">
        <v>28</v>
      </c>
    </row>
    <row r="1550" spans="1:19">
      <c r="A1550" t="s">
        <v>577</v>
      </c>
      <c r="B1550" t="s">
        <v>3401</v>
      </c>
      <c r="C1550" t="s">
        <v>46</v>
      </c>
      <c r="D1550" t="s">
        <v>85</v>
      </c>
      <c r="E1550" t="s">
        <v>130</v>
      </c>
      <c r="F1550">
        <v>74</v>
      </c>
      <c r="G1550" t="s">
        <v>34</v>
      </c>
      <c r="H1550" t="s">
        <v>3402</v>
      </c>
      <c r="I1550">
        <f>1-604-555-194</f>
        <v>-1352</v>
      </c>
      <c r="J1550" s="1">
        <v>45313</v>
      </c>
      <c r="K1550" s="1">
        <v>45302</v>
      </c>
      <c r="L1550">
        <v>121900.6</v>
      </c>
      <c r="M1550">
        <v>73200.75</v>
      </c>
      <c r="N1550">
        <v>760</v>
      </c>
      <c r="O1550">
        <v>176000</v>
      </c>
      <c r="P1550" t="s">
        <v>26</v>
      </c>
      <c r="Q1550" t="s">
        <v>27</v>
      </c>
      <c r="R1550">
        <v>0</v>
      </c>
      <c r="S1550" t="s">
        <v>28</v>
      </c>
    </row>
    <row r="1551" spans="1:19">
      <c r="A1551" t="s">
        <v>458</v>
      </c>
      <c r="B1551" t="s">
        <v>3403</v>
      </c>
      <c r="C1551" t="s">
        <v>31</v>
      </c>
      <c r="D1551" t="s">
        <v>460</v>
      </c>
      <c r="E1551" t="s">
        <v>461</v>
      </c>
      <c r="F1551">
        <v>65</v>
      </c>
      <c r="G1551" t="s">
        <v>24</v>
      </c>
      <c r="H1551" t="s">
        <v>3404</v>
      </c>
      <c r="I1551">
        <f>62-849-123-4567</f>
        <v>-5477</v>
      </c>
      <c r="J1551" s="1">
        <v>45716</v>
      </c>
      <c r="K1551" s="1">
        <v>45306</v>
      </c>
      <c r="L1551">
        <v>26900.25</v>
      </c>
      <c r="M1551">
        <v>16000.8</v>
      </c>
      <c r="N1551">
        <v>695</v>
      </c>
      <c r="O1551">
        <v>76000</v>
      </c>
      <c r="P1551" t="s">
        <v>26</v>
      </c>
      <c r="Q1551" t="s">
        <v>43</v>
      </c>
      <c r="R1551">
        <v>0</v>
      </c>
      <c r="S1551" t="s">
        <v>28</v>
      </c>
    </row>
    <row r="1552" spans="1:19">
      <c r="A1552" t="s">
        <v>582</v>
      </c>
      <c r="B1552" t="s">
        <v>3405</v>
      </c>
      <c r="C1552" t="s">
        <v>57</v>
      </c>
      <c r="D1552" t="s">
        <v>22</v>
      </c>
      <c r="E1552" t="s">
        <v>23</v>
      </c>
      <c r="F1552">
        <v>68</v>
      </c>
      <c r="G1552" t="s">
        <v>34</v>
      </c>
      <c r="H1552" t="s">
        <v>3406</v>
      </c>
      <c r="I1552">
        <f>1-646-555-194</f>
        <v>-1394</v>
      </c>
      <c r="J1552" s="1">
        <v>45587</v>
      </c>
      <c r="K1552" s="1">
        <v>45303</v>
      </c>
      <c r="L1552">
        <v>56300.9</v>
      </c>
      <c r="M1552">
        <v>21600.25</v>
      </c>
      <c r="N1552">
        <v>755</v>
      </c>
      <c r="O1552">
        <v>98000</v>
      </c>
      <c r="P1552" t="s">
        <v>36</v>
      </c>
      <c r="Q1552" t="s">
        <v>27</v>
      </c>
      <c r="R1552">
        <v>0</v>
      </c>
      <c r="S1552" t="s">
        <v>28</v>
      </c>
    </row>
    <row r="1553" spans="1:19">
      <c r="A1553" t="s">
        <v>55</v>
      </c>
      <c r="B1553" t="s">
        <v>3407</v>
      </c>
      <c r="C1553" t="s">
        <v>39</v>
      </c>
      <c r="D1553" t="s">
        <v>58</v>
      </c>
      <c r="E1553" t="s">
        <v>122</v>
      </c>
      <c r="F1553">
        <v>86</v>
      </c>
      <c r="G1553" t="s">
        <v>24</v>
      </c>
      <c r="H1553" t="s">
        <v>3408</v>
      </c>
      <c r="I1553">
        <f>86-138-4567-8901</f>
        <v>-13520</v>
      </c>
      <c r="J1553" s="1">
        <v>44338</v>
      </c>
      <c r="K1553" s="1">
        <v>45300</v>
      </c>
      <c r="L1553">
        <v>193300.4</v>
      </c>
      <c r="M1553">
        <v>124000.75</v>
      </c>
      <c r="N1553">
        <v>685</v>
      </c>
      <c r="O1553">
        <v>232000</v>
      </c>
      <c r="P1553" t="s">
        <v>76</v>
      </c>
      <c r="Q1553" t="s">
        <v>27</v>
      </c>
      <c r="R1553">
        <v>0</v>
      </c>
      <c r="S1553" t="s">
        <v>28</v>
      </c>
    </row>
    <row r="1554" spans="1:19">
      <c r="A1554" t="s">
        <v>469</v>
      </c>
      <c r="B1554" t="s">
        <v>3409</v>
      </c>
      <c r="C1554" t="s">
        <v>52</v>
      </c>
      <c r="D1554" t="s">
        <v>471</v>
      </c>
      <c r="E1554" t="s">
        <v>472</v>
      </c>
      <c r="F1554">
        <v>77</v>
      </c>
      <c r="G1554" t="s">
        <v>34</v>
      </c>
      <c r="H1554" t="s">
        <v>3410</v>
      </c>
      <c r="I1554">
        <f>48-737-901-234</f>
        <v>-1824</v>
      </c>
      <c r="J1554" s="1">
        <v>44979</v>
      </c>
      <c r="K1554" s="1">
        <v>45301</v>
      </c>
      <c r="L1554">
        <v>86300.800000000003</v>
      </c>
      <c r="M1554">
        <v>59400.6</v>
      </c>
      <c r="N1554">
        <v>715</v>
      </c>
      <c r="O1554">
        <v>131000</v>
      </c>
      <c r="P1554" t="s">
        <v>26</v>
      </c>
      <c r="Q1554" t="s">
        <v>27</v>
      </c>
      <c r="R1554">
        <v>0</v>
      </c>
      <c r="S1554" t="s">
        <v>28</v>
      </c>
    </row>
    <row r="1555" spans="1:19">
      <c r="A1555" t="s">
        <v>474</v>
      </c>
      <c r="B1555" t="s">
        <v>3411</v>
      </c>
      <c r="C1555" t="s">
        <v>46</v>
      </c>
      <c r="D1555" t="s">
        <v>345</v>
      </c>
      <c r="E1555" t="s">
        <v>476</v>
      </c>
      <c r="F1555">
        <v>80</v>
      </c>
      <c r="G1555" t="s">
        <v>24</v>
      </c>
      <c r="H1555" t="s">
        <v>3412</v>
      </c>
      <c r="I1555">
        <f>880-1812-123456</f>
        <v>-124388</v>
      </c>
      <c r="J1555" s="1">
        <v>44887</v>
      </c>
      <c r="K1555" s="1">
        <v>45302</v>
      </c>
      <c r="L1555">
        <v>114100.25</v>
      </c>
      <c r="M1555">
        <v>69400.399999999994</v>
      </c>
      <c r="N1555">
        <v>680</v>
      </c>
      <c r="O1555">
        <v>160000</v>
      </c>
      <c r="P1555" t="s">
        <v>26</v>
      </c>
      <c r="Q1555" t="s">
        <v>27</v>
      </c>
      <c r="R1555">
        <v>0</v>
      </c>
      <c r="S1555" t="s">
        <v>28</v>
      </c>
    </row>
    <row r="1556" spans="1:19">
      <c r="A1556" t="s">
        <v>592</v>
      </c>
      <c r="B1556" t="s">
        <v>3413</v>
      </c>
      <c r="C1556" t="s">
        <v>84</v>
      </c>
      <c r="D1556" t="s">
        <v>32</v>
      </c>
      <c r="E1556" t="s">
        <v>90</v>
      </c>
      <c r="F1556">
        <v>60</v>
      </c>
      <c r="G1556" t="s">
        <v>34</v>
      </c>
      <c r="H1556" t="s">
        <v>3414</v>
      </c>
      <c r="I1556">
        <f>81-90-7890-1234</f>
        <v>-9133</v>
      </c>
      <c r="J1556" s="1">
        <v>45721</v>
      </c>
      <c r="K1556" s="1">
        <v>45304</v>
      </c>
      <c r="L1556">
        <v>5650.4</v>
      </c>
      <c r="M1556">
        <v>16600.75</v>
      </c>
      <c r="N1556">
        <v>610</v>
      </c>
      <c r="O1556">
        <v>56000</v>
      </c>
      <c r="P1556" t="s">
        <v>76</v>
      </c>
      <c r="Q1556" t="s">
        <v>43</v>
      </c>
      <c r="R1556">
        <v>0</v>
      </c>
      <c r="S1556" t="s">
        <v>28</v>
      </c>
    </row>
    <row r="1557" spans="1:19">
      <c r="A1557" t="s">
        <v>595</v>
      </c>
      <c r="B1557" t="s">
        <v>3415</v>
      </c>
      <c r="C1557" t="s">
        <v>21</v>
      </c>
      <c r="D1557" t="s">
        <v>209</v>
      </c>
      <c r="E1557" t="s">
        <v>210</v>
      </c>
      <c r="F1557">
        <v>92</v>
      </c>
      <c r="G1557" t="s">
        <v>24</v>
      </c>
      <c r="H1557" t="s">
        <v>3416</v>
      </c>
      <c r="I1557">
        <f>52-55-1234-123</f>
        <v>-1360</v>
      </c>
      <c r="J1557" s="1">
        <v>44034</v>
      </c>
      <c r="K1557" s="1">
        <v>45299</v>
      </c>
      <c r="L1557">
        <v>291300.8</v>
      </c>
      <c r="M1557">
        <v>115000.25</v>
      </c>
      <c r="N1557">
        <v>825</v>
      </c>
      <c r="O1557">
        <v>312000</v>
      </c>
      <c r="P1557" t="s">
        <v>36</v>
      </c>
      <c r="Q1557" t="s">
        <v>27</v>
      </c>
      <c r="R1557">
        <v>0</v>
      </c>
      <c r="S1557" t="s">
        <v>28</v>
      </c>
    </row>
    <row r="1558" spans="1:19">
      <c r="A1558" t="s">
        <v>226</v>
      </c>
      <c r="B1558" t="s">
        <v>3417</v>
      </c>
      <c r="C1558" t="s">
        <v>57</v>
      </c>
      <c r="D1558" t="s">
        <v>228</v>
      </c>
      <c r="E1558" t="s">
        <v>678</v>
      </c>
      <c r="F1558">
        <v>67</v>
      </c>
      <c r="G1558" t="s">
        <v>34</v>
      </c>
      <c r="H1558" t="s">
        <v>3418</v>
      </c>
      <c r="I1558">
        <f>254-761-234-567</f>
        <v>-1308</v>
      </c>
      <c r="J1558" s="1">
        <v>45769</v>
      </c>
      <c r="K1558" s="1">
        <v>45305</v>
      </c>
      <c r="L1558">
        <v>53000.75</v>
      </c>
      <c r="M1558">
        <v>20000.400000000001</v>
      </c>
      <c r="N1558">
        <v>725</v>
      </c>
      <c r="O1558">
        <v>88000</v>
      </c>
      <c r="P1558" t="s">
        <v>36</v>
      </c>
      <c r="Q1558" t="s">
        <v>27</v>
      </c>
      <c r="R1558">
        <v>0</v>
      </c>
      <c r="S1558" t="s">
        <v>28</v>
      </c>
    </row>
    <row r="1559" spans="1:19">
      <c r="A1559" t="s">
        <v>488</v>
      </c>
      <c r="B1559" t="s">
        <v>3419</v>
      </c>
      <c r="C1559" t="s">
        <v>39</v>
      </c>
      <c r="D1559" t="s">
        <v>304</v>
      </c>
      <c r="E1559" t="s">
        <v>304</v>
      </c>
      <c r="F1559">
        <v>84</v>
      </c>
      <c r="G1559" t="s">
        <v>24</v>
      </c>
      <c r="H1559" t="s">
        <v>3420</v>
      </c>
      <c r="I1559">
        <f>65-2090-1234</f>
        <v>-3259</v>
      </c>
      <c r="J1559" s="1">
        <v>44512</v>
      </c>
      <c r="K1559" s="1">
        <v>45300</v>
      </c>
      <c r="L1559">
        <v>171500.6</v>
      </c>
      <c r="M1559">
        <v>115000.9</v>
      </c>
      <c r="N1559">
        <v>675</v>
      </c>
      <c r="O1559">
        <v>212000</v>
      </c>
      <c r="P1559" t="s">
        <v>76</v>
      </c>
      <c r="Q1559" t="s">
        <v>27</v>
      </c>
      <c r="R1559">
        <v>0</v>
      </c>
      <c r="S1559" t="s">
        <v>28</v>
      </c>
    </row>
    <row r="1560" spans="1:19">
      <c r="A1560" t="s">
        <v>491</v>
      </c>
      <c r="B1560" t="s">
        <v>3421</v>
      </c>
      <c r="C1560" t="s">
        <v>52</v>
      </c>
      <c r="D1560" t="s">
        <v>493</v>
      </c>
      <c r="E1560" t="s">
        <v>494</v>
      </c>
      <c r="F1560">
        <v>75</v>
      </c>
      <c r="G1560" t="s">
        <v>34</v>
      </c>
      <c r="H1560" t="s">
        <v>3422</v>
      </c>
      <c r="I1560">
        <f>30-729-12-3456</f>
        <v>-4167</v>
      </c>
      <c r="J1560" s="1">
        <v>45282</v>
      </c>
      <c r="K1560" s="1">
        <v>45302</v>
      </c>
      <c r="L1560">
        <v>80500.399999999994</v>
      </c>
      <c r="M1560">
        <v>55200.25</v>
      </c>
      <c r="N1560">
        <v>705</v>
      </c>
      <c r="O1560">
        <v>120000</v>
      </c>
      <c r="P1560" t="s">
        <v>26</v>
      </c>
      <c r="Q1560" t="s">
        <v>27</v>
      </c>
      <c r="R1560">
        <v>0</v>
      </c>
      <c r="S1560" t="s">
        <v>28</v>
      </c>
    </row>
    <row r="1561" spans="1:19">
      <c r="A1561" t="s">
        <v>496</v>
      </c>
      <c r="B1561" t="s">
        <v>3423</v>
      </c>
      <c r="C1561" t="s">
        <v>46</v>
      </c>
      <c r="D1561" t="s">
        <v>321</v>
      </c>
      <c r="E1561" t="s">
        <v>322</v>
      </c>
      <c r="F1561">
        <v>78</v>
      </c>
      <c r="G1561" t="s">
        <v>24</v>
      </c>
      <c r="H1561" t="s">
        <v>3424</v>
      </c>
      <c r="I1561">
        <f>61-461-234-567</f>
        <v>-1201</v>
      </c>
      <c r="J1561" s="1">
        <v>44764</v>
      </c>
      <c r="K1561" s="1">
        <v>45301</v>
      </c>
      <c r="L1561">
        <v>125100.75</v>
      </c>
      <c r="M1561">
        <v>76300.800000000003</v>
      </c>
      <c r="N1561">
        <v>730</v>
      </c>
      <c r="O1561">
        <v>186000</v>
      </c>
      <c r="P1561" t="s">
        <v>26</v>
      </c>
      <c r="Q1561" t="s">
        <v>27</v>
      </c>
      <c r="R1561">
        <v>0</v>
      </c>
      <c r="S1561" t="s">
        <v>28</v>
      </c>
    </row>
    <row r="1562" spans="1:19">
      <c r="A1562" t="s">
        <v>324</v>
      </c>
      <c r="B1562" t="s">
        <v>3425</v>
      </c>
      <c r="C1562" t="s">
        <v>31</v>
      </c>
      <c r="D1562" t="s">
        <v>313</v>
      </c>
      <c r="E1562" t="s">
        <v>314</v>
      </c>
      <c r="F1562">
        <v>63</v>
      </c>
      <c r="G1562" t="s">
        <v>34</v>
      </c>
      <c r="H1562" t="s">
        <v>3426</v>
      </c>
      <c r="I1562">
        <f>92-359-987654</f>
        <v>-987921</v>
      </c>
      <c r="J1562" s="1">
        <v>45716</v>
      </c>
      <c r="K1562" s="1">
        <v>45306</v>
      </c>
      <c r="L1562">
        <v>22600.9</v>
      </c>
      <c r="M1562">
        <v>12700.75</v>
      </c>
      <c r="N1562">
        <v>685</v>
      </c>
      <c r="O1562">
        <v>73000</v>
      </c>
      <c r="P1562" t="s">
        <v>26</v>
      </c>
      <c r="Q1562" t="s">
        <v>43</v>
      </c>
      <c r="R1562">
        <v>0</v>
      </c>
      <c r="S1562" t="s">
        <v>28</v>
      </c>
    </row>
    <row r="1563" spans="1:19">
      <c r="A1563" t="s">
        <v>503</v>
      </c>
      <c r="B1563" t="s">
        <v>3427</v>
      </c>
      <c r="C1563" t="s">
        <v>21</v>
      </c>
      <c r="D1563" t="s">
        <v>32</v>
      </c>
      <c r="E1563" t="s">
        <v>33</v>
      </c>
      <c r="F1563">
        <v>95</v>
      </c>
      <c r="G1563" t="s">
        <v>24</v>
      </c>
      <c r="H1563" t="s">
        <v>3428</v>
      </c>
      <c r="I1563">
        <f>81-80-9012-3456</f>
        <v>-12467</v>
      </c>
      <c r="J1563" s="1">
        <v>43760</v>
      </c>
      <c r="K1563" s="1">
        <v>45299</v>
      </c>
      <c r="L1563">
        <v>302200.25</v>
      </c>
      <c r="M1563">
        <v>119000.4</v>
      </c>
      <c r="N1563">
        <v>840</v>
      </c>
      <c r="O1563">
        <v>327000</v>
      </c>
      <c r="P1563" t="s">
        <v>36</v>
      </c>
      <c r="Q1563" t="s">
        <v>27</v>
      </c>
      <c r="R1563">
        <v>0</v>
      </c>
      <c r="S1563" t="s">
        <v>28</v>
      </c>
    </row>
    <row r="1564" spans="1:19">
      <c r="A1564" t="s">
        <v>506</v>
      </c>
      <c r="B1564" t="s">
        <v>3429</v>
      </c>
      <c r="C1564" t="s">
        <v>39</v>
      </c>
      <c r="D1564" t="s">
        <v>68</v>
      </c>
      <c r="E1564" t="s">
        <v>69</v>
      </c>
      <c r="F1564">
        <v>87</v>
      </c>
      <c r="G1564" t="s">
        <v>34</v>
      </c>
      <c r="H1564" t="s">
        <v>3430</v>
      </c>
      <c r="I1564">
        <f>234-851-234-5678</f>
        <v>-6529</v>
      </c>
      <c r="J1564" s="1">
        <v>44277</v>
      </c>
      <c r="K1564" s="1">
        <v>45300</v>
      </c>
      <c r="L1564">
        <v>182600.4</v>
      </c>
      <c r="M1564">
        <v>119000.75</v>
      </c>
      <c r="N1564">
        <v>650</v>
      </c>
      <c r="O1564">
        <v>222000</v>
      </c>
      <c r="P1564" t="s">
        <v>76</v>
      </c>
      <c r="Q1564" t="s">
        <v>27</v>
      </c>
      <c r="R1564">
        <v>0</v>
      </c>
      <c r="S1564" t="s">
        <v>28</v>
      </c>
    </row>
    <row r="1565" spans="1:19">
      <c r="A1565" t="s">
        <v>509</v>
      </c>
      <c r="B1565" t="s">
        <v>3431</v>
      </c>
      <c r="C1565" t="s">
        <v>46</v>
      </c>
      <c r="D1565" t="s">
        <v>73</v>
      </c>
      <c r="E1565" t="s">
        <v>126</v>
      </c>
      <c r="F1565">
        <v>74</v>
      </c>
      <c r="G1565" t="s">
        <v>24</v>
      </c>
      <c r="H1565" t="s">
        <v>3432</v>
      </c>
      <c r="I1565">
        <f>49-213-4567890</f>
        <v>-4568054</v>
      </c>
      <c r="J1565" s="1">
        <v>45495</v>
      </c>
      <c r="K1565" s="1">
        <v>45303</v>
      </c>
      <c r="L1565">
        <v>113900.4</v>
      </c>
      <c r="M1565">
        <v>70500.25</v>
      </c>
      <c r="N1565">
        <v>745</v>
      </c>
      <c r="O1565">
        <v>166000</v>
      </c>
      <c r="P1565" t="s">
        <v>26</v>
      </c>
      <c r="Q1565" t="s">
        <v>27</v>
      </c>
      <c r="R1565">
        <v>0</v>
      </c>
      <c r="S1565" t="s">
        <v>28</v>
      </c>
    </row>
    <row r="1566" spans="1:19">
      <c r="A1566" t="s">
        <v>513</v>
      </c>
      <c r="B1566" t="s">
        <v>3433</v>
      </c>
      <c r="C1566" t="s">
        <v>57</v>
      </c>
      <c r="D1566" t="s">
        <v>58</v>
      </c>
      <c r="E1566" t="s">
        <v>122</v>
      </c>
      <c r="F1566">
        <v>69</v>
      </c>
      <c r="G1566" t="s">
        <v>34</v>
      </c>
      <c r="H1566" t="s">
        <v>3434</v>
      </c>
      <c r="I1566">
        <f>86-137-4567-8901</f>
        <v>-13519</v>
      </c>
      <c r="J1566" s="1">
        <v>45679</v>
      </c>
      <c r="K1566" s="1">
        <v>45302</v>
      </c>
      <c r="L1566">
        <v>55200.800000000003</v>
      </c>
      <c r="M1566">
        <v>21200.9</v>
      </c>
      <c r="N1566">
        <v>765</v>
      </c>
      <c r="O1566">
        <v>98000</v>
      </c>
      <c r="P1566" t="s">
        <v>36</v>
      </c>
      <c r="Q1566" t="s">
        <v>27</v>
      </c>
      <c r="R1566">
        <v>0</v>
      </c>
      <c r="S1566" t="s">
        <v>28</v>
      </c>
    </row>
    <row r="1567" spans="1:19">
      <c r="A1567" t="s">
        <v>516</v>
      </c>
      <c r="B1567" t="s">
        <v>3435</v>
      </c>
      <c r="C1567" t="s">
        <v>52</v>
      </c>
      <c r="D1567" t="s">
        <v>277</v>
      </c>
      <c r="E1567" t="s">
        <v>278</v>
      </c>
      <c r="F1567">
        <v>82</v>
      </c>
      <c r="G1567" t="s">
        <v>24</v>
      </c>
      <c r="H1567" t="s">
        <v>3436</v>
      </c>
      <c r="I1567">
        <f>20-122-98-7654</f>
        <v>-7854</v>
      </c>
      <c r="J1567" s="1">
        <v>44948</v>
      </c>
      <c r="K1567" s="1">
        <v>45301</v>
      </c>
      <c r="L1567">
        <v>88500.75</v>
      </c>
      <c r="M1567">
        <v>61600.4</v>
      </c>
      <c r="N1567">
        <v>675</v>
      </c>
      <c r="O1567">
        <v>138000</v>
      </c>
      <c r="P1567" t="s">
        <v>26</v>
      </c>
      <c r="Q1567" t="s">
        <v>27</v>
      </c>
      <c r="R1567">
        <v>0</v>
      </c>
      <c r="S1567" t="s">
        <v>28</v>
      </c>
    </row>
    <row r="1568" spans="1:19">
      <c r="A1568" t="s">
        <v>519</v>
      </c>
      <c r="B1568" t="s">
        <v>3437</v>
      </c>
      <c r="C1568" t="s">
        <v>84</v>
      </c>
      <c r="D1568" t="s">
        <v>183</v>
      </c>
      <c r="E1568" t="s">
        <v>273</v>
      </c>
      <c r="F1568">
        <v>61</v>
      </c>
      <c r="G1568" t="s">
        <v>34</v>
      </c>
      <c r="H1568" t="s">
        <v>3438</v>
      </c>
      <c r="I1568">
        <f>33-6-1234-5678</f>
        <v>-6885</v>
      </c>
      <c r="J1568" s="1">
        <v>45728</v>
      </c>
      <c r="K1568" s="1">
        <v>45304</v>
      </c>
      <c r="L1568">
        <v>5900.25</v>
      </c>
      <c r="M1568">
        <v>17800.599999999999</v>
      </c>
      <c r="N1568">
        <v>615</v>
      </c>
      <c r="O1568">
        <v>58000</v>
      </c>
      <c r="P1568" t="s">
        <v>76</v>
      </c>
      <c r="Q1568" t="s">
        <v>43</v>
      </c>
      <c r="R1568">
        <v>0</v>
      </c>
      <c r="S1568" t="s">
        <v>28</v>
      </c>
    </row>
    <row r="1569" spans="1:19">
      <c r="A1569" t="s">
        <v>522</v>
      </c>
      <c r="B1569" t="s">
        <v>3439</v>
      </c>
      <c r="C1569" t="s">
        <v>39</v>
      </c>
      <c r="D1569" t="s">
        <v>40</v>
      </c>
      <c r="E1569" t="s">
        <v>94</v>
      </c>
      <c r="F1569">
        <v>89</v>
      </c>
      <c r="G1569" t="s">
        <v>24</v>
      </c>
      <c r="H1569" t="s">
        <v>3440</v>
      </c>
      <c r="I1569">
        <f>91-987-654-3210</f>
        <v>-4760</v>
      </c>
      <c r="J1569" s="1">
        <v>44249</v>
      </c>
      <c r="K1569" s="1">
        <v>45299</v>
      </c>
      <c r="L1569">
        <v>217200.8</v>
      </c>
      <c r="M1569">
        <v>132000.25</v>
      </c>
      <c r="N1569">
        <v>660</v>
      </c>
      <c r="O1569">
        <v>257000</v>
      </c>
      <c r="P1569" t="s">
        <v>76</v>
      </c>
      <c r="Q1569" t="s">
        <v>27</v>
      </c>
      <c r="R1569">
        <v>0</v>
      </c>
      <c r="S1569" t="s">
        <v>28</v>
      </c>
    </row>
    <row r="1570" spans="1:19">
      <c r="A1570" t="s">
        <v>306</v>
      </c>
      <c r="B1570" t="s">
        <v>3441</v>
      </c>
      <c r="C1570" t="s">
        <v>46</v>
      </c>
      <c r="D1570" t="s">
        <v>209</v>
      </c>
      <c r="E1570" t="s">
        <v>210</v>
      </c>
      <c r="F1570">
        <v>76</v>
      </c>
      <c r="G1570" t="s">
        <v>34</v>
      </c>
      <c r="H1570" t="s">
        <v>3442</v>
      </c>
      <c r="I1570">
        <f>52-55-2345-123</f>
        <v>-2471</v>
      </c>
      <c r="J1570" s="1">
        <v>45099</v>
      </c>
      <c r="K1570" s="1">
        <v>45302</v>
      </c>
      <c r="L1570">
        <v>109600.9</v>
      </c>
      <c r="M1570">
        <v>67400.75</v>
      </c>
      <c r="N1570">
        <v>730</v>
      </c>
      <c r="O1570">
        <v>161000</v>
      </c>
      <c r="P1570" t="s">
        <v>26</v>
      </c>
      <c r="Q1570" t="s">
        <v>27</v>
      </c>
      <c r="R1570">
        <v>0</v>
      </c>
      <c r="S1570" t="s">
        <v>28</v>
      </c>
    </row>
    <row r="1571" spans="1:19">
      <c r="A1571" t="s">
        <v>527</v>
      </c>
      <c r="B1571" t="s">
        <v>3443</v>
      </c>
      <c r="C1571" t="s">
        <v>31</v>
      </c>
      <c r="D1571" t="s">
        <v>32</v>
      </c>
      <c r="E1571" t="s">
        <v>90</v>
      </c>
      <c r="F1571">
        <v>65</v>
      </c>
      <c r="G1571" t="s">
        <v>34</v>
      </c>
      <c r="H1571" t="s">
        <v>3444</v>
      </c>
      <c r="I1571">
        <f>81-90-7890-1234</f>
        <v>-9133</v>
      </c>
      <c r="J1571" s="1">
        <v>45724</v>
      </c>
      <c r="K1571" s="1">
        <v>45305</v>
      </c>
      <c r="L1571">
        <v>23700.400000000001</v>
      </c>
      <c r="M1571">
        <v>12800.25</v>
      </c>
      <c r="N1571">
        <v>705</v>
      </c>
      <c r="O1571">
        <v>75000</v>
      </c>
      <c r="P1571" t="s">
        <v>26</v>
      </c>
      <c r="Q1571" t="s">
        <v>43</v>
      </c>
      <c r="R1571">
        <v>0</v>
      </c>
      <c r="S1571" t="s">
        <v>28</v>
      </c>
    </row>
    <row r="1572" spans="1:19">
      <c r="A1572" t="s">
        <v>530</v>
      </c>
      <c r="B1572" t="s">
        <v>3445</v>
      </c>
      <c r="C1572" t="s">
        <v>57</v>
      </c>
      <c r="D1572" t="s">
        <v>219</v>
      </c>
      <c r="E1572" t="s">
        <v>220</v>
      </c>
      <c r="F1572">
        <v>70</v>
      </c>
      <c r="G1572" t="s">
        <v>24</v>
      </c>
      <c r="H1572" t="s">
        <v>3446</v>
      </c>
      <c r="I1572">
        <f>233-92-345-6789</f>
        <v>-6993</v>
      </c>
      <c r="J1572" s="1">
        <v>45648</v>
      </c>
      <c r="K1572" s="1">
        <v>45303</v>
      </c>
      <c r="L1572">
        <v>54100.6</v>
      </c>
      <c r="M1572">
        <v>20600.8</v>
      </c>
      <c r="N1572">
        <v>710</v>
      </c>
      <c r="O1572">
        <v>91000</v>
      </c>
      <c r="P1572" t="s">
        <v>36</v>
      </c>
      <c r="Q1572" t="s">
        <v>27</v>
      </c>
      <c r="R1572">
        <v>0</v>
      </c>
      <c r="S1572" t="s">
        <v>28</v>
      </c>
    </row>
    <row r="1573" spans="1:19">
      <c r="A1573" t="s">
        <v>533</v>
      </c>
      <c r="B1573" t="s">
        <v>3447</v>
      </c>
      <c r="C1573" t="s">
        <v>52</v>
      </c>
      <c r="D1573" t="s">
        <v>204</v>
      </c>
      <c r="E1573" t="s">
        <v>205</v>
      </c>
      <c r="F1573">
        <v>77</v>
      </c>
      <c r="G1573" t="s">
        <v>34</v>
      </c>
      <c r="H1573" t="s">
        <v>3448</v>
      </c>
      <c r="I1573">
        <f>7-921-876-54-32</f>
        <v>-1876</v>
      </c>
      <c r="J1573" s="1">
        <v>44948</v>
      </c>
      <c r="K1573" s="1">
        <v>45301</v>
      </c>
      <c r="L1573">
        <v>85400.25</v>
      </c>
      <c r="M1573">
        <v>58500.9</v>
      </c>
      <c r="N1573">
        <v>695</v>
      </c>
      <c r="O1573">
        <v>126000</v>
      </c>
      <c r="P1573" t="s">
        <v>26</v>
      </c>
      <c r="Q1573" t="s">
        <v>27</v>
      </c>
      <c r="R1573">
        <v>0</v>
      </c>
      <c r="S1573" t="s">
        <v>28</v>
      </c>
    </row>
    <row r="1574" spans="1:19">
      <c r="A1574" t="s">
        <v>536</v>
      </c>
      <c r="B1574" t="s">
        <v>3449</v>
      </c>
      <c r="C1574" t="s">
        <v>39</v>
      </c>
      <c r="D1574" t="s">
        <v>195</v>
      </c>
      <c r="E1574" t="s">
        <v>196</v>
      </c>
      <c r="F1574">
        <v>85</v>
      </c>
      <c r="G1574" t="s">
        <v>24</v>
      </c>
      <c r="H1574" t="s">
        <v>3450</v>
      </c>
      <c r="I1574">
        <f>353-24-234-5678</f>
        <v>-5583</v>
      </c>
      <c r="J1574" s="1">
        <v>44399</v>
      </c>
      <c r="K1574" s="1">
        <v>45300</v>
      </c>
      <c r="L1574">
        <v>149400.4</v>
      </c>
      <c r="M1574">
        <v>106000.6</v>
      </c>
      <c r="N1574">
        <v>670</v>
      </c>
      <c r="O1574">
        <v>193000</v>
      </c>
      <c r="P1574" t="s">
        <v>76</v>
      </c>
      <c r="Q1574" t="s">
        <v>27</v>
      </c>
      <c r="R1574">
        <v>0</v>
      </c>
      <c r="S1574" t="s">
        <v>28</v>
      </c>
    </row>
    <row r="1575" spans="1:19">
      <c r="A1575" t="s">
        <v>539</v>
      </c>
      <c r="B1575" t="s">
        <v>3451</v>
      </c>
      <c r="C1575" t="s">
        <v>21</v>
      </c>
      <c r="D1575" t="s">
        <v>58</v>
      </c>
      <c r="E1575" t="s">
        <v>59</v>
      </c>
      <c r="F1575">
        <v>93</v>
      </c>
      <c r="G1575" t="s">
        <v>34</v>
      </c>
      <c r="H1575" t="s">
        <v>3452</v>
      </c>
      <c r="I1575">
        <f>86-139-1234-5678</f>
        <v>-6965</v>
      </c>
      <c r="J1575" s="1">
        <v>43973</v>
      </c>
      <c r="K1575" s="1">
        <v>45299</v>
      </c>
      <c r="L1575">
        <v>316300.75</v>
      </c>
      <c r="M1575">
        <v>123000.8</v>
      </c>
      <c r="N1575">
        <v>835</v>
      </c>
      <c r="O1575">
        <v>338000</v>
      </c>
      <c r="P1575" t="s">
        <v>36</v>
      </c>
      <c r="Q1575" t="s">
        <v>27</v>
      </c>
      <c r="R1575">
        <v>0</v>
      </c>
      <c r="S1575" t="s">
        <v>28</v>
      </c>
    </row>
    <row r="1576" spans="1:19">
      <c r="A1576" t="s">
        <v>542</v>
      </c>
      <c r="B1576" t="s">
        <v>3453</v>
      </c>
      <c r="C1576" t="s">
        <v>52</v>
      </c>
      <c r="D1576" t="s">
        <v>68</v>
      </c>
      <c r="E1576" t="s">
        <v>114</v>
      </c>
      <c r="F1576">
        <v>80</v>
      </c>
      <c r="G1576" t="s">
        <v>34</v>
      </c>
      <c r="H1576" t="s">
        <v>3454</v>
      </c>
      <c r="I1576">
        <f>234-852-345-6789</f>
        <v>-7752</v>
      </c>
      <c r="J1576" s="1">
        <v>44917</v>
      </c>
      <c r="K1576" s="1">
        <v>45302</v>
      </c>
      <c r="L1576">
        <v>94100.6</v>
      </c>
      <c r="M1576">
        <v>64100.25</v>
      </c>
      <c r="N1576">
        <v>665</v>
      </c>
      <c r="O1576">
        <v>146000</v>
      </c>
      <c r="P1576" t="s">
        <v>26</v>
      </c>
      <c r="Q1576" t="s">
        <v>27</v>
      </c>
      <c r="R1576">
        <v>0</v>
      </c>
      <c r="S1576" t="s">
        <v>28</v>
      </c>
    </row>
    <row r="1577" spans="1:19">
      <c r="A1577" t="s">
        <v>545</v>
      </c>
      <c r="B1577" t="s">
        <v>3455</v>
      </c>
      <c r="C1577" t="s">
        <v>46</v>
      </c>
      <c r="D1577" t="s">
        <v>241</v>
      </c>
      <c r="E1577" t="s">
        <v>242</v>
      </c>
      <c r="F1577">
        <v>72</v>
      </c>
      <c r="G1577" t="s">
        <v>24</v>
      </c>
      <c r="H1577" t="s">
        <v>3456</v>
      </c>
      <c r="I1577">
        <f>39-386-12-3456</f>
        <v>-3815</v>
      </c>
      <c r="J1577" s="1">
        <v>45557</v>
      </c>
      <c r="K1577" s="1">
        <v>45303</v>
      </c>
      <c r="L1577">
        <v>117400.8</v>
      </c>
      <c r="M1577">
        <v>71600.399999999994</v>
      </c>
      <c r="N1577">
        <v>750</v>
      </c>
      <c r="O1577">
        <v>172000</v>
      </c>
      <c r="P1577" t="s">
        <v>26</v>
      </c>
      <c r="Q1577" t="s">
        <v>27</v>
      </c>
      <c r="R1577">
        <v>0</v>
      </c>
      <c r="S1577" t="s">
        <v>28</v>
      </c>
    </row>
    <row r="1578" spans="1:19">
      <c r="A1578" t="s">
        <v>548</v>
      </c>
      <c r="B1578" t="s">
        <v>3457</v>
      </c>
      <c r="C1578" t="s">
        <v>57</v>
      </c>
      <c r="D1578" t="s">
        <v>22</v>
      </c>
      <c r="E1578" t="s">
        <v>282</v>
      </c>
      <c r="F1578">
        <v>68</v>
      </c>
      <c r="G1578" t="s">
        <v>34</v>
      </c>
      <c r="H1578" t="s">
        <v>3458</v>
      </c>
      <c r="I1578">
        <f>1-206-555-194</f>
        <v>-954</v>
      </c>
      <c r="J1578" s="1">
        <v>45738</v>
      </c>
      <c r="K1578" s="1">
        <v>45305</v>
      </c>
      <c r="L1578">
        <v>56300.9</v>
      </c>
      <c r="M1578">
        <v>21600.75</v>
      </c>
      <c r="N1578">
        <v>770</v>
      </c>
      <c r="O1578">
        <v>103000</v>
      </c>
      <c r="P1578" t="s">
        <v>36</v>
      </c>
      <c r="Q1578" t="s">
        <v>27</v>
      </c>
      <c r="R1578">
        <v>0</v>
      </c>
      <c r="S1578" t="s">
        <v>28</v>
      </c>
    </row>
    <row r="1579" spans="1:19">
      <c r="A1579" t="s">
        <v>551</v>
      </c>
      <c r="B1579" t="s">
        <v>3459</v>
      </c>
      <c r="C1579" t="s">
        <v>39</v>
      </c>
      <c r="D1579" t="s">
        <v>313</v>
      </c>
      <c r="E1579" t="s">
        <v>385</v>
      </c>
      <c r="F1579">
        <v>91</v>
      </c>
      <c r="G1579" t="s">
        <v>24</v>
      </c>
      <c r="H1579" t="s">
        <v>3460</v>
      </c>
      <c r="I1579">
        <f>92-338-987654</f>
        <v>-987900</v>
      </c>
      <c r="J1579" s="1">
        <v>44157</v>
      </c>
      <c r="K1579" s="1">
        <v>45299</v>
      </c>
      <c r="L1579">
        <v>202500.25</v>
      </c>
      <c r="M1579">
        <v>127000.8</v>
      </c>
      <c r="N1579">
        <v>645</v>
      </c>
      <c r="O1579">
        <v>243000</v>
      </c>
      <c r="P1579" t="s">
        <v>76</v>
      </c>
      <c r="Q1579" t="s">
        <v>27</v>
      </c>
      <c r="R1579">
        <v>0</v>
      </c>
      <c r="S1579" t="s">
        <v>28</v>
      </c>
    </row>
    <row r="1580" spans="1:19">
      <c r="A1580" t="s">
        <v>554</v>
      </c>
      <c r="B1580" t="s">
        <v>3461</v>
      </c>
      <c r="C1580" t="s">
        <v>31</v>
      </c>
      <c r="D1580" t="s">
        <v>214</v>
      </c>
      <c r="E1580" t="s">
        <v>215</v>
      </c>
      <c r="F1580">
        <v>64</v>
      </c>
      <c r="G1580" t="s">
        <v>34</v>
      </c>
      <c r="H1580" t="s">
        <v>3462</v>
      </c>
      <c r="I1580">
        <f>34-661-234-567</f>
        <v>-1428</v>
      </c>
      <c r="J1580" s="1">
        <v>45728</v>
      </c>
      <c r="K1580" s="1">
        <v>45306</v>
      </c>
      <c r="L1580">
        <v>48200.5</v>
      </c>
      <c r="M1580">
        <v>21200.400000000001</v>
      </c>
      <c r="N1580">
        <v>720</v>
      </c>
      <c r="O1580">
        <v>80000</v>
      </c>
      <c r="P1580" t="s">
        <v>36</v>
      </c>
      <c r="Q1580" t="s">
        <v>27</v>
      </c>
      <c r="R1580">
        <v>0</v>
      </c>
      <c r="S1580" t="s">
        <v>28</v>
      </c>
    </row>
    <row r="1581" spans="1:19">
      <c r="A1581" t="s">
        <v>108</v>
      </c>
      <c r="B1581" t="s">
        <v>3463</v>
      </c>
      <c r="C1581" t="s">
        <v>84</v>
      </c>
      <c r="D1581" t="s">
        <v>32</v>
      </c>
      <c r="E1581" t="s">
        <v>33</v>
      </c>
      <c r="F1581">
        <v>60</v>
      </c>
      <c r="G1581" t="s">
        <v>24</v>
      </c>
      <c r="H1581" t="s">
        <v>3464</v>
      </c>
      <c r="I1581">
        <f>81-90-7890-1234</f>
        <v>-9133</v>
      </c>
      <c r="J1581" s="1">
        <v>45731</v>
      </c>
      <c r="K1581" s="1">
        <v>45304</v>
      </c>
      <c r="L1581">
        <v>5650.8</v>
      </c>
      <c r="M1581">
        <v>16200.25</v>
      </c>
      <c r="N1581">
        <v>605</v>
      </c>
      <c r="O1581">
        <v>56000</v>
      </c>
      <c r="P1581" t="s">
        <v>76</v>
      </c>
      <c r="Q1581" t="s">
        <v>43</v>
      </c>
      <c r="R1581">
        <v>0</v>
      </c>
      <c r="S1581" t="s">
        <v>28</v>
      </c>
    </row>
    <row r="1582" spans="1:19">
      <c r="A1582" t="s">
        <v>559</v>
      </c>
      <c r="B1582" t="s">
        <v>3465</v>
      </c>
      <c r="C1582" t="s">
        <v>46</v>
      </c>
      <c r="D1582" t="s">
        <v>254</v>
      </c>
      <c r="E1582" t="s">
        <v>255</v>
      </c>
      <c r="F1582">
        <v>74</v>
      </c>
      <c r="G1582" t="s">
        <v>34</v>
      </c>
      <c r="H1582" t="s">
        <v>3466</v>
      </c>
      <c r="I1582">
        <f>221-16-12-3456</f>
        <v>-3263</v>
      </c>
      <c r="J1582" s="1">
        <v>45434</v>
      </c>
      <c r="K1582" s="1">
        <v>45302</v>
      </c>
      <c r="L1582">
        <v>104100.4</v>
      </c>
      <c r="M1582">
        <v>66300.75</v>
      </c>
      <c r="N1582">
        <v>710</v>
      </c>
      <c r="O1582">
        <v>154000</v>
      </c>
      <c r="P1582" t="s">
        <v>26</v>
      </c>
      <c r="Q1582" t="s">
        <v>27</v>
      </c>
      <c r="R1582">
        <v>0</v>
      </c>
      <c r="S1582" t="s">
        <v>28</v>
      </c>
    </row>
    <row r="1583" spans="1:19">
      <c r="A1583" t="s">
        <v>562</v>
      </c>
      <c r="B1583" t="s">
        <v>3467</v>
      </c>
      <c r="C1583" t="s">
        <v>39</v>
      </c>
      <c r="D1583" t="s">
        <v>47</v>
      </c>
      <c r="E1583" t="s">
        <v>48</v>
      </c>
      <c r="F1583">
        <v>88</v>
      </c>
      <c r="G1583" t="s">
        <v>24</v>
      </c>
      <c r="H1583" t="s">
        <v>3468</v>
      </c>
      <c r="I1583">
        <f>44-79-3456-7890</f>
        <v>-11381</v>
      </c>
      <c r="J1583" s="1">
        <v>44308</v>
      </c>
      <c r="K1583" s="1">
        <v>45300</v>
      </c>
      <c r="L1583">
        <v>182700.6</v>
      </c>
      <c r="M1583">
        <v>120000.25</v>
      </c>
      <c r="N1583">
        <v>675</v>
      </c>
      <c r="O1583">
        <v>223000</v>
      </c>
      <c r="P1583" t="s">
        <v>76</v>
      </c>
      <c r="Q1583" t="s">
        <v>27</v>
      </c>
      <c r="R1583">
        <v>0</v>
      </c>
      <c r="S1583" t="s">
        <v>28</v>
      </c>
    </row>
    <row r="1584" spans="1:19">
      <c r="A1584" t="s">
        <v>565</v>
      </c>
      <c r="B1584" t="s">
        <v>3469</v>
      </c>
      <c r="C1584" t="s">
        <v>52</v>
      </c>
      <c r="D1584" t="s">
        <v>233</v>
      </c>
      <c r="E1584" t="s">
        <v>234</v>
      </c>
      <c r="F1584">
        <v>73</v>
      </c>
      <c r="G1584" t="s">
        <v>34</v>
      </c>
      <c r="H1584" t="s">
        <v>3470</v>
      </c>
      <c r="I1584">
        <f>82-10-2345-6789</f>
        <v>-9062</v>
      </c>
      <c r="J1584" s="1">
        <v>45221</v>
      </c>
      <c r="K1584" s="1">
        <v>45301</v>
      </c>
      <c r="L1584">
        <v>80500.75</v>
      </c>
      <c r="M1584">
        <v>57400.800000000003</v>
      </c>
      <c r="N1584">
        <v>725</v>
      </c>
      <c r="O1584">
        <v>120000</v>
      </c>
      <c r="P1584" t="s">
        <v>26</v>
      </c>
      <c r="Q1584" t="s">
        <v>27</v>
      </c>
      <c r="R1584">
        <v>0</v>
      </c>
      <c r="S1584" t="s">
        <v>28</v>
      </c>
    </row>
    <row r="1585" spans="1:19">
      <c r="A1585" t="s">
        <v>568</v>
      </c>
      <c r="B1585" t="s">
        <v>3471</v>
      </c>
      <c r="C1585" t="s">
        <v>57</v>
      </c>
      <c r="D1585" t="s">
        <v>79</v>
      </c>
      <c r="E1585" t="s">
        <v>80</v>
      </c>
      <c r="F1585">
        <v>71</v>
      </c>
      <c r="G1585" t="s">
        <v>24</v>
      </c>
      <c r="H1585" t="s">
        <v>3472</v>
      </c>
      <c r="I1585">
        <f>971-50-456-7890</f>
        <v>-7425</v>
      </c>
      <c r="J1585" s="1">
        <v>45679</v>
      </c>
      <c r="K1585" s="1">
        <v>45303</v>
      </c>
      <c r="L1585">
        <v>58500.4</v>
      </c>
      <c r="M1585">
        <v>22400.9</v>
      </c>
      <c r="N1585">
        <v>740</v>
      </c>
      <c r="O1585">
        <v>106000</v>
      </c>
      <c r="P1585" t="s">
        <v>36</v>
      </c>
      <c r="Q1585" t="s">
        <v>27</v>
      </c>
      <c r="R1585">
        <v>0</v>
      </c>
      <c r="S1585" t="s">
        <v>28</v>
      </c>
    </row>
    <row r="1586" spans="1:19">
      <c r="A1586" t="s">
        <v>571</v>
      </c>
      <c r="B1586" t="s">
        <v>3473</v>
      </c>
      <c r="C1586" t="s">
        <v>21</v>
      </c>
      <c r="D1586" t="s">
        <v>63</v>
      </c>
      <c r="E1586" t="s">
        <v>64</v>
      </c>
      <c r="F1586">
        <v>94</v>
      </c>
      <c r="G1586" t="s">
        <v>34</v>
      </c>
      <c r="H1586" t="s">
        <v>3474</v>
      </c>
      <c r="I1586">
        <f>55-11-99956-7890</f>
        <v>-107802</v>
      </c>
      <c r="J1586" s="1">
        <v>43852</v>
      </c>
      <c r="K1586" s="1">
        <v>45299</v>
      </c>
      <c r="L1586">
        <v>271600.90000000002</v>
      </c>
      <c r="M1586">
        <v>110000.6</v>
      </c>
      <c r="N1586">
        <v>830</v>
      </c>
      <c r="O1586">
        <v>318000</v>
      </c>
      <c r="P1586" t="s">
        <v>36</v>
      </c>
      <c r="Q1586" t="s">
        <v>27</v>
      </c>
      <c r="R1586">
        <v>0</v>
      </c>
      <c r="S1586" t="s">
        <v>28</v>
      </c>
    </row>
    <row r="1587" spans="1:19">
      <c r="A1587" t="s">
        <v>574</v>
      </c>
      <c r="B1587" t="s">
        <v>3475</v>
      </c>
      <c r="C1587" t="s">
        <v>39</v>
      </c>
      <c r="D1587" t="s">
        <v>68</v>
      </c>
      <c r="E1587" t="s">
        <v>179</v>
      </c>
      <c r="F1587">
        <v>86</v>
      </c>
      <c r="G1587" t="s">
        <v>24</v>
      </c>
      <c r="H1587" t="s">
        <v>3476</v>
      </c>
      <c r="I1587">
        <f>234-853-456-7890</f>
        <v>-8965</v>
      </c>
      <c r="J1587" s="1">
        <v>44451</v>
      </c>
      <c r="K1587" s="1">
        <v>45300</v>
      </c>
      <c r="L1587">
        <v>160500.25</v>
      </c>
      <c r="M1587">
        <v>112000.4</v>
      </c>
      <c r="N1587">
        <v>655</v>
      </c>
      <c r="O1587">
        <v>208000</v>
      </c>
      <c r="P1587" t="s">
        <v>76</v>
      </c>
      <c r="Q1587" t="s">
        <v>27</v>
      </c>
      <c r="R1587">
        <v>0</v>
      </c>
      <c r="S1587" t="s">
        <v>28</v>
      </c>
    </row>
    <row r="1588" spans="1:19">
      <c r="A1588" t="s">
        <v>577</v>
      </c>
      <c r="B1588" t="s">
        <v>3477</v>
      </c>
      <c r="C1588" t="s">
        <v>46</v>
      </c>
      <c r="D1588" t="s">
        <v>85</v>
      </c>
      <c r="E1588" t="s">
        <v>86</v>
      </c>
      <c r="F1588">
        <v>75</v>
      </c>
      <c r="G1588" t="s">
        <v>34</v>
      </c>
      <c r="H1588" t="s">
        <v>3478</v>
      </c>
      <c r="I1588">
        <f>1-647-555-198</f>
        <v>-1399</v>
      </c>
      <c r="J1588" s="1">
        <v>45344</v>
      </c>
      <c r="K1588" s="1">
        <v>45302</v>
      </c>
      <c r="L1588">
        <v>123000.6</v>
      </c>
      <c r="M1588">
        <v>74300.75</v>
      </c>
      <c r="N1588">
        <v>760</v>
      </c>
      <c r="O1588">
        <v>177000</v>
      </c>
      <c r="P1588" t="s">
        <v>26</v>
      </c>
      <c r="Q1588" t="s">
        <v>27</v>
      </c>
      <c r="R1588">
        <v>0</v>
      </c>
      <c r="S1588" t="s">
        <v>28</v>
      </c>
    </row>
    <row r="1589" spans="1:19">
      <c r="A1589" t="s">
        <v>458</v>
      </c>
      <c r="B1589" t="s">
        <v>3479</v>
      </c>
      <c r="C1589" t="s">
        <v>31</v>
      </c>
      <c r="D1589" t="s">
        <v>460</v>
      </c>
      <c r="E1589" t="s">
        <v>663</v>
      </c>
      <c r="F1589">
        <v>66</v>
      </c>
      <c r="G1589" t="s">
        <v>24</v>
      </c>
      <c r="H1589" t="s">
        <v>3480</v>
      </c>
      <c r="I1589">
        <f>62-850-1234-5678</f>
        <v>-7700</v>
      </c>
      <c r="J1589" s="1">
        <v>45724</v>
      </c>
      <c r="K1589" s="1">
        <v>45306</v>
      </c>
      <c r="L1589">
        <v>27400.25</v>
      </c>
      <c r="M1589">
        <v>16300.8</v>
      </c>
      <c r="N1589">
        <v>695</v>
      </c>
      <c r="O1589">
        <v>77000</v>
      </c>
      <c r="P1589" t="s">
        <v>26</v>
      </c>
      <c r="Q1589" t="s">
        <v>43</v>
      </c>
      <c r="R1589">
        <v>0</v>
      </c>
      <c r="S1589" t="s">
        <v>28</v>
      </c>
    </row>
    <row r="1590" spans="1:19">
      <c r="A1590" t="s">
        <v>582</v>
      </c>
      <c r="B1590" t="s">
        <v>3481</v>
      </c>
      <c r="C1590" t="s">
        <v>57</v>
      </c>
      <c r="D1590" t="s">
        <v>22</v>
      </c>
      <c r="E1590" t="s">
        <v>53</v>
      </c>
      <c r="F1590">
        <v>69</v>
      </c>
      <c r="G1590" t="s">
        <v>34</v>
      </c>
      <c r="H1590" t="s">
        <v>3482</v>
      </c>
      <c r="I1590">
        <f>1-773-555-194</f>
        <v>-1521</v>
      </c>
      <c r="J1590" s="1">
        <v>45618</v>
      </c>
      <c r="K1590" s="1">
        <v>45303</v>
      </c>
      <c r="L1590">
        <v>57400.9</v>
      </c>
      <c r="M1590">
        <v>22000.25</v>
      </c>
      <c r="N1590">
        <v>755</v>
      </c>
      <c r="O1590">
        <v>99000</v>
      </c>
      <c r="P1590" t="s">
        <v>36</v>
      </c>
      <c r="Q1590" t="s">
        <v>27</v>
      </c>
      <c r="R1590">
        <v>0</v>
      </c>
      <c r="S1590" t="s">
        <v>28</v>
      </c>
    </row>
    <row r="1591" spans="1:19">
      <c r="A1591" t="s">
        <v>55</v>
      </c>
      <c r="B1591" t="s">
        <v>3483</v>
      </c>
      <c r="C1591" t="s">
        <v>39</v>
      </c>
      <c r="D1591" t="s">
        <v>58</v>
      </c>
      <c r="E1591" t="s">
        <v>122</v>
      </c>
      <c r="F1591">
        <v>87</v>
      </c>
      <c r="G1591" t="s">
        <v>24</v>
      </c>
      <c r="H1591" t="s">
        <v>3484</v>
      </c>
      <c r="I1591">
        <f>86-138-5678-9012</f>
        <v>-14742</v>
      </c>
      <c r="J1591" s="1">
        <v>44369</v>
      </c>
      <c r="K1591" s="1">
        <v>45300</v>
      </c>
      <c r="L1591">
        <v>193400.4</v>
      </c>
      <c r="M1591">
        <v>125000.75</v>
      </c>
      <c r="N1591">
        <v>685</v>
      </c>
      <c r="O1591">
        <v>233000</v>
      </c>
      <c r="P1591" t="s">
        <v>76</v>
      </c>
      <c r="Q1591" t="s">
        <v>27</v>
      </c>
      <c r="R1591">
        <v>0</v>
      </c>
      <c r="S1591" t="s">
        <v>28</v>
      </c>
    </row>
    <row r="1592" spans="1:19">
      <c r="A1592" t="s">
        <v>469</v>
      </c>
      <c r="B1592" t="s">
        <v>3485</v>
      </c>
      <c r="C1592" t="s">
        <v>52</v>
      </c>
      <c r="D1592" t="s">
        <v>471</v>
      </c>
      <c r="E1592" t="s">
        <v>472</v>
      </c>
      <c r="F1592">
        <v>78</v>
      </c>
      <c r="G1592" t="s">
        <v>34</v>
      </c>
      <c r="H1592" t="s">
        <v>3486</v>
      </c>
      <c r="I1592">
        <f>48-738-12-345</f>
        <v>-1047</v>
      </c>
      <c r="J1592" s="1">
        <v>45007</v>
      </c>
      <c r="K1592" s="1">
        <v>45301</v>
      </c>
      <c r="L1592">
        <v>87400.8</v>
      </c>
      <c r="M1592">
        <v>60500.6</v>
      </c>
      <c r="N1592">
        <v>715</v>
      </c>
      <c r="O1592">
        <v>132000</v>
      </c>
      <c r="P1592" t="s">
        <v>26</v>
      </c>
      <c r="Q1592" t="s">
        <v>27</v>
      </c>
      <c r="R1592">
        <v>0</v>
      </c>
      <c r="S1592" t="s">
        <v>28</v>
      </c>
    </row>
    <row r="1593" spans="1:19">
      <c r="A1593" t="s">
        <v>474</v>
      </c>
      <c r="B1593" t="s">
        <v>3487</v>
      </c>
      <c r="C1593" t="s">
        <v>46</v>
      </c>
      <c r="D1593" t="s">
        <v>345</v>
      </c>
      <c r="E1593" t="s">
        <v>476</v>
      </c>
      <c r="F1593">
        <v>81</v>
      </c>
      <c r="G1593" t="s">
        <v>24</v>
      </c>
      <c r="H1593" t="s">
        <v>3488</v>
      </c>
      <c r="I1593">
        <f>880-1812-234567</f>
        <v>-235499</v>
      </c>
      <c r="J1593" s="1">
        <v>44917</v>
      </c>
      <c r="K1593" s="1">
        <v>45302</v>
      </c>
      <c r="L1593">
        <v>115200.25</v>
      </c>
      <c r="M1593">
        <v>70500.399999999994</v>
      </c>
      <c r="N1593">
        <v>680</v>
      </c>
      <c r="O1593">
        <v>161000</v>
      </c>
      <c r="P1593" t="s">
        <v>26</v>
      </c>
      <c r="Q1593" t="s">
        <v>27</v>
      </c>
      <c r="R1593">
        <v>0</v>
      </c>
      <c r="S1593" t="s">
        <v>28</v>
      </c>
    </row>
    <row r="1594" spans="1:19">
      <c r="A1594" t="s">
        <v>592</v>
      </c>
      <c r="B1594" t="s">
        <v>3489</v>
      </c>
      <c r="C1594" t="s">
        <v>84</v>
      </c>
      <c r="D1594" t="s">
        <v>32</v>
      </c>
      <c r="E1594" t="s">
        <v>90</v>
      </c>
      <c r="F1594">
        <v>61</v>
      </c>
      <c r="G1594" t="s">
        <v>34</v>
      </c>
      <c r="H1594" t="s">
        <v>3490</v>
      </c>
      <c r="I1594">
        <f>81-90-8901-2345</f>
        <v>-11255</v>
      </c>
      <c r="J1594" s="1">
        <v>45738</v>
      </c>
      <c r="K1594" s="1">
        <v>45304</v>
      </c>
      <c r="L1594">
        <v>5750.4</v>
      </c>
      <c r="M1594">
        <v>16800.75</v>
      </c>
      <c r="N1594">
        <v>610</v>
      </c>
      <c r="O1594">
        <v>57000</v>
      </c>
      <c r="P1594" t="s">
        <v>76</v>
      </c>
      <c r="Q1594" t="s">
        <v>43</v>
      </c>
      <c r="R1594">
        <v>0</v>
      </c>
      <c r="S1594" t="s">
        <v>28</v>
      </c>
    </row>
    <row r="1595" spans="1:19">
      <c r="A1595" t="s">
        <v>595</v>
      </c>
      <c r="B1595" t="s">
        <v>3491</v>
      </c>
      <c r="C1595" t="s">
        <v>21</v>
      </c>
      <c r="D1595" t="s">
        <v>209</v>
      </c>
      <c r="E1595" t="s">
        <v>210</v>
      </c>
      <c r="F1595">
        <v>93</v>
      </c>
      <c r="G1595" t="s">
        <v>24</v>
      </c>
      <c r="H1595" t="s">
        <v>3492</v>
      </c>
      <c r="I1595">
        <f>52-55-2345-123</f>
        <v>-2471</v>
      </c>
      <c r="J1595" s="1">
        <v>44065</v>
      </c>
      <c r="K1595" s="1">
        <v>45299</v>
      </c>
      <c r="L1595">
        <v>291400.8</v>
      </c>
      <c r="M1595">
        <v>116000.25</v>
      </c>
      <c r="N1595">
        <v>825</v>
      </c>
      <c r="O1595">
        <v>313000</v>
      </c>
      <c r="P1595" t="s">
        <v>36</v>
      </c>
      <c r="Q1595" t="s">
        <v>27</v>
      </c>
      <c r="R1595">
        <v>0</v>
      </c>
      <c r="S1595" t="s">
        <v>28</v>
      </c>
    </row>
    <row r="1596" spans="1:19">
      <c r="A1596" t="s">
        <v>226</v>
      </c>
      <c r="B1596" t="s">
        <v>3493</v>
      </c>
      <c r="C1596" t="s">
        <v>57</v>
      </c>
      <c r="D1596" t="s">
        <v>228</v>
      </c>
      <c r="E1596" t="s">
        <v>229</v>
      </c>
      <c r="F1596">
        <v>68</v>
      </c>
      <c r="G1596" t="s">
        <v>34</v>
      </c>
      <c r="H1596" t="s">
        <v>3494</v>
      </c>
      <c r="I1596">
        <f>254-762-345-678</f>
        <v>-1531</v>
      </c>
      <c r="J1596" s="1">
        <v>45799</v>
      </c>
      <c r="K1596" s="1">
        <v>45305</v>
      </c>
      <c r="L1596">
        <v>54100.75</v>
      </c>
      <c r="M1596">
        <v>20400.400000000001</v>
      </c>
      <c r="N1596">
        <v>725</v>
      </c>
      <c r="O1596">
        <v>89000</v>
      </c>
      <c r="P1596" t="s">
        <v>36</v>
      </c>
      <c r="Q1596" t="s">
        <v>27</v>
      </c>
      <c r="R1596">
        <v>0</v>
      </c>
      <c r="S1596" t="s">
        <v>28</v>
      </c>
    </row>
    <row r="1597" spans="1:19">
      <c r="A1597" t="s">
        <v>488</v>
      </c>
      <c r="B1597" t="s">
        <v>3495</v>
      </c>
      <c r="C1597" t="s">
        <v>39</v>
      </c>
      <c r="D1597" t="s">
        <v>304</v>
      </c>
      <c r="E1597" t="s">
        <v>304</v>
      </c>
      <c r="F1597">
        <v>85</v>
      </c>
      <c r="G1597" t="s">
        <v>24</v>
      </c>
      <c r="H1597" t="s">
        <v>3496</v>
      </c>
      <c r="I1597">
        <f>65-2190-1234</f>
        <v>-3359</v>
      </c>
      <c r="J1597" s="1">
        <v>44542</v>
      </c>
      <c r="K1597" s="1">
        <v>45300</v>
      </c>
      <c r="L1597">
        <v>171600.6</v>
      </c>
      <c r="M1597">
        <v>116000.9</v>
      </c>
      <c r="N1597">
        <v>675</v>
      </c>
      <c r="O1597">
        <v>213000</v>
      </c>
      <c r="P1597" t="s">
        <v>76</v>
      </c>
      <c r="Q1597" t="s">
        <v>27</v>
      </c>
      <c r="R1597">
        <v>0</v>
      </c>
      <c r="S1597" t="s">
        <v>28</v>
      </c>
    </row>
    <row r="1598" spans="1:19">
      <c r="A1598" t="s">
        <v>491</v>
      </c>
      <c r="B1598" t="s">
        <v>3497</v>
      </c>
      <c r="C1598" t="s">
        <v>52</v>
      </c>
      <c r="D1598" t="s">
        <v>493</v>
      </c>
      <c r="E1598" t="s">
        <v>494</v>
      </c>
      <c r="F1598">
        <v>76</v>
      </c>
      <c r="G1598" t="s">
        <v>34</v>
      </c>
      <c r="H1598" t="s">
        <v>3498</v>
      </c>
      <c r="I1598">
        <f>30-730-123-4567</f>
        <v>-5390</v>
      </c>
      <c r="J1598" s="1">
        <v>45313</v>
      </c>
      <c r="K1598" s="1">
        <v>45302</v>
      </c>
      <c r="L1598">
        <v>81600.399999999994</v>
      </c>
      <c r="M1598">
        <v>56300.25</v>
      </c>
      <c r="N1598">
        <v>705</v>
      </c>
      <c r="O1598">
        <v>121000</v>
      </c>
      <c r="P1598" t="s">
        <v>26</v>
      </c>
      <c r="Q1598" t="s">
        <v>27</v>
      </c>
      <c r="R1598">
        <v>0</v>
      </c>
      <c r="S1598" t="s">
        <v>28</v>
      </c>
    </row>
    <row r="1599" spans="1:19">
      <c r="A1599" t="s">
        <v>496</v>
      </c>
      <c r="B1599" t="s">
        <v>3499</v>
      </c>
      <c r="C1599" t="s">
        <v>46</v>
      </c>
      <c r="D1599" t="s">
        <v>321</v>
      </c>
      <c r="E1599" t="s">
        <v>322</v>
      </c>
      <c r="F1599">
        <v>79</v>
      </c>
      <c r="G1599" t="s">
        <v>24</v>
      </c>
      <c r="H1599" t="s">
        <v>3500</v>
      </c>
      <c r="I1599">
        <f>61-462-345-678</f>
        <v>-1424</v>
      </c>
      <c r="J1599" s="1">
        <v>44795</v>
      </c>
      <c r="K1599" s="1">
        <v>45301</v>
      </c>
      <c r="L1599">
        <v>126100.75</v>
      </c>
      <c r="M1599">
        <v>77400.800000000003</v>
      </c>
      <c r="N1599">
        <v>730</v>
      </c>
      <c r="O1599">
        <v>187000</v>
      </c>
      <c r="P1599" t="s">
        <v>26</v>
      </c>
      <c r="Q1599" t="s">
        <v>27</v>
      </c>
      <c r="R1599">
        <v>0</v>
      </c>
      <c r="S1599" t="s">
        <v>28</v>
      </c>
    </row>
    <row r="1600" spans="1:19">
      <c r="A1600" t="s">
        <v>324</v>
      </c>
      <c r="B1600" t="s">
        <v>3501</v>
      </c>
      <c r="C1600" t="s">
        <v>31</v>
      </c>
      <c r="D1600" t="s">
        <v>313</v>
      </c>
      <c r="E1600" t="s">
        <v>501</v>
      </c>
      <c r="F1600">
        <v>64</v>
      </c>
      <c r="G1600" t="s">
        <v>34</v>
      </c>
      <c r="H1600" t="s">
        <v>3502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3074-2810-4B3F-A9E4-6A7D2291BC4F}">
  <dimension ref="A1:X1600"/>
  <sheetViews>
    <sheetView topLeftCell="Q1" workbookViewId="0">
      <selection activeCell="X2" sqref="X2"/>
    </sheetView>
  </sheetViews>
  <sheetFormatPr defaultRowHeight="15"/>
  <cols>
    <col min="1" max="1" width="26.28515625" customWidth="1"/>
    <col min="2" max="2" width="21" customWidth="1"/>
    <col min="3" max="3" width="17.85546875" customWidth="1"/>
    <col min="4" max="4" width="16" customWidth="1"/>
    <col min="5" max="5" width="15.85546875" bestFit="1" customWidth="1"/>
    <col min="6" max="6" width="11.140625" customWidth="1"/>
    <col min="7" max="7" width="12.140625" customWidth="1"/>
    <col min="8" max="8" width="35.5703125" customWidth="1"/>
    <col min="9" max="9" width="19.28515625" bestFit="1" customWidth="1"/>
    <col min="10" max="10" width="24" bestFit="1" customWidth="1"/>
    <col min="11" max="11" width="17.85546875" bestFit="1" customWidth="1"/>
    <col min="12" max="12" width="16.140625" bestFit="1" customWidth="1"/>
    <col min="13" max="13" width="13.28515625" bestFit="1" customWidth="1"/>
    <col min="14" max="14" width="14.140625" bestFit="1" customWidth="1"/>
    <col min="15" max="15" width="28.140625" bestFit="1" customWidth="1"/>
    <col min="16" max="16" width="15.5703125" bestFit="1" customWidth="1"/>
    <col min="17" max="17" width="12.85546875" style="6" bestFit="1" customWidth="1"/>
    <col min="18" max="18" width="12.5703125" style="6" bestFit="1" customWidth="1"/>
    <col min="19" max="19" width="16.85546875" style="6" bestFit="1" customWidth="1"/>
    <col min="20" max="20" width="16.85546875" style="4" customWidth="1"/>
    <col min="21" max="21" width="16.85546875" style="6" customWidth="1"/>
    <col min="22" max="22" width="16.85546875" customWidth="1"/>
    <col min="23" max="23" width="15.85546875" customWidth="1"/>
    <col min="24" max="24" width="22.140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16</v>
      </c>
      <c r="R1" s="6" t="s">
        <v>17</v>
      </c>
      <c r="S1" s="6" t="s">
        <v>18</v>
      </c>
      <c r="T1" s="4" t="s">
        <v>3503</v>
      </c>
      <c r="U1" s="6" t="s">
        <v>3504</v>
      </c>
      <c r="V1" t="s">
        <v>3505</v>
      </c>
      <c r="W1" t="s">
        <v>3506</v>
      </c>
      <c r="X1" t="s">
        <v>3507</v>
      </c>
    </row>
    <row r="2" spans="1:24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>
        <v>42</v>
      </c>
      <c r="G2" s="6" t="s">
        <v>24</v>
      </c>
      <c r="H2" s="6" t="s">
        <v>25</v>
      </c>
      <c r="I2" s="6" t="s">
        <v>3508</v>
      </c>
      <c r="J2" s="8">
        <v>43539</v>
      </c>
      <c r="K2" s="8">
        <v>45303</v>
      </c>
      <c r="L2" s="6">
        <v>45250.75</v>
      </c>
      <c r="M2" s="6">
        <v>12500.5</v>
      </c>
      <c r="N2" s="6">
        <v>745</v>
      </c>
      <c r="O2" s="6">
        <v>85000</v>
      </c>
      <c r="P2" s="6" t="s">
        <v>26</v>
      </c>
      <c r="Q2" s="6" t="s">
        <v>27</v>
      </c>
      <c r="R2" s="6">
        <v>0</v>
      </c>
      <c r="S2" s="6" t="s">
        <v>28</v>
      </c>
      <c r="T2" s="7">
        <f>IFERROR(M2/O2,"")</f>
        <v>0.14706470588235293</v>
      </c>
      <c r="U2" s="6">
        <f t="shared" ref="U2:U65" si="0">MAX($K$2:$K$1599)-K2</f>
        <v>3</v>
      </c>
      <c r="V2" s="5" t="str">
        <f>IF(N2&lt;670,"FAIR", IF(N2&lt;750,"GOOD",IF(N2&lt;800,"VERY GOOD","EXCEPTIONAL")))</f>
        <v>GOOD</v>
      </c>
      <c r="W2" s="6" t="str">
        <f t="shared" ref="W2:W65" si="1">IF(F2&lt;25,"18-24",IF(F2&lt;35,"25-34",IF(F2&lt;45,"35-44",IF(F2&lt;55,"45-54","55+"))))</f>
        <v>35-44</v>
      </c>
      <c r="X2" s="6" t="str">
        <f t="shared" ref="X2:X65" si="2">IF(O2&lt;=_xlfn.QUARTILE.INC($O$2:$O$1599,1),"Low",IF(O2&lt;=_xlfn.QUARTILE.INC($O$2:$O$1599,2),"Lower-Middle",IF(O2&lt;=_xlfn.QUARTILE.INC($O$2:$O$1599,3),"Upper-Middle","High")))</f>
        <v>Lower-Middle</v>
      </c>
    </row>
    <row r="3" spans="1:24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>
        <v>28</v>
      </c>
      <c r="G3" s="6" t="s">
        <v>34</v>
      </c>
      <c r="H3" s="6" t="s">
        <v>35</v>
      </c>
      <c r="I3" s="6" t="s">
        <v>3509</v>
      </c>
      <c r="J3" s="8">
        <v>44764</v>
      </c>
      <c r="K3" s="8">
        <v>45305</v>
      </c>
      <c r="L3" s="6">
        <v>12800</v>
      </c>
      <c r="M3" s="6">
        <v>3500.25</v>
      </c>
      <c r="N3" s="6">
        <v>810</v>
      </c>
      <c r="O3" s="6">
        <v>45000</v>
      </c>
      <c r="P3" s="6" t="s">
        <v>36</v>
      </c>
      <c r="Q3" s="6" t="s">
        <v>27</v>
      </c>
      <c r="R3" s="6">
        <v>0</v>
      </c>
      <c r="S3" s="6" t="s">
        <v>28</v>
      </c>
      <c r="T3" s="7">
        <f t="shared" ref="T2:T65" si="3">IFERROR(M3/O3,"")</f>
        <v>7.7783333333333329E-2</v>
      </c>
      <c r="U3" s="6">
        <f t="shared" si="0"/>
        <v>1</v>
      </c>
      <c r="V3" s="5" t="str">
        <f t="shared" ref="V2:V65" si="4">IF(N3&lt;670,"FAIR", IF(N3&lt;750,"GOOD",IF(N3&lt;800,"VERY GOOD","EXCEPTIONAL")))</f>
        <v>EXCEPTIONAL</v>
      </c>
      <c r="W3" s="6" t="str">
        <f t="shared" si="1"/>
        <v>25-34</v>
      </c>
      <c r="X3" s="6" t="str">
        <f t="shared" si="2"/>
        <v>Low</v>
      </c>
    </row>
    <row r="4" spans="1:24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>
        <v>35</v>
      </c>
      <c r="G4" s="6" t="s">
        <v>24</v>
      </c>
      <c r="H4" s="6" t="s">
        <v>42</v>
      </c>
      <c r="I4" s="6" t="s">
        <v>3510</v>
      </c>
      <c r="J4" s="8">
        <v>44140</v>
      </c>
      <c r="K4" s="8">
        <v>45301</v>
      </c>
      <c r="L4" s="6">
        <v>87500.800000000003</v>
      </c>
      <c r="M4" s="6">
        <v>45000.75</v>
      </c>
      <c r="N4" s="6">
        <v>680</v>
      </c>
      <c r="O4" s="6">
        <v>120000</v>
      </c>
      <c r="P4" s="6" t="s">
        <v>26</v>
      </c>
      <c r="Q4" s="6" t="s">
        <v>43</v>
      </c>
      <c r="R4" s="6">
        <v>0</v>
      </c>
      <c r="S4" s="6" t="s">
        <v>28</v>
      </c>
      <c r="T4" s="7">
        <f t="shared" si="3"/>
        <v>0.37500624999999999</v>
      </c>
      <c r="U4" s="6">
        <f t="shared" si="0"/>
        <v>5</v>
      </c>
      <c r="V4" s="5" t="str">
        <f t="shared" si="4"/>
        <v>GOOD</v>
      </c>
      <c r="W4" s="6" t="str">
        <f t="shared" si="1"/>
        <v>35-44</v>
      </c>
      <c r="X4" s="6" t="str">
        <f t="shared" si="2"/>
        <v>Lower-Middle</v>
      </c>
    </row>
    <row r="5" spans="1:24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>
        <v>31</v>
      </c>
      <c r="G5" s="6" t="s">
        <v>34</v>
      </c>
      <c r="H5" s="6" t="s">
        <v>49</v>
      </c>
      <c r="I5" s="6" t="s">
        <v>3511</v>
      </c>
      <c r="J5" s="8">
        <v>44457</v>
      </c>
      <c r="K5" s="8">
        <v>45304</v>
      </c>
      <c r="L5" s="6">
        <v>25600.3</v>
      </c>
      <c r="M5" s="6">
        <v>18000</v>
      </c>
      <c r="N5" s="6">
        <v>720</v>
      </c>
      <c r="O5" s="6">
        <v>75000</v>
      </c>
      <c r="P5" s="6" t="s">
        <v>36</v>
      </c>
      <c r="Q5" s="6" t="s">
        <v>27</v>
      </c>
      <c r="R5" s="6">
        <v>0</v>
      </c>
      <c r="S5" s="6" t="s">
        <v>28</v>
      </c>
      <c r="T5" s="7">
        <f t="shared" si="3"/>
        <v>0.24</v>
      </c>
      <c r="U5" s="6">
        <f t="shared" si="0"/>
        <v>2</v>
      </c>
      <c r="V5" s="5" t="str">
        <f t="shared" si="4"/>
        <v>GOOD</v>
      </c>
      <c r="W5" s="6" t="str">
        <f t="shared" si="1"/>
        <v>25-34</v>
      </c>
      <c r="X5" s="6" t="str">
        <f t="shared" si="2"/>
        <v>Lower-Middle</v>
      </c>
    </row>
    <row r="6" spans="1:24">
      <c r="A6" s="6" t="s">
        <v>50</v>
      </c>
      <c r="B6" s="6" t="s">
        <v>51</v>
      </c>
      <c r="C6" s="6" t="s">
        <v>52</v>
      </c>
      <c r="D6" s="6" t="s">
        <v>22</v>
      </c>
      <c r="E6" s="6" t="s">
        <v>53</v>
      </c>
      <c r="F6" s="6">
        <v>45</v>
      </c>
      <c r="G6" s="6" t="s">
        <v>24</v>
      </c>
      <c r="H6" s="6" t="s">
        <v>54</v>
      </c>
      <c r="I6" s="6" t="s">
        <v>3512</v>
      </c>
      <c r="J6" s="8">
        <v>43250</v>
      </c>
      <c r="K6" s="8">
        <v>45302</v>
      </c>
      <c r="L6" s="6">
        <v>67500.45</v>
      </c>
      <c r="M6" s="6">
        <v>25000.799999999999</v>
      </c>
      <c r="N6" s="6">
        <v>695</v>
      </c>
      <c r="O6" s="6">
        <v>95000</v>
      </c>
      <c r="P6" s="6" t="s">
        <v>26</v>
      </c>
      <c r="Q6" s="6" t="s">
        <v>27</v>
      </c>
      <c r="R6" s="6">
        <v>0</v>
      </c>
      <c r="S6" s="6" t="s">
        <v>28</v>
      </c>
      <c r="T6" s="7">
        <f t="shared" si="3"/>
        <v>0.26316631578947369</v>
      </c>
      <c r="U6" s="6">
        <f t="shared" si="0"/>
        <v>4</v>
      </c>
      <c r="V6" s="5" t="str">
        <f t="shared" si="4"/>
        <v>GOOD</v>
      </c>
      <c r="W6" s="6" t="str">
        <f t="shared" si="1"/>
        <v>45-54</v>
      </c>
      <c r="X6" s="6" t="str">
        <f t="shared" si="2"/>
        <v>Lower-Middle</v>
      </c>
    </row>
    <row r="7" spans="1:24">
      <c r="A7" s="6" t="s">
        <v>55</v>
      </c>
      <c r="B7" s="6" t="s">
        <v>56</v>
      </c>
      <c r="C7" s="6" t="s">
        <v>57</v>
      </c>
      <c r="D7" s="6" t="s">
        <v>58</v>
      </c>
      <c r="E7" s="6" t="s">
        <v>59</v>
      </c>
      <c r="F7" s="6">
        <v>26</v>
      </c>
      <c r="G7" s="6" t="s">
        <v>24</v>
      </c>
      <c r="H7" s="6" t="s">
        <v>60</v>
      </c>
      <c r="I7" s="6" t="s">
        <v>3513</v>
      </c>
      <c r="J7" s="8">
        <v>44971</v>
      </c>
      <c r="K7" s="8">
        <v>45306</v>
      </c>
      <c r="L7" s="6">
        <v>9800.25</v>
      </c>
      <c r="M7" s="6">
        <v>4200.5</v>
      </c>
      <c r="N7" s="6">
        <v>780</v>
      </c>
      <c r="O7" s="6">
        <v>38000</v>
      </c>
      <c r="P7" s="6" t="s">
        <v>36</v>
      </c>
      <c r="Q7" s="6" t="s">
        <v>27</v>
      </c>
      <c r="R7" s="6">
        <v>0</v>
      </c>
      <c r="S7" s="6" t="s">
        <v>28</v>
      </c>
      <c r="T7" s="7">
        <f t="shared" si="3"/>
        <v>0.11053947368421052</v>
      </c>
      <c r="U7" s="6">
        <f t="shared" si="0"/>
        <v>0</v>
      </c>
      <c r="V7" s="5" t="str">
        <f t="shared" si="4"/>
        <v>VERY GOOD</v>
      </c>
      <c r="W7" s="6" t="str">
        <f t="shared" si="1"/>
        <v>25-34</v>
      </c>
      <c r="X7" s="6" t="str">
        <f t="shared" si="2"/>
        <v>Low</v>
      </c>
    </row>
    <row r="8" spans="1:24">
      <c r="A8" s="6" t="s">
        <v>61</v>
      </c>
      <c r="B8" s="6" t="s">
        <v>62</v>
      </c>
      <c r="C8" s="6" t="s">
        <v>52</v>
      </c>
      <c r="D8" s="6" t="s">
        <v>63</v>
      </c>
      <c r="E8" s="6" t="s">
        <v>3514</v>
      </c>
      <c r="F8" s="6">
        <v>39</v>
      </c>
      <c r="G8" s="6" t="s">
        <v>34</v>
      </c>
      <c r="H8" s="6" t="s">
        <v>65</v>
      </c>
      <c r="I8" s="6" t="s">
        <v>3515</v>
      </c>
      <c r="J8" s="8">
        <v>43689</v>
      </c>
      <c r="K8" s="8">
        <v>45300</v>
      </c>
      <c r="L8" s="6">
        <v>32400.6</v>
      </c>
      <c r="M8" s="6">
        <v>15800.25</v>
      </c>
      <c r="N8" s="6">
        <v>710</v>
      </c>
      <c r="O8" s="6">
        <v>68000</v>
      </c>
      <c r="P8" s="6" t="s">
        <v>26</v>
      </c>
      <c r="Q8" s="6" t="s">
        <v>27</v>
      </c>
      <c r="R8" s="6">
        <v>0</v>
      </c>
      <c r="S8" s="6" t="s">
        <v>28</v>
      </c>
      <c r="T8" s="7">
        <f t="shared" si="3"/>
        <v>0.23235661764705881</v>
      </c>
      <c r="U8" s="6">
        <f t="shared" si="0"/>
        <v>6</v>
      </c>
      <c r="V8" s="5" t="str">
        <f t="shared" si="4"/>
        <v>GOOD</v>
      </c>
      <c r="W8" s="6" t="str">
        <f t="shared" si="1"/>
        <v>35-44</v>
      </c>
      <c r="X8" s="6" t="str">
        <f t="shared" si="2"/>
        <v>Low</v>
      </c>
    </row>
    <row r="9" spans="1:24">
      <c r="A9" s="6" t="s">
        <v>66</v>
      </c>
      <c r="B9" s="6" t="s">
        <v>67</v>
      </c>
      <c r="C9" s="6" t="s">
        <v>31</v>
      </c>
      <c r="D9" s="6" t="s">
        <v>68</v>
      </c>
      <c r="E9" s="6" t="s">
        <v>69</v>
      </c>
      <c r="F9" s="6">
        <v>24</v>
      </c>
      <c r="G9" s="6" t="s">
        <v>34</v>
      </c>
      <c r="H9" s="6" t="s">
        <v>70</v>
      </c>
      <c r="I9" s="6" t="s">
        <v>3516</v>
      </c>
      <c r="J9" s="8">
        <v>45066</v>
      </c>
      <c r="K9" s="8">
        <v>45305</v>
      </c>
      <c r="L9" s="6">
        <v>5600.75</v>
      </c>
      <c r="M9" s="6">
        <v>3200</v>
      </c>
      <c r="N9" s="6">
        <v>650</v>
      </c>
      <c r="O9" s="6">
        <v>29000</v>
      </c>
      <c r="P9" s="6" t="s">
        <v>26</v>
      </c>
      <c r="Q9" s="6" t="s">
        <v>43</v>
      </c>
      <c r="R9" s="6">
        <v>0</v>
      </c>
      <c r="S9" s="6" t="s">
        <v>28</v>
      </c>
      <c r="T9" s="7">
        <f t="shared" si="3"/>
        <v>0.1103448275862069</v>
      </c>
      <c r="U9" s="6">
        <f t="shared" si="0"/>
        <v>1</v>
      </c>
      <c r="V9" s="5" t="str">
        <f t="shared" si="4"/>
        <v>FAIR</v>
      </c>
      <c r="W9" s="6" t="str">
        <f t="shared" si="1"/>
        <v>18-24</v>
      </c>
      <c r="X9" s="6" t="str">
        <f t="shared" si="2"/>
        <v>Low</v>
      </c>
    </row>
    <row r="10" spans="1:24">
      <c r="A10" s="6" t="s">
        <v>3517</v>
      </c>
      <c r="B10" s="6" t="s">
        <v>72</v>
      </c>
      <c r="C10" s="6" t="s">
        <v>39</v>
      </c>
      <c r="D10" s="6" t="s">
        <v>73</v>
      </c>
      <c r="E10" s="6" t="s">
        <v>74</v>
      </c>
      <c r="F10" s="6">
        <v>52</v>
      </c>
      <c r="G10" s="6" t="s">
        <v>24</v>
      </c>
      <c r="H10" s="6" t="s">
        <v>75</v>
      </c>
      <c r="I10" s="6" t="s">
        <v>3518</v>
      </c>
      <c r="J10" s="8">
        <v>43072</v>
      </c>
      <c r="K10" s="8">
        <v>45299</v>
      </c>
      <c r="L10" s="6">
        <v>124500.9</v>
      </c>
      <c r="M10" s="6">
        <v>75000.399999999994</v>
      </c>
      <c r="N10" s="6">
        <v>665</v>
      </c>
      <c r="O10" s="6">
        <v>150000</v>
      </c>
      <c r="P10" s="6" t="s">
        <v>76</v>
      </c>
      <c r="Q10" s="6" t="s">
        <v>27</v>
      </c>
      <c r="R10" s="6">
        <v>0</v>
      </c>
      <c r="S10" s="6" t="s">
        <v>28</v>
      </c>
      <c r="T10" s="7">
        <f t="shared" si="3"/>
        <v>0.5000026666666666</v>
      </c>
      <c r="U10" s="6">
        <f t="shared" si="0"/>
        <v>7</v>
      </c>
      <c r="V10" s="5" t="str">
        <f t="shared" si="4"/>
        <v>FAIR</v>
      </c>
      <c r="W10" s="6" t="str">
        <f t="shared" si="1"/>
        <v>45-54</v>
      </c>
      <c r="X10" s="6" t="str">
        <f t="shared" si="2"/>
        <v>Upper-Middle</v>
      </c>
    </row>
    <row r="11" spans="1:24">
      <c r="A11" s="6" t="s">
        <v>77</v>
      </c>
      <c r="B11" s="6" t="s">
        <v>78</v>
      </c>
      <c r="C11" s="6" t="s">
        <v>46</v>
      </c>
      <c r="D11" s="6" t="s">
        <v>79</v>
      </c>
      <c r="E11" s="6" t="s">
        <v>80</v>
      </c>
      <c r="F11" s="6">
        <v>36</v>
      </c>
      <c r="G11" s="6" t="s">
        <v>34</v>
      </c>
      <c r="H11" s="6" t="s">
        <v>81</v>
      </c>
      <c r="I11" s="6" t="s">
        <v>3519</v>
      </c>
      <c r="J11" s="8">
        <v>44311</v>
      </c>
      <c r="K11" s="8">
        <v>45303</v>
      </c>
      <c r="L11" s="6">
        <v>78900.25</v>
      </c>
      <c r="M11" s="6">
        <v>32000.75</v>
      </c>
      <c r="N11" s="6">
        <v>730</v>
      </c>
      <c r="O11" s="6">
        <v>110000</v>
      </c>
      <c r="P11" s="6" t="s">
        <v>26</v>
      </c>
      <c r="Q11" s="6" t="s">
        <v>27</v>
      </c>
      <c r="R11" s="6">
        <v>0</v>
      </c>
      <c r="S11" s="6" t="s">
        <v>28</v>
      </c>
      <c r="T11" s="7">
        <f t="shared" si="3"/>
        <v>0.29091590909090909</v>
      </c>
      <c r="U11" s="6">
        <f t="shared" si="0"/>
        <v>3</v>
      </c>
      <c r="V11" s="5" t="str">
        <f t="shared" si="4"/>
        <v>GOOD</v>
      </c>
      <c r="W11" s="6" t="str">
        <f t="shared" si="1"/>
        <v>35-44</v>
      </c>
      <c r="X11" s="6" t="str">
        <f t="shared" si="2"/>
        <v>Lower-Middle</v>
      </c>
    </row>
    <row r="12" spans="1:24">
      <c r="A12" s="6" t="s">
        <v>82</v>
      </c>
      <c r="B12" s="6" t="s">
        <v>83</v>
      </c>
      <c r="C12" s="6" t="s">
        <v>84</v>
      </c>
      <c r="D12" s="6" t="s">
        <v>85</v>
      </c>
      <c r="E12" s="6" t="s">
        <v>86</v>
      </c>
      <c r="F12" s="6">
        <v>21</v>
      </c>
      <c r="G12" s="6" t="s">
        <v>24</v>
      </c>
      <c r="H12" s="6" t="s">
        <v>87</v>
      </c>
      <c r="I12" s="6" t="s">
        <v>3520</v>
      </c>
      <c r="J12" s="8">
        <v>45179</v>
      </c>
      <c r="K12" s="8">
        <v>45304</v>
      </c>
      <c r="L12" s="6">
        <v>3200.5</v>
      </c>
      <c r="M12" s="6">
        <v>12500.8</v>
      </c>
      <c r="N12" s="6">
        <v>625</v>
      </c>
      <c r="O12" s="6">
        <v>22000</v>
      </c>
      <c r="P12" s="6" t="s">
        <v>76</v>
      </c>
      <c r="Q12" s="6" t="s">
        <v>43</v>
      </c>
      <c r="R12" s="6">
        <v>0</v>
      </c>
      <c r="S12" s="6" t="s">
        <v>28</v>
      </c>
      <c r="T12" s="7">
        <f t="shared" si="3"/>
        <v>0.56821818181818173</v>
      </c>
      <c r="U12" s="6">
        <f t="shared" si="0"/>
        <v>2</v>
      </c>
      <c r="V12" s="5" t="str">
        <f t="shared" si="4"/>
        <v>FAIR</v>
      </c>
      <c r="W12" s="6" t="str">
        <f t="shared" si="1"/>
        <v>18-24</v>
      </c>
      <c r="X12" s="6" t="str">
        <f t="shared" si="2"/>
        <v>Low</v>
      </c>
    </row>
    <row r="13" spans="1:24">
      <c r="A13" s="6" t="s">
        <v>88</v>
      </c>
      <c r="B13" s="6" t="s">
        <v>89</v>
      </c>
      <c r="C13" s="6" t="s">
        <v>21</v>
      </c>
      <c r="D13" s="6" t="s">
        <v>32</v>
      </c>
      <c r="E13" s="6" t="s">
        <v>90</v>
      </c>
      <c r="F13" s="6">
        <v>48</v>
      </c>
      <c r="G13" s="6" t="s">
        <v>34</v>
      </c>
      <c r="H13" s="6" t="s">
        <v>91</v>
      </c>
      <c r="I13" s="6" t="s">
        <v>3521</v>
      </c>
      <c r="J13" s="8">
        <v>43847</v>
      </c>
      <c r="K13" s="8">
        <v>45301</v>
      </c>
      <c r="L13" s="6">
        <v>95600.4</v>
      </c>
      <c r="M13" s="6">
        <v>28000.6</v>
      </c>
      <c r="N13" s="6">
        <v>775</v>
      </c>
      <c r="O13" s="6">
        <v>125000</v>
      </c>
      <c r="P13" s="6" t="s">
        <v>36</v>
      </c>
      <c r="Q13" s="6" t="s">
        <v>27</v>
      </c>
      <c r="R13" s="6">
        <v>0</v>
      </c>
      <c r="S13" s="6" t="s">
        <v>28</v>
      </c>
      <c r="T13" s="7">
        <f t="shared" si="3"/>
        <v>0.22400479999999998</v>
      </c>
      <c r="U13" s="6">
        <f t="shared" si="0"/>
        <v>5</v>
      </c>
      <c r="V13" s="5" t="str">
        <f t="shared" si="4"/>
        <v>VERY GOOD</v>
      </c>
      <c r="W13" s="6" t="str">
        <f t="shared" si="1"/>
        <v>45-54</v>
      </c>
      <c r="X13" s="6" t="str">
        <f t="shared" si="2"/>
        <v>Lower-Middle</v>
      </c>
    </row>
    <row r="14" spans="1:24">
      <c r="A14" s="6" t="s">
        <v>92</v>
      </c>
      <c r="B14" s="6" t="s">
        <v>93</v>
      </c>
      <c r="C14" s="6" t="s">
        <v>52</v>
      </c>
      <c r="D14" s="6" t="s">
        <v>40</v>
      </c>
      <c r="E14" s="6" t="s">
        <v>94</v>
      </c>
      <c r="F14" s="6">
        <v>33</v>
      </c>
      <c r="G14" s="6" t="s">
        <v>24</v>
      </c>
      <c r="H14" s="6" t="s">
        <v>95</v>
      </c>
      <c r="I14" s="6" t="s">
        <v>3522</v>
      </c>
      <c r="J14" s="8">
        <v>44530</v>
      </c>
      <c r="K14" s="8">
        <v>45302</v>
      </c>
      <c r="L14" s="6">
        <v>42300.800000000003</v>
      </c>
      <c r="M14" s="6">
        <v>19500.25</v>
      </c>
      <c r="N14" s="6">
        <v>690</v>
      </c>
      <c r="O14" s="6">
        <v>78000</v>
      </c>
      <c r="P14" s="6" t="s">
        <v>26</v>
      </c>
      <c r="Q14" s="6" t="s">
        <v>27</v>
      </c>
      <c r="R14" s="6">
        <v>0</v>
      </c>
      <c r="S14" s="6" t="s">
        <v>28</v>
      </c>
      <c r="T14" s="7">
        <f t="shared" si="3"/>
        <v>0.25000320512820512</v>
      </c>
      <c r="U14" s="6">
        <f t="shared" si="0"/>
        <v>4</v>
      </c>
      <c r="V14" s="5" t="str">
        <f t="shared" si="4"/>
        <v>GOOD</v>
      </c>
      <c r="W14" s="6" t="str">
        <f t="shared" si="1"/>
        <v>25-34</v>
      </c>
      <c r="X14" s="6" t="str">
        <f t="shared" si="2"/>
        <v>Lower-Middle</v>
      </c>
    </row>
    <row r="15" spans="1:24">
      <c r="A15" s="6" t="s">
        <v>96</v>
      </c>
      <c r="B15" s="6" t="s">
        <v>97</v>
      </c>
      <c r="C15" s="6" t="s">
        <v>57</v>
      </c>
      <c r="D15" s="6" t="s">
        <v>47</v>
      </c>
      <c r="E15" s="6" t="s">
        <v>98</v>
      </c>
      <c r="F15" s="6">
        <v>29</v>
      </c>
      <c r="G15" s="6" t="s">
        <v>34</v>
      </c>
      <c r="H15" s="6" t="s">
        <v>99</v>
      </c>
      <c r="I15" s="6" t="s">
        <v>3523</v>
      </c>
      <c r="J15" s="8">
        <v>44642</v>
      </c>
      <c r="K15" s="8">
        <v>45305</v>
      </c>
      <c r="L15" s="6">
        <v>15800.9</v>
      </c>
      <c r="M15" s="6">
        <v>8200.75</v>
      </c>
      <c r="N15" s="6">
        <v>745</v>
      </c>
      <c r="O15" s="6">
        <v>52000</v>
      </c>
      <c r="P15" s="6" t="s">
        <v>36</v>
      </c>
      <c r="Q15" s="6" t="s">
        <v>27</v>
      </c>
      <c r="R15" s="6">
        <v>0</v>
      </c>
      <c r="S15" s="6" t="s">
        <v>28</v>
      </c>
      <c r="T15" s="7">
        <f t="shared" si="3"/>
        <v>0.15770673076923078</v>
      </c>
      <c r="U15" s="6">
        <f t="shared" si="0"/>
        <v>1</v>
      </c>
      <c r="V15" s="5" t="str">
        <f t="shared" si="4"/>
        <v>GOOD</v>
      </c>
      <c r="W15" s="6" t="str">
        <f t="shared" si="1"/>
        <v>25-34</v>
      </c>
      <c r="X15" s="6" t="str">
        <f t="shared" si="2"/>
        <v>Low</v>
      </c>
    </row>
    <row r="16" spans="1:24">
      <c r="A16" s="6" t="s">
        <v>100</v>
      </c>
      <c r="B16" s="6" t="s">
        <v>101</v>
      </c>
      <c r="C16" s="6" t="s">
        <v>39</v>
      </c>
      <c r="D16" s="6" t="s">
        <v>79</v>
      </c>
      <c r="E16" s="6" t="s">
        <v>102</v>
      </c>
      <c r="F16" s="6">
        <v>44</v>
      </c>
      <c r="G16" s="6" t="s">
        <v>24</v>
      </c>
      <c r="H16" s="6" t="s">
        <v>103</v>
      </c>
      <c r="I16" s="6" t="s">
        <v>3524</v>
      </c>
      <c r="J16" s="8">
        <v>43300</v>
      </c>
      <c r="K16" s="8">
        <v>45300</v>
      </c>
      <c r="L16" s="6">
        <v>187600.3</v>
      </c>
      <c r="M16" s="6">
        <v>92000.8</v>
      </c>
      <c r="N16" s="6">
        <v>655</v>
      </c>
      <c r="O16" s="6">
        <v>180000</v>
      </c>
      <c r="P16" s="6" t="s">
        <v>76</v>
      </c>
      <c r="Q16" s="6" t="s">
        <v>27</v>
      </c>
      <c r="R16" s="6">
        <v>0</v>
      </c>
      <c r="S16" s="6" t="s">
        <v>28</v>
      </c>
      <c r="T16" s="7">
        <f t="shared" si="3"/>
        <v>0.51111555555555555</v>
      </c>
      <c r="U16" s="6">
        <f t="shared" si="0"/>
        <v>6</v>
      </c>
      <c r="V16" s="5" t="str">
        <f t="shared" si="4"/>
        <v>FAIR</v>
      </c>
      <c r="W16" s="6" t="str">
        <f t="shared" si="1"/>
        <v>35-44</v>
      </c>
      <c r="X16" s="6" t="str">
        <f t="shared" si="2"/>
        <v>Upper-Middle</v>
      </c>
    </row>
    <row r="17" spans="1:24">
      <c r="A17" s="6" t="s">
        <v>104</v>
      </c>
      <c r="B17" s="6" t="s">
        <v>105</v>
      </c>
      <c r="C17" s="6" t="s">
        <v>31</v>
      </c>
      <c r="D17" s="6" t="s">
        <v>63</v>
      </c>
      <c r="E17" s="6" t="s">
        <v>106</v>
      </c>
      <c r="F17" s="6">
        <v>27</v>
      </c>
      <c r="G17" s="6" t="s">
        <v>34</v>
      </c>
      <c r="H17" s="6" t="s">
        <v>107</v>
      </c>
      <c r="I17" s="6" t="s">
        <v>3525</v>
      </c>
      <c r="J17" s="8">
        <v>44941</v>
      </c>
      <c r="K17" s="8">
        <v>45306</v>
      </c>
      <c r="L17" s="6">
        <v>7200.4</v>
      </c>
      <c r="M17" s="6">
        <v>4800.8999999999996</v>
      </c>
      <c r="N17" s="6">
        <v>720</v>
      </c>
      <c r="O17" s="6">
        <v>41000</v>
      </c>
      <c r="P17" s="6" t="s">
        <v>36</v>
      </c>
      <c r="Q17" s="6" t="s">
        <v>27</v>
      </c>
      <c r="R17" s="6">
        <v>0</v>
      </c>
      <c r="S17" s="6" t="s">
        <v>28</v>
      </c>
      <c r="T17" s="7">
        <f t="shared" si="3"/>
        <v>0.1170951219512195</v>
      </c>
      <c r="U17" s="6">
        <f t="shared" si="0"/>
        <v>0</v>
      </c>
      <c r="V17" s="5" t="str">
        <f t="shared" si="4"/>
        <v>GOOD</v>
      </c>
      <c r="W17" s="6" t="str">
        <f t="shared" si="1"/>
        <v>25-34</v>
      </c>
      <c r="X17" s="6" t="str">
        <f t="shared" si="2"/>
        <v>Low</v>
      </c>
    </row>
    <row r="18" spans="1:24">
      <c r="A18" s="6" t="s">
        <v>108</v>
      </c>
      <c r="B18" s="6" t="s">
        <v>109</v>
      </c>
      <c r="C18" s="6" t="s">
        <v>21</v>
      </c>
      <c r="D18" s="6" t="s">
        <v>32</v>
      </c>
      <c r="E18" s="6" t="s">
        <v>110</v>
      </c>
      <c r="F18" s="6">
        <v>55</v>
      </c>
      <c r="G18" s="6" t="s">
        <v>24</v>
      </c>
      <c r="H18" s="6" t="s">
        <v>111</v>
      </c>
      <c r="I18" s="6" t="s">
        <v>3526</v>
      </c>
      <c r="J18" s="8">
        <v>42641</v>
      </c>
      <c r="K18" s="8">
        <v>45299</v>
      </c>
      <c r="L18" s="6">
        <v>203400.75</v>
      </c>
      <c r="M18" s="6">
        <v>45000.25</v>
      </c>
      <c r="N18" s="6">
        <v>805</v>
      </c>
      <c r="O18" s="6">
        <v>220000</v>
      </c>
      <c r="P18" s="6" t="s">
        <v>36</v>
      </c>
      <c r="Q18" s="6" t="s">
        <v>27</v>
      </c>
      <c r="R18" s="6">
        <v>0</v>
      </c>
      <c r="S18" s="6" t="s">
        <v>28</v>
      </c>
      <c r="T18" s="7">
        <f t="shared" si="3"/>
        <v>0.20454659090909091</v>
      </c>
      <c r="U18" s="6">
        <f t="shared" si="0"/>
        <v>7</v>
      </c>
      <c r="V18" s="5" t="str">
        <f t="shared" si="4"/>
        <v>EXCEPTIONAL</v>
      </c>
      <c r="W18" s="6" t="str">
        <f t="shared" si="1"/>
        <v>55+</v>
      </c>
      <c r="X18" s="6" t="str">
        <f t="shared" si="2"/>
        <v>High</v>
      </c>
    </row>
    <row r="19" spans="1:24">
      <c r="A19" s="6" t="s">
        <v>112</v>
      </c>
      <c r="B19" s="6" t="s">
        <v>113</v>
      </c>
      <c r="C19" s="6" t="s">
        <v>52</v>
      </c>
      <c r="D19" s="6" t="s">
        <v>68</v>
      </c>
      <c r="E19" s="6" t="s">
        <v>114</v>
      </c>
      <c r="F19" s="6">
        <v>38</v>
      </c>
      <c r="G19" s="6" t="s">
        <v>24</v>
      </c>
      <c r="H19" s="6" t="s">
        <v>115</v>
      </c>
      <c r="I19" s="6" t="s">
        <v>3527</v>
      </c>
      <c r="J19" s="8">
        <v>43996</v>
      </c>
      <c r="K19" s="8">
        <v>45303</v>
      </c>
      <c r="L19" s="6">
        <v>28900.6</v>
      </c>
      <c r="M19" s="6">
        <v>13400.8</v>
      </c>
      <c r="N19" s="6">
        <v>675</v>
      </c>
      <c r="O19" s="6">
        <v>72000</v>
      </c>
      <c r="P19" s="6" t="s">
        <v>26</v>
      </c>
      <c r="Q19" s="6" t="s">
        <v>27</v>
      </c>
      <c r="R19" s="6">
        <v>0</v>
      </c>
      <c r="S19" s="6" t="s">
        <v>28</v>
      </c>
      <c r="T19" s="7">
        <f t="shared" si="3"/>
        <v>0.18612222222222222</v>
      </c>
      <c r="U19" s="6">
        <f t="shared" si="0"/>
        <v>3</v>
      </c>
      <c r="V19" s="5" t="str">
        <f t="shared" si="4"/>
        <v>GOOD</v>
      </c>
      <c r="W19" s="6" t="str">
        <f t="shared" si="1"/>
        <v>35-44</v>
      </c>
      <c r="X19" s="6" t="str">
        <f t="shared" si="2"/>
        <v>Low</v>
      </c>
    </row>
    <row r="20" spans="1:24">
      <c r="A20" s="6" t="s">
        <v>116</v>
      </c>
      <c r="B20" s="6" t="s">
        <v>117</v>
      </c>
      <c r="C20" s="6" t="s">
        <v>84</v>
      </c>
      <c r="D20" s="6" t="s">
        <v>22</v>
      </c>
      <c r="E20" s="6" t="s">
        <v>118</v>
      </c>
      <c r="F20" s="6">
        <v>20</v>
      </c>
      <c r="G20" s="6" t="s">
        <v>34</v>
      </c>
      <c r="H20" s="6" t="s">
        <v>119</v>
      </c>
      <c r="I20" s="6" t="s">
        <v>3528</v>
      </c>
      <c r="J20" s="8">
        <v>45143</v>
      </c>
      <c r="K20" s="8">
        <v>45304</v>
      </c>
      <c r="L20" s="6">
        <v>1850.25</v>
      </c>
      <c r="M20" s="6">
        <v>9500.4</v>
      </c>
      <c r="N20" s="6">
        <v>610</v>
      </c>
      <c r="O20" s="6">
        <v>18000</v>
      </c>
      <c r="P20" s="6" t="s">
        <v>76</v>
      </c>
      <c r="Q20" s="6" t="s">
        <v>43</v>
      </c>
      <c r="R20" s="6">
        <v>0</v>
      </c>
      <c r="S20" s="6" t="s">
        <v>28</v>
      </c>
      <c r="T20" s="7">
        <f t="shared" si="3"/>
        <v>0.52779999999999994</v>
      </c>
      <c r="U20" s="6">
        <f t="shared" si="0"/>
        <v>2</v>
      </c>
      <c r="V20" s="5" t="str">
        <f t="shared" si="4"/>
        <v>FAIR</v>
      </c>
      <c r="W20" s="6" t="str">
        <f t="shared" si="1"/>
        <v>18-24</v>
      </c>
      <c r="X20" s="6" t="str">
        <f t="shared" si="2"/>
        <v>Low</v>
      </c>
    </row>
    <row r="21" spans="1:24">
      <c r="A21" s="6" t="s">
        <v>120</v>
      </c>
      <c r="B21" s="6" t="s">
        <v>121</v>
      </c>
      <c r="C21" s="6" t="s">
        <v>57</v>
      </c>
      <c r="D21" s="6" t="s">
        <v>58</v>
      </c>
      <c r="E21" s="6" t="s">
        <v>122</v>
      </c>
      <c r="F21" s="6">
        <v>32</v>
      </c>
      <c r="G21" s="6" t="s">
        <v>24</v>
      </c>
      <c r="H21" s="6" t="s">
        <v>123</v>
      </c>
      <c r="I21" s="6" t="s">
        <v>3529</v>
      </c>
      <c r="J21" s="8">
        <v>44255</v>
      </c>
      <c r="K21" s="8">
        <v>45301</v>
      </c>
      <c r="L21" s="6">
        <v>24300.7</v>
      </c>
      <c r="M21" s="6">
        <v>11200.5</v>
      </c>
      <c r="N21" s="6">
        <v>760</v>
      </c>
      <c r="O21" s="6">
        <v>67000</v>
      </c>
      <c r="P21" s="6" t="s">
        <v>36</v>
      </c>
      <c r="Q21" s="6" t="s">
        <v>27</v>
      </c>
      <c r="R21" s="6">
        <v>0</v>
      </c>
      <c r="S21" s="6" t="s">
        <v>28</v>
      </c>
      <c r="T21" s="7">
        <f t="shared" si="3"/>
        <v>0.16717164179104477</v>
      </c>
      <c r="U21" s="6">
        <f t="shared" si="0"/>
        <v>5</v>
      </c>
      <c r="V21" s="5" t="str">
        <f t="shared" si="4"/>
        <v>VERY GOOD</v>
      </c>
      <c r="W21" s="6" t="str">
        <f t="shared" si="1"/>
        <v>25-34</v>
      </c>
      <c r="X21" s="6" t="str">
        <f t="shared" si="2"/>
        <v>Low</v>
      </c>
    </row>
    <row r="22" spans="1:24">
      <c r="A22" s="6" t="s">
        <v>124</v>
      </c>
      <c r="B22" s="6" t="s">
        <v>125</v>
      </c>
      <c r="C22" s="6" t="s">
        <v>52</v>
      </c>
      <c r="D22" s="6" t="s">
        <v>73</v>
      </c>
      <c r="E22" s="6" t="s">
        <v>126</v>
      </c>
      <c r="F22" s="6">
        <v>41</v>
      </c>
      <c r="G22" s="6" t="s">
        <v>34</v>
      </c>
      <c r="H22" s="6" t="s">
        <v>127</v>
      </c>
      <c r="I22" s="6" t="s">
        <v>3530</v>
      </c>
      <c r="J22" s="8">
        <v>43573</v>
      </c>
      <c r="K22" s="8">
        <v>45302</v>
      </c>
      <c r="L22" s="6">
        <v>38700.25</v>
      </c>
      <c r="M22" s="6">
        <v>14500.6</v>
      </c>
      <c r="N22" s="6">
        <v>735</v>
      </c>
      <c r="O22" s="6">
        <v>89000</v>
      </c>
      <c r="P22" s="6" t="s">
        <v>36</v>
      </c>
      <c r="Q22" s="6" t="s">
        <v>27</v>
      </c>
      <c r="R22" s="6">
        <v>0</v>
      </c>
      <c r="S22" s="6" t="s">
        <v>28</v>
      </c>
      <c r="T22" s="7">
        <f t="shared" si="3"/>
        <v>0.16292808988764046</v>
      </c>
      <c r="U22" s="6">
        <f t="shared" si="0"/>
        <v>4</v>
      </c>
      <c r="V22" s="5" t="str">
        <f t="shared" si="4"/>
        <v>GOOD</v>
      </c>
      <c r="W22" s="6" t="str">
        <f t="shared" si="1"/>
        <v>35-44</v>
      </c>
      <c r="X22" s="6" t="str">
        <f t="shared" si="2"/>
        <v>Lower-Middle</v>
      </c>
    </row>
    <row r="23" spans="1:24">
      <c r="A23" s="6" t="s">
        <v>128</v>
      </c>
      <c r="B23" s="6" t="s">
        <v>129</v>
      </c>
      <c r="C23" s="6" t="s">
        <v>46</v>
      </c>
      <c r="D23" s="6" t="s">
        <v>85</v>
      </c>
      <c r="E23" s="6" t="s">
        <v>130</v>
      </c>
      <c r="F23" s="6">
        <v>37</v>
      </c>
      <c r="G23" s="6" t="s">
        <v>24</v>
      </c>
      <c r="H23" s="6" t="s">
        <v>131</v>
      </c>
      <c r="I23" s="6" t="s">
        <v>3531</v>
      </c>
      <c r="J23" s="8">
        <v>44126</v>
      </c>
      <c r="K23" s="8">
        <v>45300</v>
      </c>
      <c r="L23" s="6">
        <v>54200.800000000003</v>
      </c>
      <c r="M23" s="6">
        <v>22800.75</v>
      </c>
      <c r="N23" s="6">
        <v>710</v>
      </c>
      <c r="O23" s="6">
        <v>105000</v>
      </c>
      <c r="P23" s="6" t="s">
        <v>26</v>
      </c>
      <c r="Q23" s="6" t="s">
        <v>27</v>
      </c>
      <c r="R23" s="6">
        <v>0</v>
      </c>
      <c r="S23" s="6" t="s">
        <v>28</v>
      </c>
      <c r="T23" s="7">
        <f t="shared" si="3"/>
        <v>0.21715000000000001</v>
      </c>
      <c r="U23" s="6">
        <f t="shared" si="0"/>
        <v>6</v>
      </c>
      <c r="V23" s="5" t="str">
        <f t="shared" si="4"/>
        <v>GOOD</v>
      </c>
      <c r="W23" s="6" t="str">
        <f t="shared" si="1"/>
        <v>35-44</v>
      </c>
      <c r="X23" s="6" t="str">
        <f t="shared" si="2"/>
        <v>Lower-Middle</v>
      </c>
    </row>
    <row r="24" spans="1:24">
      <c r="A24" s="6" t="s">
        <v>132</v>
      </c>
      <c r="B24" s="6" t="s">
        <v>133</v>
      </c>
      <c r="C24" s="6" t="s">
        <v>31</v>
      </c>
      <c r="D24" s="6" t="s">
        <v>40</v>
      </c>
      <c r="E24" s="6" t="s">
        <v>134</v>
      </c>
      <c r="F24" s="6">
        <v>26</v>
      </c>
      <c r="G24" s="6" t="s">
        <v>34</v>
      </c>
      <c r="H24" s="6" t="s">
        <v>135</v>
      </c>
      <c r="I24" s="6" t="s">
        <v>3532</v>
      </c>
      <c r="J24" s="8">
        <v>44995</v>
      </c>
      <c r="K24" s="8">
        <v>45305</v>
      </c>
      <c r="L24" s="6">
        <v>8900.4</v>
      </c>
      <c r="M24" s="6">
        <v>5200.25</v>
      </c>
      <c r="N24" s="6">
        <v>690</v>
      </c>
      <c r="O24" s="6">
        <v>35000</v>
      </c>
      <c r="P24" s="6" t="s">
        <v>26</v>
      </c>
      <c r="Q24" s="6" t="s">
        <v>43</v>
      </c>
      <c r="R24" s="6">
        <v>0</v>
      </c>
      <c r="S24" s="6" t="s">
        <v>28</v>
      </c>
      <c r="T24" s="7">
        <f t="shared" si="3"/>
        <v>0.14857857142857142</v>
      </c>
      <c r="U24" s="6">
        <f t="shared" si="0"/>
        <v>1</v>
      </c>
      <c r="V24" s="5" t="str">
        <f t="shared" si="4"/>
        <v>GOOD</v>
      </c>
      <c r="W24" s="6" t="str">
        <f t="shared" si="1"/>
        <v>25-34</v>
      </c>
      <c r="X24" s="6" t="str">
        <f t="shared" si="2"/>
        <v>Low</v>
      </c>
    </row>
    <row r="25" spans="1:24">
      <c r="A25" s="6" t="s">
        <v>136</v>
      </c>
      <c r="B25" s="6" t="s">
        <v>137</v>
      </c>
      <c r="C25" s="6" t="s">
        <v>39</v>
      </c>
      <c r="D25" s="6" t="s">
        <v>79</v>
      </c>
      <c r="E25" s="6" t="s">
        <v>138</v>
      </c>
      <c r="F25" s="6">
        <v>49</v>
      </c>
      <c r="G25" s="6" t="s">
        <v>24</v>
      </c>
      <c r="H25" s="6" t="s">
        <v>139</v>
      </c>
      <c r="I25" s="6" t="s">
        <v>3533</v>
      </c>
      <c r="J25" s="8">
        <v>43054</v>
      </c>
      <c r="K25" s="8">
        <v>45299</v>
      </c>
      <c r="L25" s="6">
        <v>156800.6</v>
      </c>
      <c r="M25" s="6">
        <v>78000.399999999994</v>
      </c>
      <c r="N25" s="6">
        <v>645</v>
      </c>
      <c r="O25" s="6">
        <v>165000</v>
      </c>
      <c r="P25" s="6" t="s">
        <v>76</v>
      </c>
      <c r="Q25" s="6" t="s">
        <v>27</v>
      </c>
      <c r="R25" s="6">
        <v>0</v>
      </c>
      <c r="S25" s="6" t="s">
        <v>28</v>
      </c>
      <c r="T25" s="7">
        <f t="shared" si="3"/>
        <v>0.47272969696969691</v>
      </c>
      <c r="U25" s="6">
        <f t="shared" si="0"/>
        <v>7</v>
      </c>
      <c r="V25" s="5" t="str">
        <f t="shared" si="4"/>
        <v>FAIR</v>
      </c>
      <c r="W25" s="6" t="str">
        <f t="shared" si="1"/>
        <v>45-54</v>
      </c>
      <c r="X25" s="6" t="str">
        <f t="shared" si="2"/>
        <v>Upper-Middle</v>
      </c>
    </row>
    <row r="26" spans="1:24">
      <c r="A26" s="6" t="s">
        <v>140</v>
      </c>
      <c r="B26" s="6" t="s">
        <v>141</v>
      </c>
      <c r="C26" s="6" t="s">
        <v>57</v>
      </c>
      <c r="D26" s="6" t="s">
        <v>63</v>
      </c>
      <c r="E26" s="6" t="s">
        <v>3514</v>
      </c>
      <c r="F26" s="6">
        <v>30</v>
      </c>
      <c r="G26" s="6" t="s">
        <v>34</v>
      </c>
      <c r="H26" s="6" t="s">
        <v>142</v>
      </c>
      <c r="I26" s="6" t="s">
        <v>3534</v>
      </c>
      <c r="J26" s="8">
        <v>44535</v>
      </c>
      <c r="K26" s="8">
        <v>45303</v>
      </c>
      <c r="L26" s="6">
        <v>19200.75</v>
      </c>
      <c r="M26" s="6">
        <v>8600.9</v>
      </c>
      <c r="N26" s="6">
        <v>755</v>
      </c>
      <c r="O26" s="6">
        <v>58000</v>
      </c>
      <c r="P26" s="6" t="s">
        <v>36</v>
      </c>
      <c r="Q26" s="6" t="s">
        <v>27</v>
      </c>
      <c r="R26" s="6">
        <v>0</v>
      </c>
      <c r="S26" s="6" t="s">
        <v>28</v>
      </c>
      <c r="T26" s="7">
        <f t="shared" si="3"/>
        <v>0.14829137931034483</v>
      </c>
      <c r="U26" s="6">
        <f t="shared" si="0"/>
        <v>3</v>
      </c>
      <c r="V26" s="5" t="str">
        <f t="shared" si="4"/>
        <v>VERY GOOD</v>
      </c>
      <c r="W26" s="6" t="str">
        <f t="shared" si="1"/>
        <v>25-34</v>
      </c>
      <c r="X26" s="6" t="str">
        <f t="shared" si="2"/>
        <v>Low</v>
      </c>
    </row>
    <row r="27" spans="1:24">
      <c r="A27" s="6" t="s">
        <v>143</v>
      </c>
      <c r="B27" s="6" t="s">
        <v>144</v>
      </c>
      <c r="C27" s="6" t="s">
        <v>21</v>
      </c>
      <c r="D27" s="6" t="s">
        <v>32</v>
      </c>
      <c r="E27" s="6" t="s">
        <v>33</v>
      </c>
      <c r="F27" s="6">
        <v>53</v>
      </c>
      <c r="G27" s="6" t="s">
        <v>24</v>
      </c>
      <c r="H27" s="6" t="s">
        <v>145</v>
      </c>
      <c r="I27" s="6" t="s">
        <v>3535</v>
      </c>
      <c r="J27" s="8">
        <v>43159</v>
      </c>
      <c r="K27" s="8">
        <v>45301</v>
      </c>
      <c r="L27" s="6">
        <v>178900.25</v>
      </c>
      <c r="M27" s="6">
        <v>52000.800000000003</v>
      </c>
      <c r="N27" s="6">
        <v>790</v>
      </c>
      <c r="O27" s="6">
        <v>195000</v>
      </c>
      <c r="P27" s="6" t="s">
        <v>36</v>
      </c>
      <c r="Q27" s="6" t="s">
        <v>27</v>
      </c>
      <c r="R27" s="6">
        <v>0</v>
      </c>
      <c r="S27" s="6" t="s">
        <v>28</v>
      </c>
      <c r="T27" s="7">
        <f t="shared" si="3"/>
        <v>0.26667076923076927</v>
      </c>
      <c r="U27" s="6">
        <f t="shared" si="0"/>
        <v>5</v>
      </c>
      <c r="V27" s="5" t="str">
        <f t="shared" si="4"/>
        <v>VERY GOOD</v>
      </c>
      <c r="W27" s="6" t="str">
        <f t="shared" si="1"/>
        <v>45-54</v>
      </c>
      <c r="X27" s="6" t="str">
        <f t="shared" si="2"/>
        <v>High</v>
      </c>
    </row>
    <row r="28" spans="1:24">
      <c r="A28" s="6" t="s">
        <v>146</v>
      </c>
      <c r="B28" s="6" t="s">
        <v>147</v>
      </c>
      <c r="C28" s="6" t="s">
        <v>52</v>
      </c>
      <c r="D28" s="6" t="s">
        <v>68</v>
      </c>
      <c r="E28" s="6" t="s">
        <v>69</v>
      </c>
      <c r="F28" s="6">
        <v>43</v>
      </c>
      <c r="G28" s="6" t="s">
        <v>24</v>
      </c>
      <c r="H28" s="6" t="s">
        <v>148</v>
      </c>
      <c r="I28" s="6" t="s">
        <v>3536</v>
      </c>
      <c r="J28" s="8">
        <v>43660</v>
      </c>
      <c r="K28" s="8">
        <v>45302</v>
      </c>
      <c r="L28" s="6">
        <v>45600.9</v>
      </c>
      <c r="M28" s="6">
        <v>21300.6</v>
      </c>
      <c r="N28" s="6">
        <v>665</v>
      </c>
      <c r="O28" s="6">
        <v>95000</v>
      </c>
      <c r="P28" s="6" t="s">
        <v>26</v>
      </c>
      <c r="Q28" s="6" t="s">
        <v>27</v>
      </c>
      <c r="R28" s="6">
        <v>0</v>
      </c>
      <c r="S28" s="6" t="s">
        <v>28</v>
      </c>
      <c r="T28" s="7">
        <f t="shared" si="3"/>
        <v>0.22421684210526313</v>
      </c>
      <c r="U28" s="6">
        <f t="shared" si="0"/>
        <v>4</v>
      </c>
      <c r="V28" s="5" t="str">
        <f t="shared" si="4"/>
        <v>FAIR</v>
      </c>
      <c r="W28" s="6" t="str">
        <f t="shared" si="1"/>
        <v>35-44</v>
      </c>
      <c r="X28" s="6" t="str">
        <f t="shared" si="2"/>
        <v>Lower-Middle</v>
      </c>
    </row>
    <row r="29" spans="1:24">
      <c r="A29" s="6" t="s">
        <v>149</v>
      </c>
      <c r="B29" s="6" t="s">
        <v>150</v>
      </c>
      <c r="C29" s="6" t="s">
        <v>84</v>
      </c>
      <c r="D29" s="6" t="s">
        <v>47</v>
      </c>
      <c r="E29" s="6" t="s">
        <v>48</v>
      </c>
      <c r="F29" s="6">
        <v>19</v>
      </c>
      <c r="G29" s="6" t="s">
        <v>24</v>
      </c>
      <c r="H29" s="6" t="s">
        <v>151</v>
      </c>
      <c r="I29" s="6" t="s">
        <v>3537</v>
      </c>
      <c r="J29" s="8">
        <v>45207</v>
      </c>
      <c r="K29" s="8">
        <v>45304</v>
      </c>
      <c r="L29" s="6">
        <v>2250.8000000000002</v>
      </c>
      <c r="M29" s="6">
        <v>11200.75</v>
      </c>
      <c r="N29" s="6">
        <v>595</v>
      </c>
      <c r="O29" s="6">
        <v>16000</v>
      </c>
      <c r="P29" s="6" t="s">
        <v>76</v>
      </c>
      <c r="Q29" s="6" t="s">
        <v>43</v>
      </c>
      <c r="R29" s="6">
        <v>0</v>
      </c>
      <c r="S29" s="6" t="s">
        <v>28</v>
      </c>
      <c r="T29" s="7">
        <f t="shared" si="3"/>
        <v>0.70004687499999996</v>
      </c>
      <c r="U29" s="6">
        <f t="shared" si="0"/>
        <v>2</v>
      </c>
      <c r="V29" s="5" t="str">
        <f t="shared" si="4"/>
        <v>FAIR</v>
      </c>
      <c r="W29" s="6" t="str">
        <f t="shared" si="1"/>
        <v>18-24</v>
      </c>
      <c r="X29" s="6" t="str">
        <f t="shared" si="2"/>
        <v>Low</v>
      </c>
    </row>
    <row r="30" spans="1:24">
      <c r="A30" s="6" t="s">
        <v>152</v>
      </c>
      <c r="B30" s="6" t="s">
        <v>153</v>
      </c>
      <c r="C30" s="6" t="s">
        <v>31</v>
      </c>
      <c r="D30" s="6" t="s">
        <v>58</v>
      </c>
      <c r="E30" s="6" t="s">
        <v>154</v>
      </c>
      <c r="F30" s="6">
        <v>29</v>
      </c>
      <c r="G30" s="6" t="s">
        <v>34</v>
      </c>
      <c r="H30" s="6" t="s">
        <v>155</v>
      </c>
      <c r="I30" s="6" t="s">
        <v>3538</v>
      </c>
      <c r="J30" s="8">
        <v>44788</v>
      </c>
      <c r="K30" s="8">
        <v>45305</v>
      </c>
      <c r="L30" s="6">
        <v>11200.3</v>
      </c>
      <c r="M30" s="6">
        <v>4800.3999999999996</v>
      </c>
      <c r="N30" s="6">
        <v>775</v>
      </c>
      <c r="O30" s="6">
        <v>43000</v>
      </c>
      <c r="P30" s="6" t="s">
        <v>36</v>
      </c>
      <c r="Q30" s="6" t="s">
        <v>27</v>
      </c>
      <c r="R30" s="6">
        <v>0</v>
      </c>
      <c r="S30" s="6" t="s">
        <v>28</v>
      </c>
      <c r="T30" s="7">
        <f t="shared" si="3"/>
        <v>0.11163720930232557</v>
      </c>
      <c r="U30" s="6">
        <f t="shared" si="0"/>
        <v>1</v>
      </c>
      <c r="V30" s="5" t="str">
        <f t="shared" si="4"/>
        <v>VERY GOOD</v>
      </c>
      <c r="W30" s="6" t="str">
        <f t="shared" si="1"/>
        <v>25-34</v>
      </c>
      <c r="X30" s="6" t="str">
        <f t="shared" si="2"/>
        <v>Low</v>
      </c>
    </row>
    <row r="31" spans="1:24">
      <c r="A31" s="6" t="s">
        <v>156</v>
      </c>
      <c r="B31" s="6" t="s">
        <v>157</v>
      </c>
      <c r="C31" s="6" t="s">
        <v>39</v>
      </c>
      <c r="D31" s="6" t="s">
        <v>73</v>
      </c>
      <c r="E31" s="6" t="s">
        <v>158</v>
      </c>
      <c r="F31" s="6">
        <v>47</v>
      </c>
      <c r="G31" s="6" t="s">
        <v>24</v>
      </c>
      <c r="H31" s="6" t="s">
        <v>159</v>
      </c>
      <c r="I31" s="6" t="s">
        <v>3539</v>
      </c>
      <c r="J31" s="8">
        <v>43363</v>
      </c>
      <c r="K31" s="8">
        <v>45300</v>
      </c>
      <c r="L31" s="6">
        <v>134200.4</v>
      </c>
      <c r="M31" s="6">
        <v>65000.25</v>
      </c>
      <c r="N31" s="6">
        <v>670</v>
      </c>
      <c r="O31" s="6">
        <v>140000</v>
      </c>
      <c r="P31" s="6" t="s">
        <v>76</v>
      </c>
      <c r="Q31" s="6" t="s">
        <v>27</v>
      </c>
      <c r="R31" s="6">
        <v>0</v>
      </c>
      <c r="S31" s="6" t="s">
        <v>28</v>
      </c>
      <c r="T31" s="7">
        <f t="shared" si="3"/>
        <v>0.46428750000000002</v>
      </c>
      <c r="U31" s="6">
        <f t="shared" si="0"/>
        <v>6</v>
      </c>
      <c r="V31" s="5" t="str">
        <f t="shared" si="4"/>
        <v>GOOD</v>
      </c>
      <c r="W31" s="6" t="str">
        <f t="shared" si="1"/>
        <v>45-54</v>
      </c>
      <c r="X31" s="6" t="str">
        <f t="shared" si="2"/>
        <v>Upper-Middle</v>
      </c>
    </row>
    <row r="32" spans="1:24">
      <c r="A32" s="6" t="s">
        <v>160</v>
      </c>
      <c r="B32" s="6" t="s">
        <v>161</v>
      </c>
      <c r="C32" s="6" t="s">
        <v>46</v>
      </c>
      <c r="D32" s="6" t="s">
        <v>85</v>
      </c>
      <c r="E32" s="6" t="s">
        <v>162</v>
      </c>
      <c r="F32" s="6">
        <v>34</v>
      </c>
      <c r="G32" s="6" t="s">
        <v>34</v>
      </c>
      <c r="H32" s="6" t="s">
        <v>163</v>
      </c>
      <c r="I32" s="6" t="s">
        <v>3540</v>
      </c>
      <c r="J32" s="8">
        <v>44168</v>
      </c>
      <c r="K32" s="8">
        <v>45303</v>
      </c>
      <c r="L32" s="6">
        <v>62300.6</v>
      </c>
      <c r="M32" s="6">
        <v>24500.799999999999</v>
      </c>
      <c r="N32" s="6">
        <v>725</v>
      </c>
      <c r="O32" s="6">
        <v>98000</v>
      </c>
      <c r="P32" s="6" t="s">
        <v>26</v>
      </c>
      <c r="Q32" s="6" t="s">
        <v>27</v>
      </c>
      <c r="R32" s="6">
        <v>0</v>
      </c>
      <c r="S32" s="6" t="s">
        <v>28</v>
      </c>
      <c r="T32" s="7">
        <f t="shared" si="3"/>
        <v>0.25000816326530612</v>
      </c>
      <c r="U32" s="6">
        <f t="shared" si="0"/>
        <v>3</v>
      </c>
      <c r="V32" s="5" t="str">
        <f t="shared" si="4"/>
        <v>GOOD</v>
      </c>
      <c r="W32" s="6" t="str">
        <f t="shared" si="1"/>
        <v>25-34</v>
      </c>
      <c r="X32" s="6" t="str">
        <f t="shared" si="2"/>
        <v>Lower-Middle</v>
      </c>
    </row>
    <row r="33" spans="1:24">
      <c r="A33" s="6" t="s">
        <v>164</v>
      </c>
      <c r="B33" s="6" t="s">
        <v>165</v>
      </c>
      <c r="C33" s="6" t="s">
        <v>52</v>
      </c>
      <c r="D33" s="6" t="s">
        <v>40</v>
      </c>
      <c r="E33" s="6" t="s">
        <v>166</v>
      </c>
      <c r="F33" s="6">
        <v>40</v>
      </c>
      <c r="G33" s="6" t="s">
        <v>24</v>
      </c>
      <c r="H33" s="6" t="s">
        <v>167</v>
      </c>
      <c r="I33" s="6" t="s">
        <v>3541</v>
      </c>
      <c r="J33" s="8">
        <v>43610</v>
      </c>
      <c r="K33" s="8">
        <v>45301</v>
      </c>
      <c r="L33" s="6">
        <v>51800.75</v>
      </c>
      <c r="M33" s="6">
        <v>23800.400000000001</v>
      </c>
      <c r="N33" s="6">
        <v>700</v>
      </c>
      <c r="O33" s="6">
        <v>110000</v>
      </c>
      <c r="P33" s="6" t="s">
        <v>26</v>
      </c>
      <c r="Q33" s="6" t="s">
        <v>27</v>
      </c>
      <c r="R33" s="6">
        <v>0</v>
      </c>
      <c r="S33" s="6" t="s">
        <v>28</v>
      </c>
      <c r="T33" s="7">
        <f t="shared" si="3"/>
        <v>0.21636727272727274</v>
      </c>
      <c r="U33" s="6">
        <f t="shared" si="0"/>
        <v>5</v>
      </c>
      <c r="V33" s="5" t="str">
        <f t="shared" si="4"/>
        <v>GOOD</v>
      </c>
      <c r="W33" s="6" t="str">
        <f t="shared" si="1"/>
        <v>35-44</v>
      </c>
      <c r="X33" s="6" t="str">
        <f t="shared" si="2"/>
        <v>Lower-Middle</v>
      </c>
    </row>
    <row r="34" spans="1:24">
      <c r="A34" s="6" t="s">
        <v>168</v>
      </c>
      <c r="B34" s="6" t="s">
        <v>169</v>
      </c>
      <c r="C34" s="6" t="s">
        <v>57</v>
      </c>
      <c r="D34" s="6" t="s">
        <v>79</v>
      </c>
      <c r="E34" s="6" t="s">
        <v>80</v>
      </c>
      <c r="F34" s="6">
        <v>27</v>
      </c>
      <c r="G34" s="6" t="s">
        <v>34</v>
      </c>
      <c r="H34" s="6" t="s">
        <v>170</v>
      </c>
      <c r="I34" s="6" t="s">
        <v>3542</v>
      </c>
      <c r="J34" s="8">
        <v>44668</v>
      </c>
      <c r="K34" s="8">
        <v>45305</v>
      </c>
      <c r="L34" s="6">
        <v>14300.2</v>
      </c>
      <c r="M34" s="6">
        <v>6200.75</v>
      </c>
      <c r="N34" s="6">
        <v>740</v>
      </c>
      <c r="O34" s="6">
        <v>49000</v>
      </c>
      <c r="P34" s="6" t="s">
        <v>36</v>
      </c>
      <c r="Q34" s="6" t="s">
        <v>27</v>
      </c>
      <c r="R34" s="6">
        <v>0</v>
      </c>
      <c r="S34" s="6" t="s">
        <v>28</v>
      </c>
      <c r="T34" s="7">
        <f t="shared" si="3"/>
        <v>0.12654591836734694</v>
      </c>
      <c r="U34" s="6">
        <f t="shared" si="0"/>
        <v>1</v>
      </c>
      <c r="V34" s="5" t="str">
        <f t="shared" si="4"/>
        <v>GOOD</v>
      </c>
      <c r="W34" s="6" t="str">
        <f t="shared" si="1"/>
        <v>25-34</v>
      </c>
      <c r="X34" s="6" t="str">
        <f t="shared" si="2"/>
        <v>Low</v>
      </c>
    </row>
    <row r="35" spans="1:24">
      <c r="A35" s="6" t="s">
        <v>171</v>
      </c>
      <c r="B35" s="6" t="s">
        <v>172</v>
      </c>
      <c r="C35" s="6" t="s">
        <v>21</v>
      </c>
      <c r="D35" s="6" t="s">
        <v>63</v>
      </c>
      <c r="E35" s="6" t="s">
        <v>106</v>
      </c>
      <c r="F35" s="6">
        <v>51</v>
      </c>
      <c r="G35" s="6" t="s">
        <v>24</v>
      </c>
      <c r="H35" s="6" t="s">
        <v>173</v>
      </c>
      <c r="I35" s="6" t="s">
        <v>3543</v>
      </c>
      <c r="J35" s="8">
        <v>42898</v>
      </c>
      <c r="K35" s="8">
        <v>45299</v>
      </c>
      <c r="L35" s="6">
        <v>198700.79999999999</v>
      </c>
      <c r="M35" s="6">
        <v>58000.6</v>
      </c>
      <c r="N35" s="6">
        <v>780</v>
      </c>
      <c r="O35" s="6">
        <v>210000</v>
      </c>
      <c r="P35" s="6" t="s">
        <v>36</v>
      </c>
      <c r="Q35" s="6" t="s">
        <v>27</v>
      </c>
      <c r="R35" s="6">
        <v>0</v>
      </c>
      <c r="S35" s="6" t="s">
        <v>28</v>
      </c>
      <c r="T35" s="7">
        <f t="shared" si="3"/>
        <v>0.27619333333333335</v>
      </c>
      <c r="U35" s="6">
        <f t="shared" si="0"/>
        <v>7</v>
      </c>
      <c r="V35" s="5" t="str">
        <f t="shared" si="4"/>
        <v>VERY GOOD</v>
      </c>
      <c r="W35" s="6" t="str">
        <f t="shared" si="1"/>
        <v>45-54</v>
      </c>
      <c r="X35" s="6" t="str">
        <f t="shared" si="2"/>
        <v>High</v>
      </c>
    </row>
    <row r="36" spans="1:24">
      <c r="A36" s="6" t="s">
        <v>174</v>
      </c>
      <c r="B36" s="6" t="s">
        <v>175</v>
      </c>
      <c r="C36" s="6" t="s">
        <v>31</v>
      </c>
      <c r="D36" s="6" t="s">
        <v>32</v>
      </c>
      <c r="E36" s="6" t="s">
        <v>90</v>
      </c>
      <c r="F36" s="6">
        <v>25</v>
      </c>
      <c r="G36" s="6" t="s">
        <v>34</v>
      </c>
      <c r="H36" s="6" t="s">
        <v>176</v>
      </c>
      <c r="I36" s="6" t="s">
        <v>3544</v>
      </c>
      <c r="J36" s="8">
        <v>45021</v>
      </c>
      <c r="K36" s="8">
        <v>45306</v>
      </c>
      <c r="L36" s="6">
        <v>6800.9</v>
      </c>
      <c r="M36" s="6">
        <v>3800.25</v>
      </c>
      <c r="N36" s="6">
        <v>720</v>
      </c>
      <c r="O36" s="6">
        <v>32000</v>
      </c>
      <c r="P36" s="6" t="s">
        <v>26</v>
      </c>
      <c r="Q36" s="6" t="s">
        <v>43</v>
      </c>
      <c r="R36" s="6">
        <v>0</v>
      </c>
      <c r="S36" s="6" t="s">
        <v>28</v>
      </c>
      <c r="T36" s="7">
        <f t="shared" si="3"/>
        <v>0.1187578125</v>
      </c>
      <c r="U36" s="6">
        <f t="shared" si="0"/>
        <v>0</v>
      </c>
      <c r="V36" s="5" t="str">
        <f t="shared" si="4"/>
        <v>GOOD</v>
      </c>
      <c r="W36" s="6" t="str">
        <f t="shared" si="1"/>
        <v>25-34</v>
      </c>
      <c r="X36" s="6" t="str">
        <f t="shared" si="2"/>
        <v>Low</v>
      </c>
    </row>
    <row r="37" spans="1:24">
      <c r="A37" s="6" t="s">
        <v>177</v>
      </c>
      <c r="B37" s="6" t="s">
        <v>178</v>
      </c>
      <c r="C37" s="6" t="s">
        <v>39</v>
      </c>
      <c r="D37" s="6" t="s">
        <v>68</v>
      </c>
      <c r="E37" s="6" t="s">
        <v>179</v>
      </c>
      <c r="F37" s="6">
        <v>46</v>
      </c>
      <c r="G37" s="6" t="s">
        <v>24</v>
      </c>
      <c r="H37" s="6" t="s">
        <v>180</v>
      </c>
      <c r="I37" s="6" t="s">
        <v>3545</v>
      </c>
      <c r="J37" s="8">
        <v>43342</v>
      </c>
      <c r="K37" s="8">
        <v>45300</v>
      </c>
      <c r="L37" s="6">
        <v>123800.25</v>
      </c>
      <c r="M37" s="6">
        <v>59000.75</v>
      </c>
      <c r="N37" s="6">
        <v>635</v>
      </c>
      <c r="O37" s="6">
        <v>135000</v>
      </c>
      <c r="P37" s="6" t="s">
        <v>76</v>
      </c>
      <c r="Q37" s="6" t="s">
        <v>27</v>
      </c>
      <c r="R37" s="6">
        <v>0</v>
      </c>
      <c r="S37" s="6" t="s">
        <v>28</v>
      </c>
      <c r="T37" s="7">
        <f t="shared" si="3"/>
        <v>0.43704259259259259</v>
      </c>
      <c r="U37" s="6">
        <f t="shared" si="0"/>
        <v>6</v>
      </c>
      <c r="V37" s="5" t="str">
        <f t="shared" si="4"/>
        <v>FAIR</v>
      </c>
      <c r="W37" s="6" t="str">
        <f t="shared" si="1"/>
        <v>45-54</v>
      </c>
      <c r="X37" s="6" t="str">
        <f t="shared" si="2"/>
        <v>Upper-Middle</v>
      </c>
    </row>
    <row r="38" spans="1:24">
      <c r="A38" s="6" t="s">
        <v>181</v>
      </c>
      <c r="B38" s="6" t="s">
        <v>182</v>
      </c>
      <c r="C38" s="6" t="s">
        <v>46</v>
      </c>
      <c r="D38" s="6" t="s">
        <v>183</v>
      </c>
      <c r="E38" s="6" t="s">
        <v>184</v>
      </c>
      <c r="F38" s="6">
        <v>33</v>
      </c>
      <c r="G38" s="6" t="s">
        <v>34</v>
      </c>
      <c r="H38" s="6" t="s">
        <v>185</v>
      </c>
      <c r="I38" s="6" t="s">
        <v>3546</v>
      </c>
      <c r="J38" s="8">
        <v>44210</v>
      </c>
      <c r="K38" s="8">
        <v>45302</v>
      </c>
      <c r="L38" s="6">
        <v>47800.4</v>
      </c>
      <c r="M38" s="6">
        <v>19500.900000000001</v>
      </c>
      <c r="N38" s="6">
        <v>750</v>
      </c>
      <c r="O38" s="6">
        <v>92000</v>
      </c>
      <c r="P38" s="6" t="s">
        <v>36</v>
      </c>
      <c r="Q38" s="6" t="s">
        <v>27</v>
      </c>
      <c r="R38" s="6">
        <v>0</v>
      </c>
      <c r="S38" s="6" t="s">
        <v>28</v>
      </c>
      <c r="T38" s="7">
        <f t="shared" si="3"/>
        <v>0.2119663043478261</v>
      </c>
      <c r="U38" s="6">
        <f t="shared" si="0"/>
        <v>4</v>
      </c>
      <c r="V38" s="5" t="str">
        <f t="shared" si="4"/>
        <v>VERY GOOD</v>
      </c>
      <c r="W38" s="6" t="str">
        <f t="shared" si="1"/>
        <v>25-34</v>
      </c>
      <c r="X38" s="6" t="str">
        <f t="shared" si="2"/>
        <v>Lower-Middle</v>
      </c>
    </row>
    <row r="39" spans="1:24">
      <c r="A39" s="6" t="s">
        <v>186</v>
      </c>
      <c r="B39" s="6" t="s">
        <v>187</v>
      </c>
      <c r="C39" s="6" t="s">
        <v>52</v>
      </c>
      <c r="D39" s="6" t="s">
        <v>22</v>
      </c>
      <c r="E39" s="6" t="s">
        <v>188</v>
      </c>
      <c r="F39" s="6">
        <v>39</v>
      </c>
      <c r="G39" s="6" t="s">
        <v>24</v>
      </c>
      <c r="H39" s="6" t="s">
        <v>189</v>
      </c>
      <c r="I39" s="6" t="s">
        <v>3547</v>
      </c>
      <c r="J39" s="8">
        <v>43791</v>
      </c>
      <c r="K39" s="8">
        <v>45301</v>
      </c>
      <c r="L39" s="6">
        <v>34200.6</v>
      </c>
      <c r="M39" s="6">
        <v>12800.25</v>
      </c>
      <c r="N39" s="6">
        <v>710</v>
      </c>
      <c r="O39" s="6">
        <v>78000</v>
      </c>
      <c r="P39" s="6" t="s">
        <v>26</v>
      </c>
      <c r="Q39" s="6" t="s">
        <v>27</v>
      </c>
      <c r="R39" s="6">
        <v>0</v>
      </c>
      <c r="S39" s="6" t="s">
        <v>28</v>
      </c>
      <c r="T39" s="7">
        <f t="shared" si="3"/>
        <v>0.16410576923076922</v>
      </c>
      <c r="U39" s="6">
        <f t="shared" si="0"/>
        <v>5</v>
      </c>
      <c r="V39" s="5" t="str">
        <f t="shared" si="4"/>
        <v>GOOD</v>
      </c>
      <c r="W39" s="6" t="str">
        <f t="shared" si="1"/>
        <v>35-44</v>
      </c>
      <c r="X39" s="6" t="str">
        <f t="shared" si="2"/>
        <v>Lower-Middle</v>
      </c>
    </row>
    <row r="40" spans="1:24">
      <c r="A40" s="6" t="s">
        <v>190</v>
      </c>
      <c r="B40" s="6" t="s">
        <v>191</v>
      </c>
      <c r="C40" s="6" t="s">
        <v>84</v>
      </c>
      <c r="D40" s="6" t="s">
        <v>40</v>
      </c>
      <c r="E40" s="6" t="s">
        <v>41</v>
      </c>
      <c r="F40" s="6">
        <v>22</v>
      </c>
      <c r="G40" s="6" t="s">
        <v>34</v>
      </c>
      <c r="H40" s="6" t="s">
        <v>192</v>
      </c>
      <c r="I40" s="6" t="s">
        <v>3548</v>
      </c>
      <c r="J40" s="8">
        <v>45126</v>
      </c>
      <c r="K40" s="8">
        <v>45304</v>
      </c>
      <c r="L40" s="6">
        <v>1950.4</v>
      </c>
      <c r="M40" s="6">
        <v>8800.6</v>
      </c>
      <c r="N40" s="6">
        <v>605</v>
      </c>
      <c r="O40" s="6">
        <v>20000</v>
      </c>
      <c r="P40" s="6" t="s">
        <v>76</v>
      </c>
      <c r="Q40" s="6" t="s">
        <v>43</v>
      </c>
      <c r="R40" s="6">
        <v>0</v>
      </c>
      <c r="S40" s="6" t="s">
        <v>28</v>
      </c>
      <c r="T40" s="7">
        <f t="shared" si="3"/>
        <v>0.44003000000000003</v>
      </c>
      <c r="U40" s="6">
        <f t="shared" si="0"/>
        <v>2</v>
      </c>
      <c r="V40" s="5" t="str">
        <f t="shared" si="4"/>
        <v>FAIR</v>
      </c>
      <c r="W40" s="6" t="str">
        <f t="shared" si="1"/>
        <v>18-24</v>
      </c>
      <c r="X40" s="6" t="str">
        <f t="shared" si="2"/>
        <v>Low</v>
      </c>
    </row>
    <row r="41" spans="1:24">
      <c r="A41" s="6" t="s">
        <v>193</v>
      </c>
      <c r="B41" s="6" t="s">
        <v>194</v>
      </c>
      <c r="C41" s="6" t="s">
        <v>57</v>
      </c>
      <c r="D41" s="6" t="s">
        <v>195</v>
      </c>
      <c r="E41" s="6" t="s">
        <v>196</v>
      </c>
      <c r="F41" s="6">
        <v>28</v>
      </c>
      <c r="G41" s="6" t="s">
        <v>24</v>
      </c>
      <c r="H41" s="6" t="s">
        <v>197</v>
      </c>
      <c r="I41" s="6" t="s">
        <v>3549</v>
      </c>
      <c r="J41" s="8">
        <v>44620</v>
      </c>
      <c r="K41" s="8">
        <v>45305</v>
      </c>
      <c r="L41" s="6">
        <v>12800.75</v>
      </c>
      <c r="M41" s="6">
        <v>5400.8</v>
      </c>
      <c r="N41" s="6">
        <v>730</v>
      </c>
      <c r="O41" s="6">
        <v>45000</v>
      </c>
      <c r="P41" s="6" t="s">
        <v>36</v>
      </c>
      <c r="Q41" s="6" t="s">
        <v>27</v>
      </c>
      <c r="R41" s="6">
        <v>0</v>
      </c>
      <c r="S41" s="6" t="s">
        <v>28</v>
      </c>
      <c r="T41" s="7">
        <f t="shared" si="3"/>
        <v>0.12001777777777778</v>
      </c>
      <c r="U41" s="6">
        <f t="shared" si="0"/>
        <v>1</v>
      </c>
      <c r="V41" s="5" t="str">
        <f t="shared" si="4"/>
        <v>GOOD</v>
      </c>
      <c r="W41" s="6" t="str">
        <f t="shared" si="1"/>
        <v>25-34</v>
      </c>
      <c r="X41" s="6" t="str">
        <f t="shared" si="2"/>
        <v>Low</v>
      </c>
    </row>
    <row r="42" spans="1:24">
      <c r="A42" s="6" t="s">
        <v>198</v>
      </c>
      <c r="B42" s="6" t="s">
        <v>199</v>
      </c>
      <c r="C42" s="6" t="s">
        <v>39</v>
      </c>
      <c r="D42" s="6" t="s">
        <v>58</v>
      </c>
      <c r="E42" s="6" t="s">
        <v>200</v>
      </c>
      <c r="F42" s="6">
        <v>44</v>
      </c>
      <c r="G42" s="6" t="s">
        <v>24</v>
      </c>
      <c r="H42" s="6" t="s">
        <v>201</v>
      </c>
      <c r="I42" s="6" t="s">
        <v>3550</v>
      </c>
      <c r="J42" s="8">
        <v>43205</v>
      </c>
      <c r="K42" s="8">
        <v>45300</v>
      </c>
      <c r="L42" s="6">
        <v>167400.6</v>
      </c>
      <c r="M42" s="6">
        <v>82000.399999999994</v>
      </c>
      <c r="N42" s="6">
        <v>685</v>
      </c>
      <c r="O42" s="6">
        <v>175000</v>
      </c>
      <c r="P42" s="6" t="s">
        <v>76</v>
      </c>
      <c r="Q42" s="6" t="s">
        <v>27</v>
      </c>
      <c r="R42" s="6">
        <v>0</v>
      </c>
      <c r="S42" s="6" t="s">
        <v>28</v>
      </c>
      <c r="T42" s="7">
        <f t="shared" si="3"/>
        <v>0.46857371428571426</v>
      </c>
      <c r="U42" s="6">
        <f t="shared" si="0"/>
        <v>6</v>
      </c>
      <c r="V42" s="5" t="str">
        <f t="shared" si="4"/>
        <v>GOOD</v>
      </c>
      <c r="W42" s="6" t="str">
        <f t="shared" si="1"/>
        <v>35-44</v>
      </c>
      <c r="X42" s="6" t="str">
        <f t="shared" si="2"/>
        <v>Upper-Middle</v>
      </c>
    </row>
    <row r="43" spans="1:24">
      <c r="A43" s="6" t="s">
        <v>202</v>
      </c>
      <c r="B43" s="6" t="s">
        <v>203</v>
      </c>
      <c r="C43" s="6" t="s">
        <v>52</v>
      </c>
      <c r="D43" s="6" t="s">
        <v>204</v>
      </c>
      <c r="E43" s="6" t="s">
        <v>205</v>
      </c>
      <c r="F43" s="6">
        <v>36</v>
      </c>
      <c r="G43" s="6" t="s">
        <v>34</v>
      </c>
      <c r="H43" s="6" t="s">
        <v>206</v>
      </c>
      <c r="I43" s="6" t="s">
        <v>3551</v>
      </c>
      <c r="J43" s="8">
        <v>44020</v>
      </c>
      <c r="K43" s="8">
        <v>45303</v>
      </c>
      <c r="L43" s="6">
        <v>29800.799999999999</v>
      </c>
      <c r="M43" s="6">
        <v>13400.25</v>
      </c>
      <c r="N43" s="6">
        <v>695</v>
      </c>
      <c r="O43" s="6">
        <v>68000</v>
      </c>
      <c r="P43" s="6" t="s">
        <v>26</v>
      </c>
      <c r="Q43" s="6" t="s">
        <v>27</v>
      </c>
      <c r="R43" s="6">
        <v>0</v>
      </c>
      <c r="S43" s="6" t="s">
        <v>28</v>
      </c>
      <c r="T43" s="7">
        <f t="shared" si="3"/>
        <v>0.1970625</v>
      </c>
      <c r="U43" s="6">
        <f t="shared" si="0"/>
        <v>3</v>
      </c>
      <c r="V43" s="5" t="str">
        <f t="shared" si="4"/>
        <v>GOOD</v>
      </c>
      <c r="W43" s="6" t="str">
        <f t="shared" si="1"/>
        <v>35-44</v>
      </c>
      <c r="X43" s="6" t="str">
        <f t="shared" si="2"/>
        <v>Low</v>
      </c>
    </row>
    <row r="44" spans="1:24">
      <c r="A44" s="6" t="s">
        <v>207</v>
      </c>
      <c r="B44" s="6" t="s">
        <v>208</v>
      </c>
      <c r="C44" s="6" t="s">
        <v>31</v>
      </c>
      <c r="D44" s="6" t="s">
        <v>209</v>
      </c>
      <c r="E44" s="6" t="s">
        <v>210</v>
      </c>
      <c r="F44" s="6">
        <v>31</v>
      </c>
      <c r="G44" s="6" t="s">
        <v>24</v>
      </c>
      <c r="H44" s="6" t="s">
        <v>211</v>
      </c>
      <c r="I44" s="6" t="s">
        <v>3552</v>
      </c>
      <c r="J44" s="8">
        <v>44816</v>
      </c>
      <c r="K44" s="8">
        <v>45305</v>
      </c>
      <c r="L44" s="6">
        <v>10200.5</v>
      </c>
      <c r="M44" s="6">
        <v>4500.75</v>
      </c>
      <c r="N44" s="6">
        <v>715</v>
      </c>
      <c r="O44" s="6">
        <v>47000</v>
      </c>
      <c r="P44" s="6" t="s">
        <v>36</v>
      </c>
      <c r="Q44" s="6" t="s">
        <v>27</v>
      </c>
      <c r="R44" s="6">
        <v>0</v>
      </c>
      <c r="S44" s="6" t="s">
        <v>28</v>
      </c>
      <c r="T44" s="7">
        <f t="shared" si="3"/>
        <v>9.5760638297872347E-2</v>
      </c>
      <c r="U44" s="6">
        <f t="shared" si="0"/>
        <v>1</v>
      </c>
      <c r="V44" s="5" t="str">
        <f t="shared" si="4"/>
        <v>GOOD</v>
      </c>
      <c r="W44" s="6" t="str">
        <f t="shared" si="1"/>
        <v>25-34</v>
      </c>
      <c r="X44" s="6" t="str">
        <f t="shared" si="2"/>
        <v>Low</v>
      </c>
    </row>
    <row r="45" spans="1:24">
      <c r="A45" s="6" t="s">
        <v>212</v>
      </c>
      <c r="B45" s="6" t="s">
        <v>213</v>
      </c>
      <c r="C45" s="6" t="s">
        <v>46</v>
      </c>
      <c r="D45" s="6" t="s">
        <v>214</v>
      </c>
      <c r="E45" s="6" t="s">
        <v>215</v>
      </c>
      <c r="F45" s="6">
        <v>38</v>
      </c>
      <c r="G45" s="6" t="s">
        <v>34</v>
      </c>
      <c r="H45" s="6" t="s">
        <v>216</v>
      </c>
      <c r="I45" s="6" t="s">
        <v>3553</v>
      </c>
      <c r="J45" s="8">
        <v>43915</v>
      </c>
      <c r="K45" s="8">
        <v>45302</v>
      </c>
      <c r="L45" s="6">
        <v>56700.3</v>
      </c>
      <c r="M45" s="6">
        <v>22300.6</v>
      </c>
      <c r="N45" s="6">
        <v>740</v>
      </c>
      <c r="O45" s="6">
        <v>105000</v>
      </c>
      <c r="P45" s="6" t="s">
        <v>26</v>
      </c>
      <c r="Q45" s="6" t="s">
        <v>27</v>
      </c>
      <c r="R45" s="6">
        <v>0</v>
      </c>
      <c r="S45" s="6" t="s">
        <v>28</v>
      </c>
      <c r="T45" s="7">
        <f t="shared" si="3"/>
        <v>0.21238666666666664</v>
      </c>
      <c r="U45" s="6">
        <f t="shared" si="0"/>
        <v>4</v>
      </c>
      <c r="V45" s="5" t="str">
        <f t="shared" si="4"/>
        <v>GOOD</v>
      </c>
      <c r="W45" s="6" t="str">
        <f t="shared" si="1"/>
        <v>35-44</v>
      </c>
      <c r="X45" s="6" t="str">
        <f t="shared" si="2"/>
        <v>Lower-Middle</v>
      </c>
    </row>
    <row r="46" spans="1:24">
      <c r="A46" s="6" t="s">
        <v>217</v>
      </c>
      <c r="B46" s="6" t="s">
        <v>218</v>
      </c>
      <c r="C46" s="6" t="s">
        <v>52</v>
      </c>
      <c r="D46" s="6" t="s">
        <v>219</v>
      </c>
      <c r="E46" s="6" t="s">
        <v>220</v>
      </c>
      <c r="F46" s="6">
        <v>42</v>
      </c>
      <c r="G46" s="6" t="s">
        <v>24</v>
      </c>
      <c r="H46" s="6" t="s">
        <v>221</v>
      </c>
      <c r="I46" s="6" t="s">
        <v>3554</v>
      </c>
      <c r="J46" s="8">
        <v>43634</v>
      </c>
      <c r="K46" s="8">
        <v>45301</v>
      </c>
      <c r="L46" s="6">
        <v>38700.75</v>
      </c>
      <c r="M46" s="6">
        <v>16800.400000000001</v>
      </c>
      <c r="N46" s="6">
        <v>660</v>
      </c>
      <c r="O46" s="6">
        <v>82000</v>
      </c>
      <c r="P46" s="6" t="s">
        <v>26</v>
      </c>
      <c r="Q46" s="6" t="s">
        <v>27</v>
      </c>
      <c r="R46" s="6">
        <v>0</v>
      </c>
      <c r="S46" s="6" t="s">
        <v>28</v>
      </c>
      <c r="T46" s="7">
        <f t="shared" si="3"/>
        <v>0.20488292682926831</v>
      </c>
      <c r="U46" s="6">
        <f t="shared" si="0"/>
        <v>5</v>
      </c>
      <c r="V46" s="5" t="str">
        <f t="shared" si="4"/>
        <v>FAIR</v>
      </c>
      <c r="W46" s="6" t="str">
        <f t="shared" si="1"/>
        <v>35-44</v>
      </c>
      <c r="X46" s="6" t="str">
        <f t="shared" si="2"/>
        <v>Lower-Middle</v>
      </c>
    </row>
    <row r="47" spans="1:24">
      <c r="A47" s="6" t="s">
        <v>222</v>
      </c>
      <c r="B47" s="6" t="s">
        <v>223</v>
      </c>
      <c r="C47" s="6" t="s">
        <v>21</v>
      </c>
      <c r="D47" s="6" t="s">
        <v>32</v>
      </c>
      <c r="E47" s="6" t="s">
        <v>224</v>
      </c>
      <c r="F47" s="6">
        <v>57</v>
      </c>
      <c r="G47" s="6" t="s">
        <v>24</v>
      </c>
      <c r="H47" s="6" t="s">
        <v>225</v>
      </c>
      <c r="I47" s="6" t="s">
        <v>3555</v>
      </c>
      <c r="J47" s="8">
        <v>42714</v>
      </c>
      <c r="K47" s="8">
        <v>45299</v>
      </c>
      <c r="L47" s="6">
        <v>234500.4</v>
      </c>
      <c r="M47" s="6">
        <v>62000.800000000003</v>
      </c>
      <c r="N47" s="6">
        <v>815</v>
      </c>
      <c r="O47" s="6">
        <v>240000</v>
      </c>
      <c r="P47" s="6" t="s">
        <v>36</v>
      </c>
      <c r="Q47" s="6" t="s">
        <v>27</v>
      </c>
      <c r="R47" s="6">
        <v>0</v>
      </c>
      <c r="S47" s="6" t="s">
        <v>28</v>
      </c>
      <c r="T47" s="7">
        <f t="shared" si="3"/>
        <v>0.25833666666666666</v>
      </c>
      <c r="U47" s="6">
        <f t="shared" si="0"/>
        <v>7</v>
      </c>
      <c r="V47" s="5" t="str">
        <f t="shared" si="4"/>
        <v>EXCEPTIONAL</v>
      </c>
      <c r="W47" s="6" t="str">
        <f t="shared" si="1"/>
        <v>55+</v>
      </c>
      <c r="X47" s="6" t="str">
        <f t="shared" si="2"/>
        <v>High</v>
      </c>
    </row>
    <row r="48" spans="1:24">
      <c r="A48" s="6" t="s">
        <v>226</v>
      </c>
      <c r="B48" s="6" t="s">
        <v>227</v>
      </c>
      <c r="C48" s="6" t="s">
        <v>57</v>
      </c>
      <c r="D48" s="6" t="s">
        <v>228</v>
      </c>
      <c r="E48" s="6" t="s">
        <v>229</v>
      </c>
      <c r="F48" s="6">
        <v>26</v>
      </c>
      <c r="G48" s="6" t="s">
        <v>34</v>
      </c>
      <c r="H48" s="6" t="s">
        <v>230</v>
      </c>
      <c r="I48" s="6" t="s">
        <v>3556</v>
      </c>
      <c r="J48" s="8">
        <v>44956</v>
      </c>
      <c r="K48" s="8">
        <v>45306</v>
      </c>
      <c r="L48" s="6">
        <v>8900.25</v>
      </c>
      <c r="M48" s="6">
        <v>3800.9</v>
      </c>
      <c r="N48" s="6">
        <v>680</v>
      </c>
      <c r="O48" s="6">
        <v>36000</v>
      </c>
      <c r="P48" s="6" t="s">
        <v>26</v>
      </c>
      <c r="Q48" s="6" t="s">
        <v>43</v>
      </c>
      <c r="R48" s="6">
        <v>0</v>
      </c>
      <c r="S48" s="6" t="s">
        <v>28</v>
      </c>
      <c r="T48" s="7">
        <f t="shared" si="3"/>
        <v>0.10558055555555555</v>
      </c>
      <c r="U48" s="6">
        <f t="shared" si="0"/>
        <v>0</v>
      </c>
      <c r="V48" s="5" t="str">
        <f t="shared" si="4"/>
        <v>GOOD</v>
      </c>
      <c r="W48" s="6" t="str">
        <f t="shared" si="1"/>
        <v>25-34</v>
      </c>
      <c r="X48" s="6" t="str">
        <f t="shared" si="2"/>
        <v>Low</v>
      </c>
    </row>
    <row r="49" spans="1:24">
      <c r="A49" s="6" t="s">
        <v>231</v>
      </c>
      <c r="B49" s="6" t="s">
        <v>232</v>
      </c>
      <c r="C49" s="6" t="s">
        <v>39</v>
      </c>
      <c r="D49" s="6" t="s">
        <v>233</v>
      </c>
      <c r="E49" s="6" t="s">
        <v>234</v>
      </c>
      <c r="F49" s="6">
        <v>48</v>
      </c>
      <c r="G49" s="6" t="s">
        <v>24</v>
      </c>
      <c r="H49" s="6" t="s">
        <v>235</v>
      </c>
      <c r="I49" s="6" t="s">
        <v>3557</v>
      </c>
      <c r="J49" s="8">
        <v>43013</v>
      </c>
      <c r="K49" s="8">
        <v>45300</v>
      </c>
      <c r="L49" s="6">
        <v>189600.75</v>
      </c>
      <c r="M49" s="6">
        <v>87000.25</v>
      </c>
      <c r="N49" s="6">
        <v>700</v>
      </c>
      <c r="O49" s="6">
        <v>190000</v>
      </c>
      <c r="P49" s="6" t="s">
        <v>76</v>
      </c>
      <c r="Q49" s="6" t="s">
        <v>27</v>
      </c>
      <c r="R49" s="6">
        <v>0</v>
      </c>
      <c r="S49" s="6" t="s">
        <v>28</v>
      </c>
      <c r="T49" s="7">
        <f t="shared" si="3"/>
        <v>0.45789605263157895</v>
      </c>
      <c r="U49" s="6">
        <f t="shared" si="0"/>
        <v>6</v>
      </c>
      <c r="V49" s="5" t="str">
        <f t="shared" si="4"/>
        <v>GOOD</v>
      </c>
      <c r="W49" s="6" t="str">
        <f t="shared" si="1"/>
        <v>45-54</v>
      </c>
      <c r="X49" s="6" t="str">
        <f t="shared" si="2"/>
        <v>Upper-Middle</v>
      </c>
    </row>
    <row r="50" spans="1:24">
      <c r="A50" s="6" t="s">
        <v>236</v>
      </c>
      <c r="B50" s="6" t="s">
        <v>237</v>
      </c>
      <c r="C50" s="6" t="s">
        <v>84</v>
      </c>
      <c r="D50" s="6" t="s">
        <v>73</v>
      </c>
      <c r="E50" s="6" t="s">
        <v>74</v>
      </c>
      <c r="F50" s="6">
        <v>20</v>
      </c>
      <c r="G50" s="6" t="s">
        <v>34</v>
      </c>
      <c r="H50" s="6" t="s">
        <v>238</v>
      </c>
      <c r="I50" s="6" t="s">
        <v>3558</v>
      </c>
      <c r="J50" s="8">
        <v>45160</v>
      </c>
      <c r="K50" s="8">
        <v>45304</v>
      </c>
      <c r="L50" s="6">
        <v>2450.6</v>
      </c>
      <c r="M50" s="6">
        <v>10500.4</v>
      </c>
      <c r="N50" s="6">
        <v>615</v>
      </c>
      <c r="O50" s="6">
        <v>17000</v>
      </c>
      <c r="P50" s="6" t="s">
        <v>76</v>
      </c>
      <c r="Q50" s="6" t="s">
        <v>43</v>
      </c>
      <c r="R50" s="6">
        <v>0</v>
      </c>
      <c r="S50" s="6" t="s">
        <v>28</v>
      </c>
      <c r="T50" s="7">
        <f t="shared" si="3"/>
        <v>0.61767058823529408</v>
      </c>
      <c r="U50" s="6">
        <f t="shared" si="0"/>
        <v>2</v>
      </c>
      <c r="V50" s="5" t="str">
        <f t="shared" si="4"/>
        <v>FAIR</v>
      </c>
      <c r="W50" s="6" t="str">
        <f t="shared" si="1"/>
        <v>18-24</v>
      </c>
      <c r="X50" s="6" t="str">
        <f t="shared" si="2"/>
        <v>Low</v>
      </c>
    </row>
    <row r="51" spans="1:24">
      <c r="A51" s="6" t="s">
        <v>239</v>
      </c>
      <c r="B51" s="6" t="s">
        <v>240</v>
      </c>
      <c r="C51" s="6" t="s">
        <v>46</v>
      </c>
      <c r="D51" s="6" t="s">
        <v>241</v>
      </c>
      <c r="E51" s="6" t="s">
        <v>242</v>
      </c>
      <c r="F51" s="6">
        <v>35</v>
      </c>
      <c r="G51" s="6" t="s">
        <v>24</v>
      </c>
      <c r="H51" s="6" t="s">
        <v>243</v>
      </c>
      <c r="I51" s="6" t="s">
        <v>3559</v>
      </c>
      <c r="J51" s="8">
        <v>44330</v>
      </c>
      <c r="K51" s="8">
        <v>45303</v>
      </c>
      <c r="L51" s="6">
        <v>51200.9</v>
      </c>
      <c r="M51" s="6">
        <v>21800.75</v>
      </c>
      <c r="N51" s="6">
        <v>730</v>
      </c>
      <c r="O51" s="6">
        <v>96000</v>
      </c>
      <c r="P51" s="6" t="s">
        <v>26</v>
      </c>
      <c r="Q51" s="6" t="s">
        <v>27</v>
      </c>
      <c r="R51" s="6">
        <v>0</v>
      </c>
      <c r="S51" s="6" t="s">
        <v>28</v>
      </c>
      <c r="T51" s="7">
        <f t="shared" si="3"/>
        <v>0.22709114583333334</v>
      </c>
      <c r="U51" s="6">
        <f t="shared" si="0"/>
        <v>3</v>
      </c>
      <c r="V51" s="5" t="str">
        <f t="shared" si="4"/>
        <v>GOOD</v>
      </c>
      <c r="W51" s="6" t="str">
        <f t="shared" si="1"/>
        <v>35-44</v>
      </c>
      <c r="X51" s="6" t="str">
        <f t="shared" si="2"/>
        <v>Lower-Middle</v>
      </c>
    </row>
    <row r="52" spans="1:24">
      <c r="A52" s="6" t="s">
        <v>244</v>
      </c>
      <c r="B52" s="6" t="s">
        <v>245</v>
      </c>
      <c r="C52" s="6" t="s">
        <v>31</v>
      </c>
      <c r="D52" s="6" t="s">
        <v>22</v>
      </c>
      <c r="E52" s="6" t="s">
        <v>246</v>
      </c>
      <c r="F52" s="6">
        <v>29</v>
      </c>
      <c r="G52" s="6" t="s">
        <v>34</v>
      </c>
      <c r="H52" s="6" t="s">
        <v>247</v>
      </c>
      <c r="I52" s="6" t="s">
        <v>3560</v>
      </c>
      <c r="J52" s="8">
        <v>44872</v>
      </c>
      <c r="K52" s="8">
        <v>45305</v>
      </c>
      <c r="L52" s="6">
        <v>11500.8</v>
      </c>
      <c r="M52" s="6">
        <v>5200.3</v>
      </c>
      <c r="N52" s="6">
        <v>760</v>
      </c>
      <c r="O52" s="6">
        <v>52000</v>
      </c>
      <c r="P52" s="6" t="s">
        <v>36</v>
      </c>
      <c r="Q52" s="6" t="s">
        <v>27</v>
      </c>
      <c r="R52" s="6">
        <v>0</v>
      </c>
      <c r="S52" s="6" t="s">
        <v>28</v>
      </c>
      <c r="T52" s="7">
        <f t="shared" si="3"/>
        <v>0.10000576923076923</v>
      </c>
      <c r="U52" s="6">
        <f t="shared" si="0"/>
        <v>1</v>
      </c>
      <c r="V52" s="5" t="str">
        <f t="shared" si="4"/>
        <v>VERY GOOD</v>
      </c>
      <c r="W52" s="6" t="str">
        <f t="shared" si="1"/>
        <v>25-34</v>
      </c>
      <c r="X52" s="6" t="str">
        <f t="shared" si="2"/>
        <v>Low</v>
      </c>
    </row>
    <row r="53" spans="1:24">
      <c r="A53" s="6" t="s">
        <v>248</v>
      </c>
      <c r="B53" s="6" t="s">
        <v>249</v>
      </c>
      <c r="C53" s="6" t="s">
        <v>52</v>
      </c>
      <c r="D53" s="6" t="s">
        <v>40</v>
      </c>
      <c r="E53" s="6" t="s">
        <v>250</v>
      </c>
      <c r="F53" s="6">
        <v>45</v>
      </c>
      <c r="G53" s="6" t="s">
        <v>24</v>
      </c>
      <c r="H53" s="6" t="s">
        <v>251</v>
      </c>
      <c r="I53" s="6" t="s">
        <v>3561</v>
      </c>
      <c r="J53" s="8">
        <v>43120</v>
      </c>
      <c r="K53" s="8">
        <v>45300</v>
      </c>
      <c r="L53" s="6">
        <v>67800.399999999994</v>
      </c>
      <c r="M53" s="6">
        <v>31200.6</v>
      </c>
      <c r="N53" s="6">
        <v>675</v>
      </c>
      <c r="O53" s="6">
        <v>125000</v>
      </c>
      <c r="P53" s="6" t="s">
        <v>26</v>
      </c>
      <c r="Q53" s="6" t="s">
        <v>27</v>
      </c>
      <c r="R53" s="6">
        <v>0</v>
      </c>
      <c r="S53" s="6" t="s">
        <v>28</v>
      </c>
      <c r="T53" s="7">
        <f t="shared" si="3"/>
        <v>0.24960479999999999</v>
      </c>
      <c r="U53" s="6">
        <f t="shared" si="0"/>
        <v>6</v>
      </c>
      <c r="V53" s="5" t="str">
        <f t="shared" si="4"/>
        <v>GOOD</v>
      </c>
      <c r="W53" s="6" t="str">
        <f t="shared" si="1"/>
        <v>45-54</v>
      </c>
      <c r="X53" s="6" t="str">
        <f t="shared" si="2"/>
        <v>Lower-Middle</v>
      </c>
    </row>
    <row r="54" spans="1:24">
      <c r="A54" s="6" t="s">
        <v>252</v>
      </c>
      <c r="B54" s="6" t="s">
        <v>253</v>
      </c>
      <c r="C54" s="6" t="s">
        <v>57</v>
      </c>
      <c r="D54" s="6" t="s">
        <v>254</v>
      </c>
      <c r="E54" s="6" t="s">
        <v>255</v>
      </c>
      <c r="F54" s="6">
        <v>32</v>
      </c>
      <c r="G54" s="6" t="s">
        <v>34</v>
      </c>
      <c r="H54" s="6" t="s">
        <v>256</v>
      </c>
      <c r="I54" s="6" t="s">
        <v>3562</v>
      </c>
      <c r="J54" s="8">
        <v>44417</v>
      </c>
      <c r="K54" s="8">
        <v>45302</v>
      </c>
      <c r="L54" s="6">
        <v>23400.75</v>
      </c>
      <c r="M54" s="6">
        <v>9800.25</v>
      </c>
      <c r="N54" s="6">
        <v>710</v>
      </c>
      <c r="O54" s="6">
        <v>61000</v>
      </c>
      <c r="P54" s="6" t="s">
        <v>36</v>
      </c>
      <c r="Q54" s="6" t="s">
        <v>27</v>
      </c>
      <c r="R54" s="6">
        <v>0</v>
      </c>
      <c r="S54" s="6" t="s">
        <v>28</v>
      </c>
      <c r="T54" s="7">
        <f t="shared" si="3"/>
        <v>0.16065983606557377</v>
      </c>
      <c r="U54" s="6">
        <f t="shared" si="0"/>
        <v>4</v>
      </c>
      <c r="V54" s="5" t="str">
        <f t="shared" si="4"/>
        <v>GOOD</v>
      </c>
      <c r="W54" s="6" t="str">
        <f t="shared" si="1"/>
        <v>25-34</v>
      </c>
      <c r="X54" s="6" t="str">
        <f t="shared" si="2"/>
        <v>Low</v>
      </c>
    </row>
    <row r="55" spans="1:24">
      <c r="A55" s="6" t="s">
        <v>257</v>
      </c>
      <c r="B55" s="6" t="s">
        <v>258</v>
      </c>
      <c r="C55" s="6" t="s">
        <v>39</v>
      </c>
      <c r="D55" s="6" t="s">
        <v>204</v>
      </c>
      <c r="E55" s="6" t="s">
        <v>259</v>
      </c>
      <c r="F55" s="6">
        <v>50</v>
      </c>
      <c r="G55" s="6" t="s">
        <v>24</v>
      </c>
      <c r="H55" s="6" t="s">
        <v>260</v>
      </c>
      <c r="I55" s="6" t="s">
        <v>3563</v>
      </c>
      <c r="J55" s="8">
        <v>42806</v>
      </c>
      <c r="K55" s="8">
        <v>45299</v>
      </c>
      <c r="L55" s="6">
        <v>156300.20000000001</v>
      </c>
      <c r="M55" s="6">
        <v>74000.800000000003</v>
      </c>
      <c r="N55" s="6">
        <v>655</v>
      </c>
      <c r="O55" s="6">
        <v>160000</v>
      </c>
      <c r="P55" s="6" t="s">
        <v>76</v>
      </c>
      <c r="Q55" s="6" t="s">
        <v>27</v>
      </c>
      <c r="R55" s="6">
        <v>0</v>
      </c>
      <c r="S55" s="6" t="s">
        <v>28</v>
      </c>
      <c r="T55" s="7">
        <f t="shared" si="3"/>
        <v>0.462505</v>
      </c>
      <c r="U55" s="6">
        <f t="shared" si="0"/>
        <v>7</v>
      </c>
      <c r="V55" s="5" t="str">
        <f t="shared" si="4"/>
        <v>FAIR</v>
      </c>
      <c r="W55" s="6" t="str">
        <f t="shared" si="1"/>
        <v>45-54</v>
      </c>
      <c r="X55" s="6" t="str">
        <f t="shared" si="2"/>
        <v>Upper-Middle</v>
      </c>
    </row>
    <row r="56" spans="1:24">
      <c r="A56" s="6" t="s">
        <v>261</v>
      </c>
      <c r="B56" s="6" t="s">
        <v>262</v>
      </c>
      <c r="C56" s="6" t="s">
        <v>21</v>
      </c>
      <c r="D56" s="6" t="s">
        <v>58</v>
      </c>
      <c r="E56" s="6" t="s">
        <v>122</v>
      </c>
      <c r="F56" s="6">
        <v>54</v>
      </c>
      <c r="G56" s="6" t="s">
        <v>34</v>
      </c>
      <c r="H56" s="6" t="s">
        <v>263</v>
      </c>
      <c r="I56" s="6" t="s">
        <v>3564</v>
      </c>
      <c r="J56" s="8">
        <v>42607</v>
      </c>
      <c r="K56" s="8">
        <v>45301</v>
      </c>
      <c r="L56" s="6">
        <v>287400.59999999998</v>
      </c>
      <c r="M56" s="6">
        <v>75000.399999999994</v>
      </c>
      <c r="N56" s="6">
        <v>825</v>
      </c>
      <c r="O56" s="6">
        <v>260000</v>
      </c>
      <c r="P56" s="6" t="s">
        <v>36</v>
      </c>
      <c r="Q56" s="6" t="s">
        <v>27</v>
      </c>
      <c r="R56" s="6">
        <v>0</v>
      </c>
      <c r="S56" s="6" t="s">
        <v>28</v>
      </c>
      <c r="T56" s="7">
        <f t="shared" si="3"/>
        <v>0.28846307692307688</v>
      </c>
      <c r="U56" s="6">
        <f t="shared" si="0"/>
        <v>5</v>
      </c>
      <c r="V56" s="5" t="str">
        <f t="shared" si="4"/>
        <v>EXCEPTIONAL</v>
      </c>
      <c r="W56" s="6" t="str">
        <f t="shared" si="1"/>
        <v>45-54</v>
      </c>
      <c r="X56" s="6" t="str">
        <f t="shared" si="2"/>
        <v>High</v>
      </c>
    </row>
    <row r="57" spans="1:24">
      <c r="A57" s="6" t="s">
        <v>264</v>
      </c>
      <c r="B57" s="6" t="s">
        <v>265</v>
      </c>
      <c r="C57" s="6" t="s">
        <v>46</v>
      </c>
      <c r="D57" s="6" t="s">
        <v>47</v>
      </c>
      <c r="E57" s="6" t="s">
        <v>266</v>
      </c>
      <c r="F57" s="6">
        <v>41</v>
      </c>
      <c r="G57" s="6" t="s">
        <v>24</v>
      </c>
      <c r="H57" s="6" t="s">
        <v>267</v>
      </c>
      <c r="I57" s="6" t="s">
        <v>3565</v>
      </c>
      <c r="J57" s="8">
        <v>43738</v>
      </c>
      <c r="K57" s="8">
        <v>45303</v>
      </c>
      <c r="L57" s="6">
        <v>73400.25</v>
      </c>
      <c r="M57" s="6">
        <v>28900.75</v>
      </c>
      <c r="N57" s="6">
        <v>720</v>
      </c>
      <c r="O57" s="6">
        <v>135000</v>
      </c>
      <c r="P57" s="6" t="s">
        <v>26</v>
      </c>
      <c r="Q57" s="6" t="s">
        <v>27</v>
      </c>
      <c r="R57" s="6">
        <v>0</v>
      </c>
      <c r="S57" s="6" t="s">
        <v>28</v>
      </c>
      <c r="T57" s="7">
        <f t="shared" si="3"/>
        <v>0.21407962962962962</v>
      </c>
      <c r="U57" s="6">
        <f t="shared" si="0"/>
        <v>3</v>
      </c>
      <c r="V57" s="5" t="str">
        <f t="shared" si="4"/>
        <v>GOOD</v>
      </c>
      <c r="W57" s="6" t="str">
        <f t="shared" si="1"/>
        <v>35-44</v>
      </c>
      <c r="X57" s="6" t="str">
        <f t="shared" si="2"/>
        <v>Upper-Middle</v>
      </c>
    </row>
    <row r="58" spans="1:24">
      <c r="A58" s="6" t="s">
        <v>268</v>
      </c>
      <c r="B58" s="6" t="s">
        <v>269</v>
      </c>
      <c r="C58" s="6" t="s">
        <v>39</v>
      </c>
      <c r="D58" s="6" t="s">
        <v>68</v>
      </c>
      <c r="E58" s="6" t="s">
        <v>69</v>
      </c>
      <c r="F58" s="6">
        <v>47</v>
      </c>
      <c r="G58" s="6" t="s">
        <v>34</v>
      </c>
      <c r="H58" s="6" t="s">
        <v>270</v>
      </c>
      <c r="I58" s="6" t="s">
        <v>3566</v>
      </c>
      <c r="J58" s="8">
        <v>43237</v>
      </c>
      <c r="K58" s="8">
        <v>45300</v>
      </c>
      <c r="L58" s="6">
        <v>142800.9</v>
      </c>
      <c r="M58" s="6">
        <v>68000.600000000006</v>
      </c>
      <c r="N58" s="6">
        <v>640</v>
      </c>
      <c r="O58" s="6">
        <v>145000</v>
      </c>
      <c r="P58" s="6" t="s">
        <v>76</v>
      </c>
      <c r="Q58" s="6" t="s">
        <v>27</v>
      </c>
      <c r="R58" s="6">
        <v>0</v>
      </c>
      <c r="S58" s="6" t="s">
        <v>28</v>
      </c>
      <c r="T58" s="7">
        <f t="shared" si="3"/>
        <v>0.46896965517241385</v>
      </c>
      <c r="U58" s="6">
        <f t="shared" si="0"/>
        <v>6</v>
      </c>
      <c r="V58" s="5" t="str">
        <f t="shared" si="4"/>
        <v>FAIR</v>
      </c>
      <c r="W58" s="6" t="str">
        <f t="shared" si="1"/>
        <v>45-54</v>
      </c>
      <c r="X58" s="6" t="str">
        <f t="shared" si="2"/>
        <v>Upper-Middle</v>
      </c>
    </row>
    <row r="59" spans="1:24">
      <c r="A59" s="6" t="s">
        <v>271</v>
      </c>
      <c r="B59" s="6" t="s">
        <v>272</v>
      </c>
      <c r="C59" s="6" t="s">
        <v>52</v>
      </c>
      <c r="D59" s="6" t="s">
        <v>183</v>
      </c>
      <c r="E59" s="6" t="s">
        <v>273</v>
      </c>
      <c r="F59" s="6">
        <v>37</v>
      </c>
      <c r="G59" s="6" t="s">
        <v>24</v>
      </c>
      <c r="H59" s="6" t="s">
        <v>274</v>
      </c>
      <c r="I59" s="6" t="s">
        <v>3567</v>
      </c>
      <c r="J59" s="8">
        <v>43932</v>
      </c>
      <c r="K59" s="8">
        <v>45302</v>
      </c>
      <c r="L59" s="6">
        <v>42300.800000000003</v>
      </c>
      <c r="M59" s="6">
        <v>15600.4</v>
      </c>
      <c r="N59" s="6">
        <v>745</v>
      </c>
      <c r="O59" s="6">
        <v>88000</v>
      </c>
      <c r="P59" s="6" t="s">
        <v>36</v>
      </c>
      <c r="Q59" s="6" t="s">
        <v>27</v>
      </c>
      <c r="R59" s="6">
        <v>0</v>
      </c>
      <c r="S59" s="6" t="s">
        <v>28</v>
      </c>
      <c r="T59" s="7">
        <f t="shared" si="3"/>
        <v>0.17727727272727273</v>
      </c>
      <c r="U59" s="6">
        <f t="shared" si="0"/>
        <v>4</v>
      </c>
      <c r="V59" s="5" t="str">
        <f t="shared" si="4"/>
        <v>GOOD</v>
      </c>
      <c r="W59" s="6" t="str">
        <f t="shared" si="1"/>
        <v>35-44</v>
      </c>
      <c r="X59" s="6" t="str">
        <f t="shared" si="2"/>
        <v>Lower-Middle</v>
      </c>
    </row>
    <row r="60" spans="1:24">
      <c r="A60" s="6" t="s">
        <v>275</v>
      </c>
      <c r="B60" s="6" t="s">
        <v>276</v>
      </c>
      <c r="C60" s="6" t="s">
        <v>31</v>
      </c>
      <c r="D60" s="6" t="s">
        <v>277</v>
      </c>
      <c r="E60" s="6" t="s">
        <v>278</v>
      </c>
      <c r="F60" s="6">
        <v>24</v>
      </c>
      <c r="G60" s="6" t="s">
        <v>34</v>
      </c>
      <c r="H60" s="6" t="s">
        <v>279</v>
      </c>
      <c r="I60" s="6" t="s">
        <v>3568</v>
      </c>
      <c r="J60" s="8">
        <v>44985</v>
      </c>
      <c r="K60" s="8">
        <v>45306</v>
      </c>
      <c r="L60" s="6">
        <v>7400.6</v>
      </c>
      <c r="M60" s="6">
        <v>4200.75</v>
      </c>
      <c r="N60" s="6">
        <v>695</v>
      </c>
      <c r="O60" s="6">
        <v>31000</v>
      </c>
      <c r="P60" s="6" t="s">
        <v>26</v>
      </c>
      <c r="Q60" s="6" t="s">
        <v>43</v>
      </c>
      <c r="R60" s="6">
        <v>0</v>
      </c>
      <c r="S60" s="6" t="s">
        <v>28</v>
      </c>
      <c r="T60" s="7">
        <f t="shared" si="3"/>
        <v>0.13550806451612904</v>
      </c>
      <c r="U60" s="6">
        <f t="shared" si="0"/>
        <v>0</v>
      </c>
      <c r="V60" s="5" t="str">
        <f t="shared" si="4"/>
        <v>GOOD</v>
      </c>
      <c r="W60" s="6" t="str">
        <f t="shared" si="1"/>
        <v>18-24</v>
      </c>
      <c r="X60" s="6" t="str">
        <f t="shared" si="2"/>
        <v>Low</v>
      </c>
    </row>
    <row r="61" spans="1:24">
      <c r="A61" s="6" t="s">
        <v>280</v>
      </c>
      <c r="B61" s="6" t="s">
        <v>281</v>
      </c>
      <c r="C61" s="6" t="s">
        <v>57</v>
      </c>
      <c r="D61" s="6" t="s">
        <v>22</v>
      </c>
      <c r="E61" s="6" t="s">
        <v>282</v>
      </c>
      <c r="F61" s="6">
        <v>33</v>
      </c>
      <c r="G61" s="6" t="s">
        <v>24</v>
      </c>
      <c r="H61" s="6" t="s">
        <v>283</v>
      </c>
      <c r="I61" s="6" t="s">
        <v>3569</v>
      </c>
      <c r="J61" s="8">
        <v>44396</v>
      </c>
      <c r="K61" s="8">
        <v>45303</v>
      </c>
      <c r="L61" s="6">
        <v>18700.400000000001</v>
      </c>
      <c r="M61" s="6">
        <v>7200.9</v>
      </c>
      <c r="N61" s="6">
        <v>770</v>
      </c>
      <c r="O61" s="6">
        <v>63000</v>
      </c>
      <c r="P61" s="6" t="s">
        <v>36</v>
      </c>
      <c r="Q61" s="6" t="s">
        <v>27</v>
      </c>
      <c r="R61" s="6">
        <v>0</v>
      </c>
      <c r="S61" s="6" t="s">
        <v>28</v>
      </c>
      <c r="T61" s="7">
        <f t="shared" si="3"/>
        <v>0.1143</v>
      </c>
      <c r="U61" s="6">
        <f t="shared" si="0"/>
        <v>3</v>
      </c>
      <c r="V61" s="5" t="str">
        <f t="shared" si="4"/>
        <v>VERY GOOD</v>
      </c>
      <c r="W61" s="6" t="str">
        <f t="shared" si="1"/>
        <v>25-34</v>
      </c>
      <c r="X61" s="6" t="str">
        <f t="shared" si="2"/>
        <v>Low</v>
      </c>
    </row>
    <row r="62" spans="1:24">
      <c r="A62" s="6" t="s">
        <v>284</v>
      </c>
      <c r="B62" s="6" t="s">
        <v>285</v>
      </c>
      <c r="C62" s="6" t="s">
        <v>46</v>
      </c>
      <c r="D62" s="6" t="s">
        <v>286</v>
      </c>
      <c r="E62" s="6" t="s">
        <v>287</v>
      </c>
      <c r="F62" s="6">
        <v>39</v>
      </c>
      <c r="G62" s="6" t="s">
        <v>34</v>
      </c>
      <c r="H62" s="6" t="s">
        <v>288</v>
      </c>
      <c r="I62" s="6" t="s">
        <v>3570</v>
      </c>
      <c r="J62" s="8">
        <v>44109</v>
      </c>
      <c r="K62" s="8">
        <v>45301</v>
      </c>
      <c r="L62" s="6">
        <v>58900.75</v>
      </c>
      <c r="M62" s="6">
        <v>23400.25</v>
      </c>
      <c r="N62" s="6">
        <v>705</v>
      </c>
      <c r="O62" s="6">
        <v>112000</v>
      </c>
      <c r="P62" s="6" t="s">
        <v>26</v>
      </c>
      <c r="Q62" s="6" t="s">
        <v>27</v>
      </c>
      <c r="R62" s="6">
        <v>0</v>
      </c>
      <c r="S62" s="6" t="s">
        <v>28</v>
      </c>
      <c r="T62" s="7">
        <f t="shared" si="3"/>
        <v>0.20893080357142857</v>
      </c>
      <c r="U62" s="6">
        <f t="shared" si="0"/>
        <v>5</v>
      </c>
      <c r="V62" s="5" t="str">
        <f t="shared" si="4"/>
        <v>GOOD</v>
      </c>
      <c r="W62" s="6" t="str">
        <f t="shared" si="1"/>
        <v>35-44</v>
      </c>
      <c r="X62" s="6" t="str">
        <f t="shared" si="2"/>
        <v>Lower-Middle</v>
      </c>
    </row>
    <row r="63" spans="1:24">
      <c r="A63" s="6" t="s">
        <v>289</v>
      </c>
      <c r="B63" s="6" t="s">
        <v>290</v>
      </c>
      <c r="C63" s="6" t="s">
        <v>52</v>
      </c>
      <c r="D63" s="6" t="s">
        <v>291</v>
      </c>
      <c r="E63" s="6" t="s">
        <v>3571</v>
      </c>
      <c r="F63" s="6">
        <v>43</v>
      </c>
      <c r="G63" s="6" t="s">
        <v>24</v>
      </c>
      <c r="H63" s="6" t="s">
        <v>293</v>
      </c>
      <c r="I63" s="6" t="s">
        <v>3572</v>
      </c>
      <c r="J63" s="8">
        <v>43510</v>
      </c>
      <c r="K63" s="8">
        <v>45300</v>
      </c>
      <c r="L63" s="6">
        <v>45600.3</v>
      </c>
      <c r="M63" s="6">
        <v>19800.8</v>
      </c>
      <c r="N63" s="6">
        <v>680</v>
      </c>
      <c r="O63" s="6">
        <v>97000</v>
      </c>
      <c r="P63" s="6" t="s">
        <v>26</v>
      </c>
      <c r="Q63" s="6" t="s">
        <v>27</v>
      </c>
      <c r="R63" s="6">
        <v>0</v>
      </c>
      <c r="S63" s="6" t="s">
        <v>28</v>
      </c>
      <c r="T63" s="7">
        <f t="shared" si="3"/>
        <v>0.20413195876288659</v>
      </c>
      <c r="U63" s="6">
        <f t="shared" si="0"/>
        <v>6</v>
      </c>
      <c r="V63" s="5" t="str">
        <f t="shared" si="4"/>
        <v>GOOD</v>
      </c>
      <c r="W63" s="6" t="str">
        <f t="shared" si="1"/>
        <v>35-44</v>
      </c>
      <c r="X63" s="6" t="str">
        <f t="shared" si="2"/>
        <v>Lower-Middle</v>
      </c>
    </row>
    <row r="64" spans="1:24">
      <c r="A64" s="6" t="s">
        <v>294</v>
      </c>
      <c r="B64" s="6" t="s">
        <v>295</v>
      </c>
      <c r="C64" s="6" t="s">
        <v>21</v>
      </c>
      <c r="D64" s="6" t="s">
        <v>233</v>
      </c>
      <c r="E64" s="6" t="s">
        <v>296</v>
      </c>
      <c r="F64" s="6">
        <v>52</v>
      </c>
      <c r="G64" s="6" t="s">
        <v>34</v>
      </c>
      <c r="H64" s="6" t="s">
        <v>297</v>
      </c>
      <c r="I64" s="6" t="s">
        <v>3573</v>
      </c>
      <c r="J64" s="8">
        <v>43047</v>
      </c>
      <c r="K64" s="8">
        <v>45299</v>
      </c>
      <c r="L64" s="6">
        <v>213800.4</v>
      </c>
      <c r="M64" s="6">
        <v>58000.75</v>
      </c>
      <c r="N64" s="6">
        <v>795</v>
      </c>
      <c r="O64" s="6">
        <v>225000</v>
      </c>
      <c r="P64" s="6" t="s">
        <v>36</v>
      </c>
      <c r="Q64" s="6" t="s">
        <v>27</v>
      </c>
      <c r="R64" s="6">
        <v>0</v>
      </c>
      <c r="S64" s="6" t="s">
        <v>28</v>
      </c>
      <c r="T64" s="7">
        <f t="shared" si="3"/>
        <v>0.25778111111111113</v>
      </c>
      <c r="U64" s="6">
        <f t="shared" si="0"/>
        <v>7</v>
      </c>
      <c r="V64" s="5" t="str">
        <f t="shared" si="4"/>
        <v>VERY GOOD</v>
      </c>
      <c r="W64" s="6" t="str">
        <f t="shared" si="1"/>
        <v>45-54</v>
      </c>
      <c r="X64" s="6" t="str">
        <f t="shared" si="2"/>
        <v>High</v>
      </c>
    </row>
    <row r="65" spans="1:24">
      <c r="A65" s="6" t="s">
        <v>298</v>
      </c>
      <c r="B65" s="6" t="s">
        <v>299</v>
      </c>
      <c r="C65" s="6" t="s">
        <v>84</v>
      </c>
      <c r="D65" s="6" t="s">
        <v>195</v>
      </c>
      <c r="E65" s="6" t="s">
        <v>300</v>
      </c>
      <c r="F65" s="6">
        <v>21</v>
      </c>
      <c r="G65" s="6" t="s">
        <v>24</v>
      </c>
      <c r="H65" s="6" t="s">
        <v>301</v>
      </c>
      <c r="I65" s="6" t="s">
        <v>3574</v>
      </c>
      <c r="J65" s="8">
        <v>45184</v>
      </c>
      <c r="K65" s="8">
        <v>45304</v>
      </c>
      <c r="L65" s="6">
        <v>2100.25</v>
      </c>
      <c r="M65" s="6">
        <v>9800.6</v>
      </c>
      <c r="N65" s="6">
        <v>600</v>
      </c>
      <c r="O65" s="6">
        <v>19000</v>
      </c>
      <c r="P65" s="6" t="s">
        <v>76</v>
      </c>
      <c r="Q65" s="6" t="s">
        <v>43</v>
      </c>
      <c r="R65" s="6">
        <v>0</v>
      </c>
      <c r="S65" s="6" t="s">
        <v>28</v>
      </c>
      <c r="T65" s="7">
        <f t="shared" si="3"/>
        <v>0.51582105263157896</v>
      </c>
      <c r="U65" s="6">
        <f t="shared" si="0"/>
        <v>2</v>
      </c>
      <c r="V65" s="5" t="str">
        <f t="shared" si="4"/>
        <v>FAIR</v>
      </c>
      <c r="W65" s="6" t="str">
        <f t="shared" si="1"/>
        <v>18-24</v>
      </c>
      <c r="X65" s="6" t="str">
        <f t="shared" si="2"/>
        <v>Low</v>
      </c>
    </row>
    <row r="66" spans="1:24">
      <c r="A66" s="6" t="s">
        <v>302</v>
      </c>
      <c r="B66" s="6" t="s">
        <v>303</v>
      </c>
      <c r="C66" s="6" t="s">
        <v>39</v>
      </c>
      <c r="D66" s="6" t="s">
        <v>304</v>
      </c>
      <c r="E66" s="6" t="s">
        <v>304</v>
      </c>
      <c r="F66" s="6">
        <v>49</v>
      </c>
      <c r="G66" s="6" t="s">
        <v>24</v>
      </c>
      <c r="H66" s="6" t="s">
        <v>305</v>
      </c>
      <c r="I66" s="6" t="s">
        <v>3575</v>
      </c>
      <c r="J66" s="8">
        <v>43303</v>
      </c>
      <c r="K66" s="8">
        <v>45300</v>
      </c>
      <c r="L66" s="6">
        <v>178900.75</v>
      </c>
      <c r="M66" s="6">
        <v>85000.4</v>
      </c>
      <c r="N66" s="6">
        <v>690</v>
      </c>
      <c r="O66" s="6">
        <v>185000</v>
      </c>
      <c r="P66" s="6" t="s">
        <v>76</v>
      </c>
      <c r="Q66" s="6" t="s">
        <v>27</v>
      </c>
      <c r="R66" s="6">
        <v>0</v>
      </c>
      <c r="S66" s="6" t="s">
        <v>28</v>
      </c>
      <c r="T66" s="7">
        <f t="shared" ref="T66:T129" si="5">IFERROR(M66/O66,"")</f>
        <v>0.45946162162162157</v>
      </c>
      <c r="U66" s="6">
        <f t="shared" ref="U66:U129" si="6">MAX($K$2:$K$1599)-K66</f>
        <v>6</v>
      </c>
      <c r="V66" s="5" t="str">
        <f t="shared" ref="V66:V129" si="7">IF(N66&lt;670,"FAIR", IF(N66&lt;750,"GOOD",IF(N66&lt;800,"VERY GOOD","EXCEPTIONAL")))</f>
        <v>GOOD</v>
      </c>
      <c r="W66" s="6" t="str">
        <f t="shared" ref="W66:W129" si="8">IF(F66&lt;25,"18-24",IF(F66&lt;35,"25-34",IF(F66&lt;45,"35-44",IF(F66&lt;55,"45-54","55+"))))</f>
        <v>45-54</v>
      </c>
      <c r="X66" s="6" t="str">
        <f t="shared" ref="X66:X129" si="9">IF(O66&lt;=_xlfn.QUARTILE.INC($O$2:$O$1599,1),"Low",IF(O66&lt;=_xlfn.QUARTILE.INC($O$2:$O$1599,2),"Lower-Middle",IF(O66&lt;=_xlfn.QUARTILE.INC($O$2:$O$1599,3),"Upper-Middle","High")))</f>
        <v>Upper-Middle</v>
      </c>
    </row>
    <row r="67" spans="1:24">
      <c r="A67" s="6" t="s">
        <v>306</v>
      </c>
      <c r="B67" s="6" t="s">
        <v>307</v>
      </c>
      <c r="C67" s="6" t="s">
        <v>57</v>
      </c>
      <c r="D67" s="6" t="s">
        <v>308</v>
      </c>
      <c r="E67" s="6" t="s">
        <v>309</v>
      </c>
      <c r="F67" s="6">
        <v>30</v>
      </c>
      <c r="G67" s="6" t="s">
        <v>34</v>
      </c>
      <c r="H67" s="6" t="s">
        <v>310</v>
      </c>
      <c r="I67" s="6" t="s">
        <v>3576</v>
      </c>
      <c r="J67" s="8">
        <v>44586</v>
      </c>
      <c r="K67" s="8">
        <v>45305</v>
      </c>
      <c r="L67" s="6">
        <v>12300.9</v>
      </c>
      <c r="M67" s="6">
        <v>5400.25</v>
      </c>
      <c r="N67" s="6">
        <v>740</v>
      </c>
      <c r="O67" s="6">
        <v>55000</v>
      </c>
      <c r="P67" s="6" t="s">
        <v>36</v>
      </c>
      <c r="Q67" s="6" t="s">
        <v>27</v>
      </c>
      <c r="R67" s="6">
        <v>0</v>
      </c>
      <c r="S67" s="6" t="s">
        <v>28</v>
      </c>
      <c r="T67" s="7">
        <f t="shared" si="5"/>
        <v>9.8186363636363641E-2</v>
      </c>
      <c r="U67" s="6">
        <f t="shared" si="6"/>
        <v>1</v>
      </c>
      <c r="V67" s="5" t="str">
        <f t="shared" si="7"/>
        <v>GOOD</v>
      </c>
      <c r="W67" s="6" t="str">
        <f t="shared" si="8"/>
        <v>25-34</v>
      </c>
      <c r="X67" s="6" t="str">
        <f t="shared" si="9"/>
        <v>Low</v>
      </c>
    </row>
    <row r="68" spans="1:24">
      <c r="A68" s="6" t="s">
        <v>311</v>
      </c>
      <c r="B68" s="6" t="s">
        <v>312</v>
      </c>
      <c r="C68" s="6" t="s">
        <v>52</v>
      </c>
      <c r="D68" s="6" t="s">
        <v>313</v>
      </c>
      <c r="E68" s="6" t="s">
        <v>314</v>
      </c>
      <c r="F68" s="6">
        <v>44</v>
      </c>
      <c r="G68" s="6" t="s">
        <v>24</v>
      </c>
      <c r="H68" s="6" t="s">
        <v>315</v>
      </c>
      <c r="I68" s="6" t="s">
        <v>3577</v>
      </c>
      <c r="J68" s="8">
        <v>43558</v>
      </c>
      <c r="K68" s="8">
        <v>45301</v>
      </c>
      <c r="L68" s="6">
        <v>51200.6</v>
      </c>
      <c r="M68" s="6">
        <v>23500.75</v>
      </c>
      <c r="N68" s="6">
        <v>665</v>
      </c>
      <c r="O68" s="6">
        <v>108000</v>
      </c>
      <c r="P68" s="6" t="s">
        <v>26</v>
      </c>
      <c r="Q68" s="6" t="s">
        <v>27</v>
      </c>
      <c r="R68" s="6">
        <v>0</v>
      </c>
      <c r="S68" s="6" t="s">
        <v>28</v>
      </c>
      <c r="T68" s="7">
        <f t="shared" si="5"/>
        <v>0.21759953703703705</v>
      </c>
      <c r="U68" s="6">
        <f t="shared" si="6"/>
        <v>5</v>
      </c>
      <c r="V68" s="5" t="str">
        <f t="shared" si="7"/>
        <v>FAIR</v>
      </c>
      <c r="W68" s="6" t="str">
        <f t="shared" si="8"/>
        <v>35-44</v>
      </c>
      <c r="X68" s="6" t="str">
        <f t="shared" si="9"/>
        <v>Lower-Middle</v>
      </c>
    </row>
    <row r="69" spans="1:24">
      <c r="A69" s="6" t="s">
        <v>316</v>
      </c>
      <c r="B69" s="6" t="s">
        <v>317</v>
      </c>
      <c r="C69" s="6" t="s">
        <v>31</v>
      </c>
      <c r="D69" s="6" t="s">
        <v>32</v>
      </c>
      <c r="E69" s="6" t="s">
        <v>33</v>
      </c>
      <c r="F69" s="6">
        <v>27</v>
      </c>
      <c r="G69" s="6" t="s">
        <v>34</v>
      </c>
      <c r="H69" s="6" t="s">
        <v>318</v>
      </c>
      <c r="I69" s="6" t="s">
        <v>3578</v>
      </c>
      <c r="J69" s="8">
        <v>45003</v>
      </c>
      <c r="K69" s="8">
        <v>45305</v>
      </c>
      <c r="L69" s="6">
        <v>8300.4</v>
      </c>
      <c r="M69" s="6">
        <v>4600.8</v>
      </c>
      <c r="N69" s="6">
        <v>710</v>
      </c>
      <c r="O69" s="6">
        <v>34000</v>
      </c>
      <c r="P69" s="6" t="s">
        <v>26</v>
      </c>
      <c r="Q69" s="6" t="s">
        <v>43</v>
      </c>
      <c r="R69" s="6">
        <v>0</v>
      </c>
      <c r="S69" s="6" t="s">
        <v>28</v>
      </c>
      <c r="T69" s="7">
        <f t="shared" si="5"/>
        <v>0.13531764705882354</v>
      </c>
      <c r="U69" s="6">
        <f t="shared" si="6"/>
        <v>1</v>
      </c>
      <c r="V69" s="5" t="str">
        <f t="shared" si="7"/>
        <v>GOOD</v>
      </c>
      <c r="W69" s="6" t="str">
        <f t="shared" si="8"/>
        <v>25-34</v>
      </c>
      <c r="X69" s="6" t="str">
        <f t="shared" si="9"/>
        <v>Low</v>
      </c>
    </row>
    <row r="70" spans="1:24">
      <c r="A70" s="6" t="s">
        <v>319</v>
      </c>
      <c r="B70" s="6" t="s">
        <v>320</v>
      </c>
      <c r="C70" s="6" t="s">
        <v>46</v>
      </c>
      <c r="D70" s="6" t="s">
        <v>321</v>
      </c>
      <c r="E70" s="6" t="s">
        <v>322</v>
      </c>
      <c r="F70" s="6">
        <v>38</v>
      </c>
      <c r="G70" s="6" t="s">
        <v>24</v>
      </c>
      <c r="H70" s="6" t="s">
        <v>323</v>
      </c>
      <c r="I70" s="6" t="s">
        <v>3579</v>
      </c>
      <c r="J70" s="8">
        <v>44055</v>
      </c>
      <c r="K70" s="8">
        <v>45302</v>
      </c>
      <c r="L70" s="6">
        <v>67800.25</v>
      </c>
      <c r="M70" s="6">
        <v>25600.400000000001</v>
      </c>
      <c r="N70" s="6">
        <v>730</v>
      </c>
      <c r="O70" s="6">
        <v>121000</v>
      </c>
      <c r="P70" s="6" t="s">
        <v>26</v>
      </c>
      <c r="Q70" s="6" t="s">
        <v>27</v>
      </c>
      <c r="R70" s="6">
        <v>0</v>
      </c>
      <c r="S70" s="6" t="s">
        <v>28</v>
      </c>
      <c r="T70" s="7">
        <f t="shared" si="5"/>
        <v>0.21157355371900827</v>
      </c>
      <c r="U70" s="6">
        <f t="shared" si="6"/>
        <v>4</v>
      </c>
      <c r="V70" s="5" t="str">
        <f t="shared" si="7"/>
        <v>GOOD</v>
      </c>
      <c r="W70" s="6" t="str">
        <f t="shared" si="8"/>
        <v>35-44</v>
      </c>
      <c r="X70" s="6" t="str">
        <f t="shared" si="9"/>
        <v>Lower-Middle</v>
      </c>
    </row>
    <row r="71" spans="1:24">
      <c r="A71" s="6" t="s">
        <v>324</v>
      </c>
      <c r="B71" s="6" t="s">
        <v>325</v>
      </c>
      <c r="C71" s="6" t="s">
        <v>57</v>
      </c>
      <c r="D71" s="6" t="s">
        <v>326</v>
      </c>
      <c r="E71" s="6" t="s">
        <v>327</v>
      </c>
      <c r="F71" s="6">
        <v>31</v>
      </c>
      <c r="G71" s="6" t="s">
        <v>34</v>
      </c>
      <c r="H71" s="6" t="s">
        <v>328</v>
      </c>
      <c r="I71" s="6" t="s">
        <v>3580</v>
      </c>
      <c r="J71" s="8">
        <v>44538</v>
      </c>
      <c r="K71" s="8">
        <v>45303</v>
      </c>
      <c r="L71" s="6">
        <v>15600.8</v>
      </c>
      <c r="M71" s="6">
        <v>6800.9</v>
      </c>
      <c r="N71" s="6">
        <v>725</v>
      </c>
      <c r="O71" s="6">
        <v>59000</v>
      </c>
      <c r="P71" s="6" t="s">
        <v>36</v>
      </c>
      <c r="Q71" s="6" t="s">
        <v>27</v>
      </c>
      <c r="R71" s="6">
        <v>0</v>
      </c>
      <c r="S71" s="6" t="s">
        <v>28</v>
      </c>
      <c r="T71" s="7">
        <f t="shared" si="5"/>
        <v>0.11526949152542372</v>
      </c>
      <c r="U71" s="6">
        <f t="shared" si="6"/>
        <v>3</v>
      </c>
      <c r="V71" s="5" t="str">
        <f t="shared" si="7"/>
        <v>GOOD</v>
      </c>
      <c r="W71" s="6" t="str">
        <f t="shared" si="8"/>
        <v>25-34</v>
      </c>
      <c r="X71" s="6" t="str">
        <f t="shared" si="9"/>
        <v>Low</v>
      </c>
    </row>
    <row r="72" spans="1:24">
      <c r="A72" s="6" t="s">
        <v>329</v>
      </c>
      <c r="B72" s="6" t="s">
        <v>330</v>
      </c>
      <c r="C72" s="6" t="s">
        <v>39</v>
      </c>
      <c r="D72" s="6" t="s">
        <v>63</v>
      </c>
      <c r="E72" s="6" t="s">
        <v>3514</v>
      </c>
      <c r="F72" s="6">
        <v>53</v>
      </c>
      <c r="G72" s="6" t="s">
        <v>24</v>
      </c>
      <c r="H72" s="6" t="s">
        <v>331</v>
      </c>
      <c r="I72" s="6" t="s">
        <v>3581</v>
      </c>
      <c r="J72" s="8">
        <v>42983</v>
      </c>
      <c r="K72" s="8">
        <v>45299</v>
      </c>
      <c r="L72" s="6">
        <v>198500.6</v>
      </c>
      <c r="M72" s="6">
        <v>92000.25</v>
      </c>
      <c r="N72" s="6">
        <v>675</v>
      </c>
      <c r="O72" s="6">
        <v>205000</v>
      </c>
      <c r="P72" s="6" t="s">
        <v>76</v>
      </c>
      <c r="Q72" s="6" t="s">
        <v>27</v>
      </c>
      <c r="R72" s="6">
        <v>0</v>
      </c>
      <c r="S72" s="6" t="s">
        <v>28</v>
      </c>
      <c r="T72" s="7">
        <f t="shared" si="5"/>
        <v>0.44878170731707318</v>
      </c>
      <c r="U72" s="6">
        <f t="shared" si="6"/>
        <v>7</v>
      </c>
      <c r="V72" s="5" t="str">
        <f t="shared" si="7"/>
        <v>GOOD</v>
      </c>
      <c r="W72" s="6" t="str">
        <f t="shared" si="8"/>
        <v>45-54</v>
      </c>
      <c r="X72" s="6" t="str">
        <f t="shared" si="9"/>
        <v>High</v>
      </c>
    </row>
    <row r="73" spans="1:24">
      <c r="A73" s="6" t="s">
        <v>332</v>
      </c>
      <c r="B73" s="6" t="s">
        <v>333</v>
      </c>
      <c r="C73" s="6" t="s">
        <v>21</v>
      </c>
      <c r="D73" s="6" t="s">
        <v>85</v>
      </c>
      <c r="E73" s="6" t="s">
        <v>86</v>
      </c>
      <c r="F73" s="6">
        <v>46</v>
      </c>
      <c r="G73" s="6" t="s">
        <v>34</v>
      </c>
      <c r="H73" s="6" t="s">
        <v>334</v>
      </c>
      <c r="I73" s="6" t="s">
        <v>3582</v>
      </c>
      <c r="J73" s="8">
        <v>43454</v>
      </c>
      <c r="K73" s="8">
        <v>45301</v>
      </c>
      <c r="L73" s="6">
        <v>187600.4</v>
      </c>
      <c r="M73" s="6">
        <v>52000.800000000003</v>
      </c>
      <c r="N73" s="6">
        <v>810</v>
      </c>
      <c r="O73" s="6">
        <v>195000</v>
      </c>
      <c r="P73" s="6" t="s">
        <v>36</v>
      </c>
      <c r="Q73" s="6" t="s">
        <v>27</v>
      </c>
      <c r="R73" s="6">
        <v>0</v>
      </c>
      <c r="S73" s="6" t="s">
        <v>28</v>
      </c>
      <c r="T73" s="7">
        <f t="shared" si="5"/>
        <v>0.26667076923076927</v>
      </c>
      <c r="U73" s="6">
        <f t="shared" si="6"/>
        <v>5</v>
      </c>
      <c r="V73" s="5" t="str">
        <f t="shared" si="7"/>
        <v>EXCEPTIONAL</v>
      </c>
      <c r="W73" s="6" t="str">
        <f t="shared" si="8"/>
        <v>45-54</v>
      </c>
      <c r="X73" s="6" t="str">
        <f t="shared" si="9"/>
        <v>High</v>
      </c>
    </row>
    <row r="74" spans="1:24">
      <c r="A74" s="6" t="s">
        <v>335</v>
      </c>
      <c r="B74" s="6" t="s">
        <v>336</v>
      </c>
      <c r="C74" s="6" t="s">
        <v>52</v>
      </c>
      <c r="D74" s="6" t="s">
        <v>40</v>
      </c>
      <c r="E74" s="6" t="s">
        <v>94</v>
      </c>
      <c r="F74" s="6">
        <v>41</v>
      </c>
      <c r="G74" s="6" t="s">
        <v>24</v>
      </c>
      <c r="H74" s="6" t="s">
        <v>337</v>
      </c>
      <c r="I74" s="6" t="s">
        <v>3583</v>
      </c>
      <c r="J74" s="8">
        <v>43753</v>
      </c>
      <c r="K74" s="8">
        <v>45302</v>
      </c>
      <c r="L74" s="6">
        <v>62300.75</v>
      </c>
      <c r="M74" s="6">
        <v>28500.6</v>
      </c>
      <c r="N74" s="6">
        <v>690</v>
      </c>
      <c r="O74" s="6">
        <v>132000</v>
      </c>
      <c r="P74" s="6" t="s">
        <v>26</v>
      </c>
      <c r="Q74" s="6" t="s">
        <v>27</v>
      </c>
      <c r="R74" s="6">
        <v>0</v>
      </c>
      <c r="S74" s="6" t="s">
        <v>28</v>
      </c>
      <c r="T74" s="7">
        <f t="shared" si="5"/>
        <v>0.21591363636363636</v>
      </c>
      <c r="U74" s="6">
        <f t="shared" si="6"/>
        <v>4</v>
      </c>
      <c r="V74" s="5" t="str">
        <f t="shared" si="7"/>
        <v>GOOD</v>
      </c>
      <c r="W74" s="6" t="str">
        <f t="shared" si="8"/>
        <v>35-44</v>
      </c>
      <c r="X74" s="6" t="str">
        <f t="shared" si="9"/>
        <v>Upper-Middle</v>
      </c>
    </row>
    <row r="75" spans="1:24">
      <c r="A75" s="6" t="s">
        <v>338</v>
      </c>
      <c r="B75" s="6" t="s">
        <v>339</v>
      </c>
      <c r="C75" s="6" t="s">
        <v>57</v>
      </c>
      <c r="D75" s="6" t="s">
        <v>340</v>
      </c>
      <c r="E75" s="6" t="s">
        <v>341</v>
      </c>
      <c r="F75" s="6">
        <v>29</v>
      </c>
      <c r="G75" s="6" t="s">
        <v>34</v>
      </c>
      <c r="H75" s="6" t="s">
        <v>342</v>
      </c>
      <c r="I75" s="6" t="s">
        <v>3584</v>
      </c>
      <c r="J75" s="8">
        <v>44703</v>
      </c>
      <c r="K75" s="8">
        <v>45305</v>
      </c>
      <c r="L75" s="6">
        <v>13400.2</v>
      </c>
      <c r="M75" s="6">
        <v>5800.75</v>
      </c>
      <c r="N75" s="6">
        <v>755</v>
      </c>
      <c r="O75" s="6">
        <v>51000</v>
      </c>
      <c r="P75" s="6" t="s">
        <v>36</v>
      </c>
      <c r="Q75" s="6" t="s">
        <v>27</v>
      </c>
      <c r="R75" s="6">
        <v>0</v>
      </c>
      <c r="S75" s="6" t="s">
        <v>28</v>
      </c>
      <c r="T75" s="7">
        <f t="shared" si="5"/>
        <v>0.11374019607843137</v>
      </c>
      <c r="U75" s="6">
        <f t="shared" si="6"/>
        <v>1</v>
      </c>
      <c r="V75" s="5" t="str">
        <f t="shared" si="7"/>
        <v>VERY GOOD</v>
      </c>
      <c r="W75" s="6" t="str">
        <f t="shared" si="8"/>
        <v>25-34</v>
      </c>
      <c r="X75" s="6" t="str">
        <f t="shared" si="9"/>
        <v>Low</v>
      </c>
    </row>
    <row r="76" spans="1:24">
      <c r="A76" s="6" t="s">
        <v>343</v>
      </c>
      <c r="B76" s="6" t="s">
        <v>344</v>
      </c>
      <c r="C76" s="6" t="s">
        <v>39</v>
      </c>
      <c r="D76" s="6" t="s">
        <v>345</v>
      </c>
      <c r="E76" s="6" t="s">
        <v>346</v>
      </c>
      <c r="F76" s="6">
        <v>48</v>
      </c>
      <c r="G76" s="6" t="s">
        <v>24</v>
      </c>
      <c r="H76" s="6" t="s">
        <v>347</v>
      </c>
      <c r="I76" s="6" t="s">
        <v>3585</v>
      </c>
      <c r="J76" s="8">
        <v>43187</v>
      </c>
      <c r="K76" s="8">
        <v>45300</v>
      </c>
      <c r="L76" s="6">
        <v>123700.8</v>
      </c>
      <c r="M76" s="6">
        <v>59000.4</v>
      </c>
      <c r="N76" s="6">
        <v>645</v>
      </c>
      <c r="O76" s="6">
        <v>135000</v>
      </c>
      <c r="P76" s="6" t="s">
        <v>76</v>
      </c>
      <c r="Q76" s="6" t="s">
        <v>27</v>
      </c>
      <c r="R76" s="6">
        <v>0</v>
      </c>
      <c r="S76" s="6" t="s">
        <v>28</v>
      </c>
      <c r="T76" s="7">
        <f t="shared" si="5"/>
        <v>0.43703999999999998</v>
      </c>
      <c r="U76" s="6">
        <f t="shared" si="6"/>
        <v>6</v>
      </c>
      <c r="V76" s="5" t="str">
        <f t="shared" si="7"/>
        <v>FAIR</v>
      </c>
      <c r="W76" s="6" t="str">
        <f t="shared" si="8"/>
        <v>45-54</v>
      </c>
      <c r="X76" s="6" t="str">
        <f t="shared" si="9"/>
        <v>Upper-Middle</v>
      </c>
    </row>
    <row r="77" spans="1:24">
      <c r="A77" s="6" t="s">
        <v>348</v>
      </c>
      <c r="B77" s="6" t="s">
        <v>349</v>
      </c>
      <c r="C77" s="6" t="s">
        <v>84</v>
      </c>
      <c r="D77" s="6" t="s">
        <v>183</v>
      </c>
      <c r="E77" s="6" t="s">
        <v>184</v>
      </c>
      <c r="F77" s="6">
        <v>20</v>
      </c>
      <c r="G77" s="6" t="s">
        <v>34</v>
      </c>
      <c r="H77" s="6" t="s">
        <v>350</v>
      </c>
      <c r="I77" s="6" t="s">
        <v>3586</v>
      </c>
      <c r="J77" s="8">
        <v>45209</v>
      </c>
      <c r="K77" s="8">
        <v>45304</v>
      </c>
      <c r="L77" s="6">
        <v>1950.8</v>
      </c>
      <c r="M77" s="6">
        <v>9200.25</v>
      </c>
      <c r="N77" s="6">
        <v>610</v>
      </c>
      <c r="O77" s="6">
        <v>17000</v>
      </c>
      <c r="P77" s="6" t="s">
        <v>76</v>
      </c>
      <c r="Q77" s="6" t="s">
        <v>43</v>
      </c>
      <c r="R77" s="6">
        <v>0</v>
      </c>
      <c r="S77" s="6" t="s">
        <v>28</v>
      </c>
      <c r="T77" s="7">
        <f t="shared" si="5"/>
        <v>0.54119117647058823</v>
      </c>
      <c r="U77" s="6">
        <f t="shared" si="6"/>
        <v>2</v>
      </c>
      <c r="V77" s="5" t="str">
        <f t="shared" si="7"/>
        <v>FAIR</v>
      </c>
      <c r="W77" s="6" t="str">
        <f t="shared" si="8"/>
        <v>18-24</v>
      </c>
      <c r="X77" s="6" t="str">
        <f t="shared" si="9"/>
        <v>Low</v>
      </c>
    </row>
    <row r="78" spans="1:24">
      <c r="A78" s="6" t="s">
        <v>351</v>
      </c>
      <c r="B78" s="6" t="s">
        <v>352</v>
      </c>
      <c r="C78" s="6" t="s">
        <v>21</v>
      </c>
      <c r="D78" s="6" t="s">
        <v>32</v>
      </c>
      <c r="E78" s="6" t="s">
        <v>90</v>
      </c>
      <c r="F78" s="6">
        <v>58</v>
      </c>
      <c r="G78" s="6" t="s">
        <v>24</v>
      </c>
      <c r="H78" s="6" t="s">
        <v>353</v>
      </c>
      <c r="I78" s="6" t="s">
        <v>3587</v>
      </c>
      <c r="J78" s="8">
        <v>42504</v>
      </c>
      <c r="K78" s="8">
        <v>45299</v>
      </c>
      <c r="L78" s="6">
        <v>256300.75</v>
      </c>
      <c r="M78" s="6">
        <v>68000.899999999994</v>
      </c>
      <c r="N78" s="6">
        <v>820</v>
      </c>
      <c r="O78" s="6">
        <v>270000</v>
      </c>
      <c r="P78" s="6" t="s">
        <v>36</v>
      </c>
      <c r="Q78" s="6" t="s">
        <v>27</v>
      </c>
      <c r="R78" s="6">
        <v>0</v>
      </c>
      <c r="S78" s="6" t="s">
        <v>28</v>
      </c>
      <c r="T78" s="7">
        <f t="shared" si="5"/>
        <v>0.25185518518518518</v>
      </c>
      <c r="U78" s="6">
        <f t="shared" si="6"/>
        <v>7</v>
      </c>
      <c r="V78" s="5" t="str">
        <f t="shared" si="7"/>
        <v>EXCEPTIONAL</v>
      </c>
      <c r="W78" s="6" t="str">
        <f t="shared" si="8"/>
        <v>55+</v>
      </c>
      <c r="X78" s="6" t="str">
        <f t="shared" si="9"/>
        <v>High</v>
      </c>
    </row>
    <row r="79" spans="1:24">
      <c r="A79" s="6" t="s">
        <v>354</v>
      </c>
      <c r="B79" s="6" t="s">
        <v>355</v>
      </c>
      <c r="C79" s="6" t="s">
        <v>52</v>
      </c>
      <c r="D79" s="6" t="s">
        <v>68</v>
      </c>
      <c r="E79" s="6" t="s">
        <v>356</v>
      </c>
      <c r="F79" s="6">
        <v>39</v>
      </c>
      <c r="G79" s="6" t="s">
        <v>24</v>
      </c>
      <c r="H79" s="6" t="s">
        <v>357</v>
      </c>
      <c r="I79" s="6" t="s">
        <v>3588</v>
      </c>
      <c r="J79" s="8">
        <v>43890</v>
      </c>
      <c r="K79" s="8">
        <v>45301</v>
      </c>
      <c r="L79" s="6">
        <v>34500.6</v>
      </c>
      <c r="M79" s="6">
        <v>15200.75</v>
      </c>
      <c r="N79" s="6">
        <v>670</v>
      </c>
      <c r="O79" s="6">
        <v>78000</v>
      </c>
      <c r="P79" s="6" t="s">
        <v>26</v>
      </c>
      <c r="Q79" s="6" t="s">
        <v>27</v>
      </c>
      <c r="R79" s="6">
        <v>0</v>
      </c>
      <c r="S79" s="6" t="s">
        <v>28</v>
      </c>
      <c r="T79" s="7">
        <f t="shared" si="5"/>
        <v>0.19488141025641026</v>
      </c>
      <c r="U79" s="6">
        <f t="shared" si="6"/>
        <v>5</v>
      </c>
      <c r="V79" s="5" t="str">
        <f t="shared" si="7"/>
        <v>GOOD</v>
      </c>
      <c r="W79" s="6" t="str">
        <f t="shared" si="8"/>
        <v>35-44</v>
      </c>
      <c r="X79" s="6" t="str">
        <f t="shared" si="9"/>
        <v>Lower-Middle</v>
      </c>
    </row>
    <row r="80" spans="1:24">
      <c r="A80" s="6" t="s">
        <v>358</v>
      </c>
      <c r="B80" s="6" t="s">
        <v>359</v>
      </c>
      <c r="C80" s="6" t="s">
        <v>46</v>
      </c>
      <c r="D80" s="6" t="s">
        <v>360</v>
      </c>
      <c r="E80" s="6" t="s">
        <v>361</v>
      </c>
      <c r="F80" s="6">
        <v>36</v>
      </c>
      <c r="G80" s="6" t="s">
        <v>34</v>
      </c>
      <c r="H80" s="6" t="s">
        <v>362</v>
      </c>
      <c r="I80" s="6" t="s">
        <v>3589</v>
      </c>
      <c r="J80" s="8">
        <v>44293</v>
      </c>
      <c r="K80" s="8">
        <v>45303</v>
      </c>
      <c r="L80" s="6">
        <v>78900.399999999994</v>
      </c>
      <c r="M80" s="6">
        <v>31200.799999999999</v>
      </c>
      <c r="N80" s="6">
        <v>760</v>
      </c>
      <c r="O80" s="6">
        <v>142000</v>
      </c>
      <c r="P80" s="6" t="s">
        <v>26</v>
      </c>
      <c r="Q80" s="6" t="s">
        <v>27</v>
      </c>
      <c r="R80" s="6">
        <v>0</v>
      </c>
      <c r="S80" s="6" t="s">
        <v>28</v>
      </c>
      <c r="T80" s="7">
        <f t="shared" si="5"/>
        <v>0.21972394366197182</v>
      </c>
      <c r="U80" s="6">
        <f t="shared" si="6"/>
        <v>3</v>
      </c>
      <c r="V80" s="5" t="str">
        <f t="shared" si="7"/>
        <v>VERY GOOD</v>
      </c>
      <c r="W80" s="6" t="str">
        <f t="shared" si="8"/>
        <v>35-44</v>
      </c>
      <c r="X80" s="6" t="str">
        <f t="shared" si="9"/>
        <v>Upper-Middle</v>
      </c>
    </row>
    <row r="81" spans="1:24">
      <c r="A81" s="6" t="s">
        <v>363</v>
      </c>
      <c r="B81" s="6" t="s">
        <v>364</v>
      </c>
      <c r="C81" s="6" t="s">
        <v>31</v>
      </c>
      <c r="D81" s="6" t="s">
        <v>233</v>
      </c>
      <c r="E81" s="6" t="s">
        <v>234</v>
      </c>
      <c r="F81" s="6">
        <v>26</v>
      </c>
      <c r="G81" s="6" t="s">
        <v>24</v>
      </c>
      <c r="H81" s="6" t="s">
        <v>365</v>
      </c>
      <c r="I81" s="6" t="s">
        <v>3590</v>
      </c>
      <c r="J81" s="8">
        <v>45089</v>
      </c>
      <c r="K81" s="8">
        <v>45305</v>
      </c>
      <c r="L81" s="6">
        <v>9200.75</v>
      </c>
      <c r="M81" s="6">
        <v>5100.3999999999996</v>
      </c>
      <c r="N81" s="6">
        <v>730</v>
      </c>
      <c r="O81" s="6">
        <v>38000</v>
      </c>
      <c r="P81" s="6" t="s">
        <v>36</v>
      </c>
      <c r="Q81" s="6" t="s">
        <v>27</v>
      </c>
      <c r="R81" s="6">
        <v>0</v>
      </c>
      <c r="S81" s="6" t="s">
        <v>28</v>
      </c>
      <c r="T81" s="7">
        <f t="shared" si="5"/>
        <v>0.13422105263157894</v>
      </c>
      <c r="U81" s="6">
        <f t="shared" si="6"/>
        <v>1</v>
      </c>
      <c r="V81" s="5" t="str">
        <f t="shared" si="7"/>
        <v>GOOD</v>
      </c>
      <c r="W81" s="6" t="str">
        <f t="shared" si="8"/>
        <v>25-34</v>
      </c>
      <c r="X81" s="6" t="str">
        <f t="shared" si="9"/>
        <v>Low</v>
      </c>
    </row>
    <row r="82" spans="1:24">
      <c r="A82" s="6" t="s">
        <v>366</v>
      </c>
      <c r="B82" s="6" t="s">
        <v>367</v>
      </c>
      <c r="C82" s="6" t="s">
        <v>57</v>
      </c>
      <c r="D82" s="6" t="s">
        <v>47</v>
      </c>
      <c r="E82" s="6" t="s">
        <v>48</v>
      </c>
      <c r="F82" s="6">
        <v>32</v>
      </c>
      <c r="G82" s="6" t="s">
        <v>34</v>
      </c>
      <c r="H82" s="6" t="s">
        <v>368</v>
      </c>
      <c r="I82" s="6" t="s">
        <v>3591</v>
      </c>
      <c r="J82" s="8">
        <v>44530</v>
      </c>
      <c r="K82" s="8">
        <v>45302</v>
      </c>
      <c r="L82" s="6">
        <v>17800.900000000001</v>
      </c>
      <c r="M82" s="6">
        <v>7600.25</v>
      </c>
      <c r="N82" s="6">
        <v>740</v>
      </c>
      <c r="O82" s="6">
        <v>67000</v>
      </c>
      <c r="P82" s="6" t="s">
        <v>36</v>
      </c>
      <c r="Q82" s="6" t="s">
        <v>27</v>
      </c>
      <c r="R82" s="6">
        <v>0</v>
      </c>
      <c r="S82" s="6" t="s">
        <v>28</v>
      </c>
      <c r="T82" s="7">
        <f t="shared" si="5"/>
        <v>0.1134365671641791</v>
      </c>
      <c r="U82" s="6">
        <f t="shared" si="6"/>
        <v>4</v>
      </c>
      <c r="V82" s="5" t="str">
        <f t="shared" si="7"/>
        <v>GOOD</v>
      </c>
      <c r="W82" s="6" t="str">
        <f t="shared" si="8"/>
        <v>25-34</v>
      </c>
      <c r="X82" s="6" t="str">
        <f t="shared" si="9"/>
        <v>Low</v>
      </c>
    </row>
    <row r="83" spans="1:24">
      <c r="A83" s="6" t="s">
        <v>369</v>
      </c>
      <c r="B83" s="6" t="s">
        <v>370</v>
      </c>
      <c r="C83" s="6" t="s">
        <v>39</v>
      </c>
      <c r="D83" s="6" t="s">
        <v>371</v>
      </c>
      <c r="E83" s="6" t="s">
        <v>372</v>
      </c>
      <c r="F83" s="6">
        <v>51</v>
      </c>
      <c r="G83" s="6" t="s">
        <v>24</v>
      </c>
      <c r="H83" s="6" t="s">
        <v>373</v>
      </c>
      <c r="I83" s="6" t="s">
        <v>3592</v>
      </c>
      <c r="J83" s="8">
        <v>42934</v>
      </c>
      <c r="K83" s="8">
        <v>45299</v>
      </c>
      <c r="L83" s="6">
        <v>234800.2</v>
      </c>
      <c r="M83" s="6">
        <v>105000.6</v>
      </c>
      <c r="N83" s="6">
        <v>660</v>
      </c>
      <c r="O83" s="6">
        <v>240000</v>
      </c>
      <c r="P83" s="6" t="s">
        <v>76</v>
      </c>
      <c r="Q83" s="6" t="s">
        <v>27</v>
      </c>
      <c r="R83" s="6">
        <v>0</v>
      </c>
      <c r="S83" s="6" t="s">
        <v>28</v>
      </c>
      <c r="T83" s="7">
        <f t="shared" si="5"/>
        <v>0.43750250000000002</v>
      </c>
      <c r="U83" s="6">
        <f t="shared" si="6"/>
        <v>7</v>
      </c>
      <c r="V83" s="5" t="str">
        <f t="shared" si="7"/>
        <v>FAIR</v>
      </c>
      <c r="W83" s="6" t="str">
        <f t="shared" si="8"/>
        <v>45-54</v>
      </c>
      <c r="X83" s="6" t="str">
        <f t="shared" si="9"/>
        <v>High</v>
      </c>
    </row>
    <row r="84" spans="1:24">
      <c r="A84" s="6" t="s">
        <v>374</v>
      </c>
      <c r="B84" s="6" t="s">
        <v>375</v>
      </c>
      <c r="C84" s="6" t="s">
        <v>52</v>
      </c>
      <c r="D84" s="6" t="s">
        <v>376</v>
      </c>
      <c r="E84" s="6" t="s">
        <v>377</v>
      </c>
      <c r="F84" s="6">
        <v>35</v>
      </c>
      <c r="G84" s="6" t="s">
        <v>34</v>
      </c>
      <c r="H84" s="6" t="s">
        <v>378</v>
      </c>
      <c r="I84" s="6" t="s">
        <v>3593</v>
      </c>
      <c r="J84" s="8">
        <v>44099</v>
      </c>
      <c r="K84" s="8">
        <v>45301</v>
      </c>
      <c r="L84" s="6">
        <v>29800.400000000001</v>
      </c>
      <c r="M84" s="6">
        <v>12300.75</v>
      </c>
      <c r="N84" s="6">
        <v>700</v>
      </c>
      <c r="O84" s="6">
        <v>71000</v>
      </c>
      <c r="P84" s="6" t="s">
        <v>26</v>
      </c>
      <c r="Q84" s="6" t="s">
        <v>27</v>
      </c>
      <c r="R84" s="6">
        <v>0</v>
      </c>
      <c r="S84" s="6" t="s">
        <v>28</v>
      </c>
      <c r="T84" s="7">
        <f t="shared" si="5"/>
        <v>0.17324999999999999</v>
      </c>
      <c r="U84" s="6">
        <f t="shared" si="6"/>
        <v>5</v>
      </c>
      <c r="V84" s="5" t="str">
        <f t="shared" si="7"/>
        <v>GOOD</v>
      </c>
      <c r="W84" s="6" t="str">
        <f t="shared" si="8"/>
        <v>35-44</v>
      </c>
      <c r="X84" s="6" t="str">
        <f t="shared" si="9"/>
        <v>Low</v>
      </c>
    </row>
    <row r="85" spans="1:24">
      <c r="A85" s="6" t="s">
        <v>379</v>
      </c>
      <c r="B85" s="6" t="s">
        <v>380</v>
      </c>
      <c r="C85" s="6" t="s">
        <v>46</v>
      </c>
      <c r="D85" s="6" t="s">
        <v>22</v>
      </c>
      <c r="E85" s="6" t="s">
        <v>381</v>
      </c>
      <c r="F85" s="6">
        <v>42</v>
      </c>
      <c r="G85" s="6" t="s">
        <v>24</v>
      </c>
      <c r="H85" s="6" t="s">
        <v>382</v>
      </c>
      <c r="I85" s="6" t="s">
        <v>3594</v>
      </c>
      <c r="J85" s="8">
        <v>43807</v>
      </c>
      <c r="K85" s="8">
        <v>45303</v>
      </c>
      <c r="L85" s="6">
        <v>85600.75</v>
      </c>
      <c r="M85" s="6">
        <v>34200.400000000001</v>
      </c>
      <c r="N85" s="6">
        <v>715</v>
      </c>
      <c r="O85" s="6">
        <v>148000</v>
      </c>
      <c r="P85" s="6" t="s">
        <v>26</v>
      </c>
      <c r="Q85" s="6" t="s">
        <v>27</v>
      </c>
      <c r="R85" s="6">
        <v>0</v>
      </c>
      <c r="S85" s="6" t="s">
        <v>28</v>
      </c>
      <c r="T85" s="7">
        <f t="shared" si="5"/>
        <v>0.2310837837837838</v>
      </c>
      <c r="U85" s="6">
        <f t="shared" si="6"/>
        <v>3</v>
      </c>
      <c r="V85" s="5" t="str">
        <f t="shared" si="7"/>
        <v>GOOD</v>
      </c>
      <c r="W85" s="6" t="str">
        <f t="shared" si="8"/>
        <v>35-44</v>
      </c>
      <c r="X85" s="6" t="str">
        <f t="shared" si="9"/>
        <v>Upper-Middle</v>
      </c>
    </row>
    <row r="86" spans="1:24">
      <c r="A86" s="6" t="s">
        <v>383</v>
      </c>
      <c r="B86" s="6" t="s">
        <v>384</v>
      </c>
      <c r="C86" s="6" t="s">
        <v>84</v>
      </c>
      <c r="D86" s="6" t="s">
        <v>313</v>
      </c>
      <c r="E86" s="6" t="s">
        <v>385</v>
      </c>
      <c r="F86" s="6">
        <v>23</v>
      </c>
      <c r="G86" s="6" t="s">
        <v>34</v>
      </c>
      <c r="H86" s="6" t="s">
        <v>386</v>
      </c>
      <c r="I86" s="6" t="s">
        <v>3595</v>
      </c>
      <c r="J86" s="8">
        <v>45143</v>
      </c>
      <c r="K86" s="8">
        <v>45304</v>
      </c>
      <c r="L86" s="6">
        <v>1650.2</v>
      </c>
      <c r="M86" s="6">
        <v>7500.8</v>
      </c>
      <c r="N86" s="6">
        <v>615</v>
      </c>
      <c r="O86" s="6">
        <v>21000</v>
      </c>
      <c r="P86" s="6" t="s">
        <v>76</v>
      </c>
      <c r="Q86" s="6" t="s">
        <v>43</v>
      </c>
      <c r="R86" s="6">
        <v>0</v>
      </c>
      <c r="S86" s="6" t="s">
        <v>28</v>
      </c>
      <c r="T86" s="7">
        <f t="shared" si="5"/>
        <v>0.35718095238095238</v>
      </c>
      <c r="U86" s="6">
        <f t="shared" si="6"/>
        <v>2</v>
      </c>
      <c r="V86" s="5" t="str">
        <f t="shared" si="7"/>
        <v>FAIR</v>
      </c>
      <c r="W86" s="6" t="str">
        <f t="shared" si="8"/>
        <v>18-24</v>
      </c>
      <c r="X86" s="6" t="str">
        <f t="shared" si="9"/>
        <v>Low</v>
      </c>
    </row>
    <row r="87" spans="1:24">
      <c r="A87" s="6" t="s">
        <v>387</v>
      </c>
      <c r="B87" s="6" t="s">
        <v>388</v>
      </c>
      <c r="C87" s="6" t="s">
        <v>21</v>
      </c>
      <c r="D87" s="6" t="s">
        <v>241</v>
      </c>
      <c r="E87" s="6" t="s">
        <v>389</v>
      </c>
      <c r="F87" s="6">
        <v>55</v>
      </c>
      <c r="G87" s="6" t="s">
        <v>24</v>
      </c>
      <c r="H87" s="6" t="s">
        <v>390</v>
      </c>
      <c r="I87" s="6" t="s">
        <v>3596</v>
      </c>
      <c r="J87" s="8">
        <v>42665</v>
      </c>
      <c r="K87" s="8">
        <v>45299</v>
      </c>
      <c r="L87" s="6">
        <v>298700.40000000002</v>
      </c>
      <c r="M87" s="6">
        <v>72000.25</v>
      </c>
      <c r="N87" s="6">
        <v>835</v>
      </c>
      <c r="O87" s="6">
        <v>280000</v>
      </c>
      <c r="P87" s="6" t="s">
        <v>36</v>
      </c>
      <c r="Q87" s="6" t="s">
        <v>27</v>
      </c>
      <c r="R87" s="6">
        <v>0</v>
      </c>
      <c r="S87" s="6" t="s">
        <v>28</v>
      </c>
      <c r="T87" s="7">
        <f t="shared" si="5"/>
        <v>0.25714375</v>
      </c>
      <c r="U87" s="6">
        <f t="shared" si="6"/>
        <v>7</v>
      </c>
      <c r="V87" s="5" t="str">
        <f t="shared" si="7"/>
        <v>EXCEPTIONAL</v>
      </c>
      <c r="W87" s="6" t="str">
        <f t="shared" si="8"/>
        <v>55+</v>
      </c>
      <c r="X87" s="6" t="str">
        <f t="shared" si="9"/>
        <v>High</v>
      </c>
    </row>
    <row r="88" spans="1:24">
      <c r="A88" s="6" t="s">
        <v>391</v>
      </c>
      <c r="B88" s="6" t="s">
        <v>392</v>
      </c>
      <c r="C88" s="6" t="s">
        <v>57</v>
      </c>
      <c r="D88" s="6" t="s">
        <v>393</v>
      </c>
      <c r="E88" s="6" t="s">
        <v>394</v>
      </c>
      <c r="F88" s="6">
        <v>33</v>
      </c>
      <c r="G88" s="6" t="s">
        <v>34</v>
      </c>
      <c r="H88" s="6" t="s">
        <v>395</v>
      </c>
      <c r="I88" s="6" t="s">
        <v>3597</v>
      </c>
      <c r="J88" s="8">
        <v>44269</v>
      </c>
      <c r="K88" s="8">
        <v>45302</v>
      </c>
      <c r="L88" s="6">
        <v>14200.6</v>
      </c>
      <c r="M88" s="6">
        <v>6100.9</v>
      </c>
      <c r="N88" s="6">
        <v>725</v>
      </c>
      <c r="O88" s="6">
        <v>57000</v>
      </c>
      <c r="P88" s="6" t="s">
        <v>36</v>
      </c>
      <c r="Q88" s="6" t="s">
        <v>27</v>
      </c>
      <c r="R88" s="6">
        <v>0</v>
      </c>
      <c r="S88" s="6" t="s">
        <v>28</v>
      </c>
      <c r="T88" s="7">
        <f t="shared" si="5"/>
        <v>0.10703333333333333</v>
      </c>
      <c r="U88" s="6">
        <f t="shared" si="6"/>
        <v>4</v>
      </c>
      <c r="V88" s="5" t="str">
        <f t="shared" si="7"/>
        <v>GOOD</v>
      </c>
      <c r="W88" s="6" t="str">
        <f t="shared" si="8"/>
        <v>25-34</v>
      </c>
      <c r="X88" s="6" t="str">
        <f t="shared" si="9"/>
        <v>Low</v>
      </c>
    </row>
    <row r="89" spans="1:24">
      <c r="A89" s="6" t="s">
        <v>396</v>
      </c>
      <c r="B89" s="6" t="s">
        <v>397</v>
      </c>
      <c r="C89" s="6" t="s">
        <v>39</v>
      </c>
      <c r="D89" s="6" t="s">
        <v>195</v>
      </c>
      <c r="E89" s="6" t="s">
        <v>196</v>
      </c>
      <c r="F89" s="6">
        <v>49</v>
      </c>
      <c r="G89" s="6" t="s">
        <v>24</v>
      </c>
      <c r="H89" s="6" t="s">
        <v>398</v>
      </c>
      <c r="I89" s="6" t="s">
        <v>3598</v>
      </c>
      <c r="J89" s="8">
        <v>43281</v>
      </c>
      <c r="K89" s="8">
        <v>45300</v>
      </c>
      <c r="L89" s="6">
        <v>167800.75</v>
      </c>
      <c r="M89" s="6">
        <v>78000.600000000006</v>
      </c>
      <c r="N89" s="6">
        <v>675</v>
      </c>
      <c r="O89" s="6">
        <v>175000</v>
      </c>
      <c r="P89" s="6" t="s">
        <v>76</v>
      </c>
      <c r="Q89" s="6" t="s">
        <v>27</v>
      </c>
      <c r="R89" s="6">
        <v>0</v>
      </c>
      <c r="S89" s="6" t="s">
        <v>28</v>
      </c>
      <c r="T89" s="7">
        <f t="shared" si="5"/>
        <v>0.44571771428571433</v>
      </c>
      <c r="U89" s="6">
        <f t="shared" si="6"/>
        <v>6</v>
      </c>
      <c r="V89" s="5" t="str">
        <f t="shared" si="7"/>
        <v>GOOD</v>
      </c>
      <c r="W89" s="6" t="str">
        <f t="shared" si="8"/>
        <v>45-54</v>
      </c>
      <c r="X89" s="6" t="str">
        <f t="shared" si="9"/>
        <v>Upper-Middle</v>
      </c>
    </row>
    <row r="90" spans="1:24">
      <c r="A90" s="6" t="s">
        <v>399</v>
      </c>
      <c r="B90" s="6" t="s">
        <v>400</v>
      </c>
      <c r="C90" s="6" t="s">
        <v>31</v>
      </c>
      <c r="D90" s="6" t="s">
        <v>233</v>
      </c>
      <c r="E90" s="6" t="s">
        <v>234</v>
      </c>
      <c r="F90" s="6">
        <v>28</v>
      </c>
      <c r="G90" s="6" t="s">
        <v>34</v>
      </c>
      <c r="H90" s="6" t="s">
        <v>401</v>
      </c>
      <c r="I90" s="6" t="s">
        <v>3599</v>
      </c>
      <c r="J90" s="8">
        <v>44898</v>
      </c>
      <c r="K90" s="8">
        <v>45305</v>
      </c>
      <c r="L90" s="6">
        <v>10800.25</v>
      </c>
      <c r="M90" s="6">
        <v>5900.4</v>
      </c>
      <c r="N90" s="6">
        <v>745</v>
      </c>
      <c r="O90" s="6">
        <v>46000</v>
      </c>
      <c r="P90" s="6" t="s">
        <v>36</v>
      </c>
      <c r="Q90" s="6" t="s">
        <v>27</v>
      </c>
      <c r="R90" s="6">
        <v>0</v>
      </c>
      <c r="S90" s="6" t="s">
        <v>28</v>
      </c>
      <c r="T90" s="7">
        <f t="shared" si="5"/>
        <v>0.1282695652173913</v>
      </c>
      <c r="U90" s="6">
        <f t="shared" si="6"/>
        <v>1</v>
      </c>
      <c r="V90" s="5" t="str">
        <f t="shared" si="7"/>
        <v>GOOD</v>
      </c>
      <c r="W90" s="6" t="str">
        <f t="shared" si="8"/>
        <v>25-34</v>
      </c>
      <c r="X90" s="6" t="str">
        <f t="shared" si="9"/>
        <v>Low</v>
      </c>
    </row>
    <row r="91" spans="1:24">
      <c r="A91" s="6" t="s">
        <v>402</v>
      </c>
      <c r="B91" s="6" t="s">
        <v>403</v>
      </c>
      <c r="C91" s="6" t="s">
        <v>52</v>
      </c>
      <c r="D91" s="6" t="s">
        <v>277</v>
      </c>
      <c r="E91" s="6" t="s">
        <v>404</v>
      </c>
      <c r="F91" s="6">
        <v>40</v>
      </c>
      <c r="G91" s="6" t="s">
        <v>24</v>
      </c>
      <c r="H91" s="6" t="s">
        <v>405</v>
      </c>
      <c r="I91" s="6" t="s">
        <v>3600</v>
      </c>
      <c r="J91" s="8">
        <v>43847</v>
      </c>
      <c r="K91" s="8">
        <v>45301</v>
      </c>
      <c r="L91" s="6">
        <v>43200.800000000003</v>
      </c>
      <c r="M91" s="6">
        <v>18700.25</v>
      </c>
      <c r="N91" s="6">
        <v>680</v>
      </c>
      <c r="O91" s="6">
        <v>93000</v>
      </c>
      <c r="P91" s="6" t="s">
        <v>26</v>
      </c>
      <c r="Q91" s="6" t="s">
        <v>27</v>
      </c>
      <c r="R91" s="6">
        <v>0</v>
      </c>
      <c r="S91" s="6" t="s">
        <v>28</v>
      </c>
      <c r="T91" s="7">
        <f t="shared" si="5"/>
        <v>0.20107795698924733</v>
      </c>
      <c r="U91" s="6">
        <f t="shared" si="6"/>
        <v>5</v>
      </c>
      <c r="V91" s="5" t="str">
        <f t="shared" si="7"/>
        <v>GOOD</v>
      </c>
      <c r="W91" s="6" t="str">
        <f t="shared" si="8"/>
        <v>35-44</v>
      </c>
      <c r="X91" s="6" t="str">
        <f t="shared" si="9"/>
        <v>Lower-Middle</v>
      </c>
    </row>
    <row r="92" spans="1:24">
      <c r="A92" s="6" t="s">
        <v>406</v>
      </c>
      <c r="B92" s="6" t="s">
        <v>407</v>
      </c>
      <c r="C92" s="6" t="s">
        <v>46</v>
      </c>
      <c r="D92" s="6" t="s">
        <v>22</v>
      </c>
      <c r="E92" s="6" t="s">
        <v>408</v>
      </c>
      <c r="F92" s="6">
        <v>37</v>
      </c>
      <c r="G92" s="6" t="s">
        <v>34</v>
      </c>
      <c r="H92" s="6" t="s">
        <v>409</v>
      </c>
      <c r="I92" s="6" t="s">
        <v>3601</v>
      </c>
      <c r="J92" s="8">
        <v>44034</v>
      </c>
      <c r="K92" s="8">
        <v>45302</v>
      </c>
      <c r="L92" s="6">
        <v>72300.600000000006</v>
      </c>
      <c r="M92" s="6">
        <v>28900.75</v>
      </c>
      <c r="N92" s="6">
        <v>750</v>
      </c>
      <c r="O92" s="6">
        <v>128000</v>
      </c>
      <c r="P92" s="6" t="s">
        <v>26</v>
      </c>
      <c r="Q92" s="6" t="s">
        <v>27</v>
      </c>
      <c r="R92" s="6">
        <v>0</v>
      </c>
      <c r="S92" s="6" t="s">
        <v>28</v>
      </c>
      <c r="T92" s="7">
        <f t="shared" si="5"/>
        <v>0.22578710937499999</v>
      </c>
      <c r="U92" s="6">
        <f t="shared" si="6"/>
        <v>4</v>
      </c>
      <c r="V92" s="5" t="str">
        <f t="shared" si="7"/>
        <v>VERY GOOD</v>
      </c>
      <c r="W92" s="6" t="str">
        <f t="shared" si="8"/>
        <v>35-44</v>
      </c>
      <c r="X92" s="6" t="str">
        <f t="shared" si="9"/>
        <v>Upper-Middle</v>
      </c>
    </row>
    <row r="93" spans="1:24">
      <c r="A93" s="6" t="s">
        <v>410</v>
      </c>
      <c r="B93" s="6" t="s">
        <v>411</v>
      </c>
      <c r="C93" s="6" t="s">
        <v>39</v>
      </c>
      <c r="D93" s="6" t="s">
        <v>40</v>
      </c>
      <c r="E93" s="6" t="s">
        <v>41</v>
      </c>
      <c r="F93" s="6">
        <v>52</v>
      </c>
      <c r="G93" s="6" t="s">
        <v>24</v>
      </c>
      <c r="H93" s="6" t="s">
        <v>412</v>
      </c>
      <c r="I93" s="6" t="s">
        <v>3532</v>
      </c>
      <c r="J93" s="8">
        <v>42837</v>
      </c>
      <c r="K93" s="8">
        <v>45299</v>
      </c>
      <c r="L93" s="6">
        <v>198400.25</v>
      </c>
      <c r="M93" s="6">
        <v>89000.4</v>
      </c>
      <c r="N93" s="6">
        <v>655</v>
      </c>
      <c r="O93" s="6">
        <v>210000</v>
      </c>
      <c r="P93" s="6" t="s">
        <v>76</v>
      </c>
      <c r="Q93" s="6" t="s">
        <v>27</v>
      </c>
      <c r="R93" s="6">
        <v>0</v>
      </c>
      <c r="S93" s="6" t="s">
        <v>28</v>
      </c>
      <c r="T93" s="7">
        <f t="shared" si="5"/>
        <v>0.42381142857142856</v>
      </c>
      <c r="U93" s="6">
        <f t="shared" si="6"/>
        <v>7</v>
      </c>
      <c r="V93" s="5" t="str">
        <f t="shared" si="7"/>
        <v>FAIR</v>
      </c>
      <c r="W93" s="6" t="str">
        <f t="shared" si="8"/>
        <v>45-54</v>
      </c>
      <c r="X93" s="6" t="str">
        <f t="shared" si="9"/>
        <v>High</v>
      </c>
    </row>
    <row r="94" spans="1:24">
      <c r="A94" s="6" t="s">
        <v>413</v>
      </c>
      <c r="B94" s="6" t="s">
        <v>414</v>
      </c>
      <c r="C94" s="6" t="s">
        <v>57</v>
      </c>
      <c r="D94" s="6" t="s">
        <v>415</v>
      </c>
      <c r="E94" s="6" t="s">
        <v>416</v>
      </c>
      <c r="F94" s="6">
        <v>31</v>
      </c>
      <c r="G94" s="6" t="s">
        <v>34</v>
      </c>
      <c r="H94" s="6" t="s">
        <v>417</v>
      </c>
      <c r="I94" s="6" t="s">
        <v>3602</v>
      </c>
      <c r="J94" s="8">
        <v>44444</v>
      </c>
      <c r="K94" s="8">
        <v>45303</v>
      </c>
      <c r="L94" s="6">
        <v>12300.4</v>
      </c>
      <c r="M94" s="6">
        <v>5200.8</v>
      </c>
      <c r="N94" s="6">
        <v>735</v>
      </c>
      <c r="O94" s="6">
        <v>54000</v>
      </c>
      <c r="P94" s="6" t="s">
        <v>36</v>
      </c>
      <c r="Q94" s="6" t="s">
        <v>27</v>
      </c>
      <c r="R94" s="6">
        <v>0</v>
      </c>
      <c r="S94" s="6" t="s">
        <v>28</v>
      </c>
      <c r="T94" s="7">
        <f t="shared" si="5"/>
        <v>9.6311111111111111E-2</v>
      </c>
      <c r="U94" s="6">
        <f t="shared" si="6"/>
        <v>3</v>
      </c>
      <c r="V94" s="5" t="str">
        <f t="shared" si="7"/>
        <v>GOOD</v>
      </c>
      <c r="W94" s="6" t="str">
        <f t="shared" si="8"/>
        <v>25-34</v>
      </c>
      <c r="X94" s="6" t="str">
        <f t="shared" si="9"/>
        <v>Low</v>
      </c>
    </row>
    <row r="95" spans="1:24">
      <c r="A95" s="6" t="s">
        <v>418</v>
      </c>
      <c r="B95" s="6" t="s">
        <v>419</v>
      </c>
      <c r="C95" s="6" t="s">
        <v>21</v>
      </c>
      <c r="D95" s="6" t="s">
        <v>32</v>
      </c>
      <c r="E95" s="6" t="s">
        <v>33</v>
      </c>
      <c r="F95" s="6">
        <v>59</v>
      </c>
      <c r="G95" s="6" t="s">
        <v>24</v>
      </c>
      <c r="H95" s="6" t="s">
        <v>420</v>
      </c>
      <c r="I95" s="6" t="s">
        <v>3544</v>
      </c>
      <c r="J95" s="8">
        <v>42454</v>
      </c>
      <c r="K95" s="8">
        <v>45299</v>
      </c>
      <c r="L95" s="6">
        <v>312500.59999999998</v>
      </c>
      <c r="M95" s="6">
        <v>85000.75</v>
      </c>
      <c r="N95" s="6">
        <v>845</v>
      </c>
      <c r="O95" s="6">
        <v>295000</v>
      </c>
      <c r="P95" s="6" t="s">
        <v>36</v>
      </c>
      <c r="Q95" s="6" t="s">
        <v>27</v>
      </c>
      <c r="R95" s="6">
        <v>0</v>
      </c>
      <c r="S95" s="6" t="s">
        <v>28</v>
      </c>
      <c r="T95" s="7">
        <f t="shared" si="5"/>
        <v>0.28813813559322032</v>
      </c>
      <c r="U95" s="6">
        <f t="shared" si="6"/>
        <v>7</v>
      </c>
      <c r="V95" s="5" t="str">
        <f t="shared" si="7"/>
        <v>EXCEPTIONAL</v>
      </c>
      <c r="W95" s="6" t="str">
        <f t="shared" si="8"/>
        <v>55+</v>
      </c>
      <c r="X95" s="6" t="str">
        <f t="shared" si="9"/>
        <v>High</v>
      </c>
    </row>
    <row r="96" spans="1:24">
      <c r="A96" s="6" t="s">
        <v>421</v>
      </c>
      <c r="B96" s="6" t="s">
        <v>422</v>
      </c>
      <c r="C96" s="6" t="s">
        <v>52</v>
      </c>
      <c r="D96" s="6" t="s">
        <v>68</v>
      </c>
      <c r="E96" s="6" t="s">
        <v>69</v>
      </c>
      <c r="F96" s="6">
        <v>45</v>
      </c>
      <c r="G96" s="6" t="s">
        <v>24</v>
      </c>
      <c r="H96" s="6" t="s">
        <v>423</v>
      </c>
      <c r="I96" s="6" t="s">
        <v>3603</v>
      </c>
      <c r="J96" s="8">
        <v>43696</v>
      </c>
      <c r="K96" s="8">
        <v>45301</v>
      </c>
      <c r="L96" s="6">
        <v>56700.3</v>
      </c>
      <c r="M96" s="6">
        <v>24500.400000000001</v>
      </c>
      <c r="N96" s="6">
        <v>665</v>
      </c>
      <c r="O96" s="6">
        <v>118000</v>
      </c>
      <c r="P96" s="6" t="s">
        <v>26</v>
      </c>
      <c r="Q96" s="6" t="s">
        <v>27</v>
      </c>
      <c r="R96" s="6">
        <v>0</v>
      </c>
      <c r="S96" s="6" t="s">
        <v>28</v>
      </c>
      <c r="T96" s="7">
        <f t="shared" si="5"/>
        <v>0.20763050847457629</v>
      </c>
      <c r="U96" s="6">
        <f t="shared" si="6"/>
        <v>5</v>
      </c>
      <c r="V96" s="5" t="str">
        <f t="shared" si="7"/>
        <v>FAIR</v>
      </c>
      <c r="W96" s="6" t="str">
        <f t="shared" si="8"/>
        <v>45-54</v>
      </c>
      <c r="X96" s="6" t="str">
        <f t="shared" si="9"/>
        <v>Lower-Middle</v>
      </c>
    </row>
    <row r="97" spans="1:24">
      <c r="A97" s="6" t="s">
        <v>424</v>
      </c>
      <c r="B97" s="6" t="s">
        <v>425</v>
      </c>
      <c r="C97" s="6" t="s">
        <v>46</v>
      </c>
      <c r="D97" s="6" t="s">
        <v>63</v>
      </c>
      <c r="E97" s="6" t="s">
        <v>3514</v>
      </c>
      <c r="F97" s="6">
        <v>34</v>
      </c>
      <c r="G97" s="6" t="s">
        <v>34</v>
      </c>
      <c r="H97" s="6" t="s">
        <v>426</v>
      </c>
      <c r="I97" s="6" t="s">
        <v>3604</v>
      </c>
      <c r="J97" s="8">
        <v>44255</v>
      </c>
      <c r="K97" s="8">
        <v>45303</v>
      </c>
      <c r="L97" s="6">
        <v>67800.75</v>
      </c>
      <c r="M97" s="6">
        <v>25600.9</v>
      </c>
      <c r="N97" s="6">
        <v>740</v>
      </c>
      <c r="O97" s="6">
        <v>124000</v>
      </c>
      <c r="P97" s="6" t="s">
        <v>26</v>
      </c>
      <c r="Q97" s="6" t="s">
        <v>27</v>
      </c>
      <c r="R97" s="6">
        <v>0</v>
      </c>
      <c r="S97" s="6" t="s">
        <v>28</v>
      </c>
      <c r="T97" s="7">
        <f t="shared" si="5"/>
        <v>0.20645887096774196</v>
      </c>
      <c r="U97" s="6">
        <f t="shared" si="6"/>
        <v>3</v>
      </c>
      <c r="V97" s="5" t="str">
        <f t="shared" si="7"/>
        <v>GOOD</v>
      </c>
      <c r="W97" s="6" t="str">
        <f t="shared" si="8"/>
        <v>25-34</v>
      </c>
      <c r="X97" s="6" t="str">
        <f t="shared" si="9"/>
        <v>Lower-Middle</v>
      </c>
    </row>
    <row r="98" spans="1:24">
      <c r="A98" s="6" t="s">
        <v>427</v>
      </c>
      <c r="B98" s="6" t="s">
        <v>428</v>
      </c>
      <c r="C98" s="6" t="s">
        <v>31</v>
      </c>
      <c r="D98" s="6" t="s">
        <v>22</v>
      </c>
      <c r="E98" s="6" t="s">
        <v>53</v>
      </c>
      <c r="F98" s="6">
        <v>27</v>
      </c>
      <c r="G98" s="6" t="s">
        <v>24</v>
      </c>
      <c r="H98" s="6" t="s">
        <v>429</v>
      </c>
      <c r="I98" s="6" t="s">
        <v>3605</v>
      </c>
      <c r="J98" s="8">
        <v>45031</v>
      </c>
      <c r="K98" s="8">
        <v>45305</v>
      </c>
      <c r="L98" s="6">
        <v>8900.6</v>
      </c>
      <c r="M98" s="6">
        <v>4800.25</v>
      </c>
      <c r="N98" s="6">
        <v>710</v>
      </c>
      <c r="O98" s="6">
        <v>43000</v>
      </c>
      <c r="P98" s="6" t="s">
        <v>26</v>
      </c>
      <c r="Q98" s="6" t="s">
        <v>43</v>
      </c>
      <c r="R98" s="6">
        <v>0</v>
      </c>
      <c r="S98" s="6" t="s">
        <v>28</v>
      </c>
      <c r="T98" s="7">
        <f t="shared" si="5"/>
        <v>0.11163372093023256</v>
      </c>
      <c r="U98" s="6">
        <f t="shared" si="6"/>
        <v>1</v>
      </c>
      <c r="V98" s="5" t="str">
        <f t="shared" si="7"/>
        <v>GOOD</v>
      </c>
      <c r="W98" s="6" t="str">
        <f t="shared" si="8"/>
        <v>25-34</v>
      </c>
      <c r="X98" s="6" t="str">
        <f t="shared" si="9"/>
        <v>Low</v>
      </c>
    </row>
    <row r="99" spans="1:24">
      <c r="A99" s="6" t="s">
        <v>430</v>
      </c>
      <c r="B99" s="6" t="s">
        <v>431</v>
      </c>
      <c r="C99" s="6" t="s">
        <v>39</v>
      </c>
      <c r="D99" s="6" t="s">
        <v>376</v>
      </c>
      <c r="E99" s="6" t="s">
        <v>432</v>
      </c>
      <c r="F99" s="6">
        <v>47</v>
      </c>
      <c r="G99" s="6" t="s">
        <v>24</v>
      </c>
      <c r="H99" s="6" t="s">
        <v>433</v>
      </c>
      <c r="I99" s="6" t="s">
        <v>3606</v>
      </c>
      <c r="J99" s="8">
        <v>43424</v>
      </c>
      <c r="K99" s="8">
        <v>45300</v>
      </c>
      <c r="L99" s="6">
        <v>134600.4</v>
      </c>
      <c r="M99" s="6">
        <v>62000.75</v>
      </c>
      <c r="N99" s="6">
        <v>670</v>
      </c>
      <c r="O99" s="6">
        <v>145000</v>
      </c>
      <c r="P99" s="6" t="s">
        <v>76</v>
      </c>
      <c r="Q99" s="6" t="s">
        <v>27</v>
      </c>
      <c r="R99" s="6">
        <v>0</v>
      </c>
      <c r="S99" s="6" t="s">
        <v>28</v>
      </c>
      <c r="T99" s="7">
        <f t="shared" si="5"/>
        <v>0.42759137931034485</v>
      </c>
      <c r="U99" s="6">
        <f t="shared" si="6"/>
        <v>6</v>
      </c>
      <c r="V99" s="5" t="str">
        <f t="shared" si="7"/>
        <v>GOOD</v>
      </c>
      <c r="W99" s="6" t="str">
        <f t="shared" si="8"/>
        <v>45-54</v>
      </c>
      <c r="X99" s="6" t="str">
        <f t="shared" si="9"/>
        <v>Upper-Middle</v>
      </c>
    </row>
    <row r="100" spans="1:24">
      <c r="A100" s="6" t="s">
        <v>3607</v>
      </c>
      <c r="B100" s="6" t="s">
        <v>435</v>
      </c>
      <c r="C100" s="6" t="s">
        <v>84</v>
      </c>
      <c r="D100" s="6" t="s">
        <v>73</v>
      </c>
      <c r="E100" s="6" t="s">
        <v>126</v>
      </c>
      <c r="F100" s="6">
        <v>22</v>
      </c>
      <c r="G100" s="6" t="s">
        <v>34</v>
      </c>
      <c r="H100" s="6" t="s">
        <v>436</v>
      </c>
      <c r="I100" s="6" t="s">
        <v>3608</v>
      </c>
      <c r="J100" s="8">
        <v>45119</v>
      </c>
      <c r="K100" s="8">
        <v>45304</v>
      </c>
      <c r="L100" s="6">
        <v>2280.4</v>
      </c>
      <c r="M100" s="6">
        <v>10800.6</v>
      </c>
      <c r="N100" s="6">
        <v>605</v>
      </c>
      <c r="O100" s="6">
        <v>18000</v>
      </c>
      <c r="P100" s="6" t="s">
        <v>76</v>
      </c>
      <c r="Q100" s="6" t="s">
        <v>43</v>
      </c>
      <c r="R100" s="6">
        <v>0</v>
      </c>
      <c r="S100" s="6" t="s">
        <v>28</v>
      </c>
      <c r="T100" s="7">
        <f t="shared" si="5"/>
        <v>0.60003333333333331</v>
      </c>
      <c r="U100" s="6">
        <f t="shared" si="6"/>
        <v>2</v>
      </c>
      <c r="V100" s="5" t="str">
        <f t="shared" si="7"/>
        <v>FAIR</v>
      </c>
      <c r="W100" s="6" t="str">
        <f t="shared" si="8"/>
        <v>18-24</v>
      </c>
      <c r="X100" s="6" t="str">
        <f t="shared" si="9"/>
        <v>Low</v>
      </c>
    </row>
    <row r="101" spans="1:24">
      <c r="A101" s="6" t="s">
        <v>437</v>
      </c>
      <c r="B101" s="6" t="s">
        <v>438</v>
      </c>
      <c r="C101" s="6" t="s">
        <v>46</v>
      </c>
      <c r="D101" s="6" t="s">
        <v>47</v>
      </c>
      <c r="E101" s="6" t="s">
        <v>98</v>
      </c>
      <c r="F101" s="6">
        <v>39</v>
      </c>
      <c r="G101" s="6" t="s">
        <v>24</v>
      </c>
      <c r="H101" s="6" t="s">
        <v>439</v>
      </c>
      <c r="I101" s="6" t="s">
        <v>3609</v>
      </c>
      <c r="J101" s="8">
        <v>43959</v>
      </c>
      <c r="K101" s="8">
        <v>45302</v>
      </c>
      <c r="L101" s="6">
        <v>81200.25</v>
      </c>
      <c r="M101" s="6">
        <v>32500.799999999999</v>
      </c>
      <c r="N101" s="6">
        <v>725</v>
      </c>
      <c r="O101" s="6">
        <v>139000</v>
      </c>
      <c r="P101" s="6" t="s">
        <v>26</v>
      </c>
      <c r="Q101" s="6" t="s">
        <v>27</v>
      </c>
      <c r="R101" s="6">
        <v>0</v>
      </c>
      <c r="S101" s="6" t="s">
        <v>28</v>
      </c>
      <c r="T101" s="7">
        <f t="shared" si="5"/>
        <v>0.23381870503597121</v>
      </c>
      <c r="U101" s="6">
        <f t="shared" si="6"/>
        <v>4</v>
      </c>
      <c r="V101" s="5" t="str">
        <f t="shared" si="7"/>
        <v>GOOD</v>
      </c>
      <c r="W101" s="6" t="str">
        <f t="shared" si="8"/>
        <v>35-44</v>
      </c>
      <c r="X101" s="6" t="str">
        <f t="shared" si="9"/>
        <v>Upper-Middle</v>
      </c>
    </row>
    <row r="102" spans="1:24">
      <c r="A102" s="6" t="s">
        <v>440</v>
      </c>
      <c r="B102" s="6" t="s">
        <v>441</v>
      </c>
      <c r="C102" s="6" t="s">
        <v>57</v>
      </c>
      <c r="D102" s="6" t="s">
        <v>442</v>
      </c>
      <c r="E102" s="6" t="s">
        <v>443</v>
      </c>
      <c r="F102" s="6">
        <v>30</v>
      </c>
      <c r="G102" s="6" t="s">
        <v>34</v>
      </c>
      <c r="H102" s="6" t="s">
        <v>444</v>
      </c>
      <c r="I102" s="6" t="s">
        <v>3610</v>
      </c>
      <c r="J102" s="8">
        <v>44606</v>
      </c>
      <c r="K102" s="8">
        <v>45305</v>
      </c>
      <c r="L102" s="6">
        <v>13400.9</v>
      </c>
      <c r="M102" s="6">
        <v>5800.4</v>
      </c>
      <c r="N102" s="6">
        <v>750</v>
      </c>
      <c r="O102" s="6">
        <v>56000</v>
      </c>
      <c r="P102" s="6" t="s">
        <v>36</v>
      </c>
      <c r="Q102" s="6" t="s">
        <v>27</v>
      </c>
      <c r="R102" s="6">
        <v>0</v>
      </c>
      <c r="S102" s="6" t="s">
        <v>28</v>
      </c>
      <c r="T102" s="7">
        <f t="shared" si="5"/>
        <v>0.10357857142857142</v>
      </c>
      <c r="U102" s="6">
        <f t="shared" si="6"/>
        <v>1</v>
      </c>
      <c r="V102" s="5" t="str">
        <f t="shared" si="7"/>
        <v>VERY GOOD</v>
      </c>
      <c r="W102" s="6" t="str">
        <f t="shared" si="8"/>
        <v>25-34</v>
      </c>
      <c r="X102" s="6" t="str">
        <f t="shared" si="9"/>
        <v>Low</v>
      </c>
    </row>
    <row r="103" spans="1:24">
      <c r="A103" s="6" t="s">
        <v>445</v>
      </c>
      <c r="B103" s="6" t="s">
        <v>446</v>
      </c>
      <c r="C103" s="6" t="s">
        <v>52</v>
      </c>
      <c r="D103" s="6" t="s">
        <v>209</v>
      </c>
      <c r="E103" s="6" t="s">
        <v>447</v>
      </c>
      <c r="F103" s="6">
        <v>43</v>
      </c>
      <c r="G103" s="6" t="s">
        <v>24</v>
      </c>
      <c r="H103" s="6" t="s">
        <v>448</v>
      </c>
      <c r="I103" s="6" t="s">
        <v>3611</v>
      </c>
      <c r="J103" s="8">
        <v>43641</v>
      </c>
      <c r="K103" s="8">
        <v>45301</v>
      </c>
      <c r="L103" s="6">
        <v>49800.6</v>
      </c>
      <c r="M103" s="6">
        <v>21300.25</v>
      </c>
      <c r="N103" s="6">
        <v>690</v>
      </c>
      <c r="O103" s="6">
        <v>102000</v>
      </c>
      <c r="P103" s="6" t="s">
        <v>26</v>
      </c>
      <c r="Q103" s="6" t="s">
        <v>27</v>
      </c>
      <c r="R103" s="6">
        <v>0</v>
      </c>
      <c r="S103" s="6" t="s">
        <v>28</v>
      </c>
      <c r="T103" s="7">
        <f t="shared" si="5"/>
        <v>0.20882598039215686</v>
      </c>
      <c r="U103" s="6">
        <f t="shared" si="6"/>
        <v>5</v>
      </c>
      <c r="V103" s="5" t="str">
        <f t="shared" si="7"/>
        <v>GOOD</v>
      </c>
      <c r="W103" s="6" t="str">
        <f t="shared" si="8"/>
        <v>35-44</v>
      </c>
      <c r="X103" s="6" t="str">
        <f t="shared" si="9"/>
        <v>Lower-Middle</v>
      </c>
    </row>
    <row r="104" spans="1:24">
      <c r="A104" s="6" t="s">
        <v>449</v>
      </c>
      <c r="B104" s="6" t="s">
        <v>450</v>
      </c>
      <c r="C104" s="6" t="s">
        <v>21</v>
      </c>
      <c r="D104" s="6" t="s">
        <v>32</v>
      </c>
      <c r="E104" s="6" t="s">
        <v>110</v>
      </c>
      <c r="F104" s="6">
        <v>56</v>
      </c>
      <c r="G104" s="6" t="s">
        <v>34</v>
      </c>
      <c r="H104" s="6" t="s">
        <v>451</v>
      </c>
      <c r="I104" s="6" t="s">
        <v>3612</v>
      </c>
      <c r="J104" s="8">
        <v>42765</v>
      </c>
      <c r="K104" s="8">
        <v>45299</v>
      </c>
      <c r="L104" s="6">
        <v>267800.75</v>
      </c>
      <c r="M104" s="6">
        <v>72000.899999999994</v>
      </c>
      <c r="N104" s="6">
        <v>830</v>
      </c>
      <c r="O104" s="6">
        <v>285000</v>
      </c>
      <c r="P104" s="6" t="s">
        <v>36</v>
      </c>
      <c r="Q104" s="6" t="s">
        <v>27</v>
      </c>
      <c r="R104" s="6">
        <v>0</v>
      </c>
      <c r="S104" s="6" t="s">
        <v>28</v>
      </c>
      <c r="T104" s="7">
        <f t="shared" si="5"/>
        <v>0.25263473684210525</v>
      </c>
      <c r="U104" s="6">
        <f t="shared" si="6"/>
        <v>7</v>
      </c>
      <c r="V104" s="5" t="str">
        <f t="shared" si="7"/>
        <v>EXCEPTIONAL</v>
      </c>
      <c r="W104" s="6" t="str">
        <f t="shared" si="8"/>
        <v>55+</v>
      </c>
      <c r="X104" s="6" t="str">
        <f t="shared" si="9"/>
        <v>High</v>
      </c>
    </row>
    <row r="105" spans="1:24">
      <c r="A105" s="6" t="s">
        <v>452</v>
      </c>
      <c r="B105" s="6" t="s">
        <v>453</v>
      </c>
      <c r="C105" s="6" t="s">
        <v>39</v>
      </c>
      <c r="D105" s="6" t="s">
        <v>68</v>
      </c>
      <c r="E105" s="6" t="s">
        <v>179</v>
      </c>
      <c r="F105" s="6">
        <v>50</v>
      </c>
      <c r="G105" s="6" t="s">
        <v>24</v>
      </c>
      <c r="H105" s="6" t="s">
        <v>454</v>
      </c>
      <c r="I105" s="6" t="s">
        <v>3613</v>
      </c>
      <c r="J105" s="8">
        <v>43195</v>
      </c>
      <c r="K105" s="8">
        <v>45300</v>
      </c>
      <c r="L105" s="6">
        <v>178900.4</v>
      </c>
      <c r="M105" s="6">
        <v>82000.25</v>
      </c>
      <c r="N105" s="6">
        <v>645</v>
      </c>
      <c r="O105" s="6">
        <v>185000</v>
      </c>
      <c r="P105" s="6" t="s">
        <v>76</v>
      </c>
      <c r="Q105" s="6" t="s">
        <v>27</v>
      </c>
      <c r="R105" s="6">
        <v>0</v>
      </c>
      <c r="S105" s="6" t="s">
        <v>28</v>
      </c>
      <c r="T105" s="7">
        <f t="shared" si="5"/>
        <v>0.44324459459459459</v>
      </c>
      <c r="U105" s="6">
        <f t="shared" si="6"/>
        <v>6</v>
      </c>
      <c r="V105" s="5" t="str">
        <f t="shared" si="7"/>
        <v>FAIR</v>
      </c>
      <c r="W105" s="6" t="str">
        <f t="shared" si="8"/>
        <v>45-54</v>
      </c>
      <c r="X105" s="6" t="str">
        <f t="shared" si="9"/>
        <v>Upper-Middle</v>
      </c>
    </row>
    <row r="106" spans="1:24">
      <c r="A106" s="6" t="s">
        <v>455</v>
      </c>
      <c r="B106" s="6" t="s">
        <v>456</v>
      </c>
      <c r="C106" s="6" t="s">
        <v>46</v>
      </c>
      <c r="D106" s="6" t="s">
        <v>85</v>
      </c>
      <c r="E106" s="6" t="s">
        <v>130</v>
      </c>
      <c r="F106" s="6">
        <v>35</v>
      </c>
      <c r="G106" s="6" t="s">
        <v>34</v>
      </c>
      <c r="H106" s="6" t="s">
        <v>457</v>
      </c>
      <c r="I106" s="6" t="s">
        <v>3614</v>
      </c>
      <c r="J106" s="8">
        <v>44422</v>
      </c>
      <c r="K106" s="8">
        <v>45303</v>
      </c>
      <c r="L106" s="6">
        <v>73400.800000000003</v>
      </c>
      <c r="M106" s="6">
        <v>29800.6</v>
      </c>
      <c r="N106" s="6">
        <v>760</v>
      </c>
      <c r="O106" s="6">
        <v>131000</v>
      </c>
      <c r="P106" s="6" t="s">
        <v>26</v>
      </c>
      <c r="Q106" s="6" t="s">
        <v>27</v>
      </c>
      <c r="R106" s="6">
        <v>0</v>
      </c>
      <c r="S106" s="6" t="s">
        <v>28</v>
      </c>
      <c r="T106" s="7">
        <f t="shared" si="5"/>
        <v>0.2274854961832061</v>
      </c>
      <c r="U106" s="6">
        <f t="shared" si="6"/>
        <v>3</v>
      </c>
      <c r="V106" s="5" t="str">
        <f t="shared" si="7"/>
        <v>VERY GOOD</v>
      </c>
      <c r="W106" s="6" t="str">
        <f t="shared" si="8"/>
        <v>35-44</v>
      </c>
      <c r="X106" s="6" t="str">
        <f t="shared" si="9"/>
        <v>Upper-Middle</v>
      </c>
    </row>
    <row r="107" spans="1:24">
      <c r="A107" s="6" t="s">
        <v>458</v>
      </c>
      <c r="B107" s="6" t="s">
        <v>459</v>
      </c>
      <c r="C107" s="6" t="s">
        <v>31</v>
      </c>
      <c r="D107" s="6" t="s">
        <v>460</v>
      </c>
      <c r="E107" s="6" t="s">
        <v>461</v>
      </c>
      <c r="F107" s="6">
        <v>26</v>
      </c>
      <c r="G107" s="6" t="s">
        <v>24</v>
      </c>
      <c r="H107" s="6" t="s">
        <v>462</v>
      </c>
      <c r="I107" s="6" t="s">
        <v>3615</v>
      </c>
      <c r="J107" s="8">
        <v>44948</v>
      </c>
      <c r="K107" s="8">
        <v>45306</v>
      </c>
      <c r="L107" s="6">
        <v>7800.25</v>
      </c>
      <c r="M107" s="6">
        <v>4500.75</v>
      </c>
      <c r="N107" s="6">
        <v>695</v>
      </c>
      <c r="O107" s="6">
        <v>35000</v>
      </c>
      <c r="P107" s="6" t="s">
        <v>26</v>
      </c>
      <c r="Q107" s="6" t="s">
        <v>43</v>
      </c>
      <c r="R107" s="6">
        <v>0</v>
      </c>
      <c r="S107" s="6" t="s">
        <v>28</v>
      </c>
      <c r="T107" s="7">
        <f t="shared" si="5"/>
        <v>0.12859285714285715</v>
      </c>
      <c r="U107" s="6">
        <f t="shared" si="6"/>
        <v>0</v>
      </c>
      <c r="V107" s="5" t="str">
        <f t="shared" si="7"/>
        <v>GOOD</v>
      </c>
      <c r="W107" s="6" t="str">
        <f t="shared" si="8"/>
        <v>25-34</v>
      </c>
      <c r="X107" s="6" t="str">
        <f t="shared" si="9"/>
        <v>Low</v>
      </c>
    </row>
    <row r="108" spans="1:24">
      <c r="A108" s="6" t="s">
        <v>463</v>
      </c>
      <c r="B108" s="6" t="s">
        <v>464</v>
      </c>
      <c r="C108" s="6" t="s">
        <v>57</v>
      </c>
      <c r="D108" s="6" t="s">
        <v>195</v>
      </c>
      <c r="E108" s="6" t="s">
        <v>196</v>
      </c>
      <c r="F108" s="6">
        <v>33</v>
      </c>
      <c r="G108" s="6" t="s">
        <v>34</v>
      </c>
      <c r="H108" s="6" t="s">
        <v>465</v>
      </c>
      <c r="I108" s="6" t="s">
        <v>3616</v>
      </c>
      <c r="J108" s="8">
        <v>44487</v>
      </c>
      <c r="K108" s="8">
        <v>45302</v>
      </c>
      <c r="L108" s="6">
        <v>15600.4</v>
      </c>
      <c r="M108" s="6">
        <v>6800.9</v>
      </c>
      <c r="N108" s="6">
        <v>740</v>
      </c>
      <c r="O108" s="6">
        <v>62000</v>
      </c>
      <c r="P108" s="6" t="s">
        <v>36</v>
      </c>
      <c r="Q108" s="6" t="s">
        <v>27</v>
      </c>
      <c r="R108" s="6">
        <v>0</v>
      </c>
      <c r="S108" s="6" t="s">
        <v>28</v>
      </c>
      <c r="T108" s="7">
        <f t="shared" si="5"/>
        <v>0.10969193548387096</v>
      </c>
      <c r="U108" s="6">
        <f t="shared" si="6"/>
        <v>4</v>
      </c>
      <c r="V108" s="5" t="str">
        <f t="shared" si="7"/>
        <v>GOOD</v>
      </c>
      <c r="W108" s="6" t="str">
        <f t="shared" si="8"/>
        <v>25-34</v>
      </c>
      <c r="X108" s="6" t="str">
        <f t="shared" si="9"/>
        <v>Low</v>
      </c>
    </row>
    <row r="109" spans="1:24">
      <c r="A109" s="6" t="s">
        <v>466</v>
      </c>
      <c r="B109" s="6" t="s">
        <v>467</v>
      </c>
      <c r="C109" s="6" t="s">
        <v>39</v>
      </c>
      <c r="D109" s="6" t="s">
        <v>58</v>
      </c>
      <c r="E109" s="6" t="s">
        <v>59</v>
      </c>
      <c r="F109" s="6">
        <v>48</v>
      </c>
      <c r="G109" s="6" t="s">
        <v>24</v>
      </c>
      <c r="H109" s="6" t="s">
        <v>468</v>
      </c>
      <c r="I109" s="6" t="s">
        <v>3617</v>
      </c>
      <c r="J109" s="8">
        <v>43293</v>
      </c>
      <c r="K109" s="8">
        <v>45300</v>
      </c>
      <c r="L109" s="6">
        <v>189500.6</v>
      </c>
      <c r="M109" s="6">
        <v>87000.4</v>
      </c>
      <c r="N109" s="6">
        <v>685</v>
      </c>
      <c r="O109" s="6">
        <v>195000</v>
      </c>
      <c r="P109" s="6" t="s">
        <v>76</v>
      </c>
      <c r="Q109" s="6" t="s">
        <v>27</v>
      </c>
      <c r="R109" s="6">
        <v>0</v>
      </c>
      <c r="S109" s="6" t="s">
        <v>28</v>
      </c>
      <c r="T109" s="7">
        <f t="shared" si="5"/>
        <v>0.4461558974358974</v>
      </c>
      <c r="U109" s="6">
        <f t="shared" si="6"/>
        <v>6</v>
      </c>
      <c r="V109" s="5" t="str">
        <f t="shared" si="7"/>
        <v>GOOD</v>
      </c>
      <c r="W109" s="6" t="str">
        <f t="shared" si="8"/>
        <v>45-54</v>
      </c>
      <c r="X109" s="6" t="str">
        <f t="shared" si="9"/>
        <v>High</v>
      </c>
    </row>
    <row r="110" spans="1:24">
      <c r="A110" s="6" t="s">
        <v>469</v>
      </c>
      <c r="B110" s="6" t="s">
        <v>470</v>
      </c>
      <c r="C110" s="6" t="s">
        <v>52</v>
      </c>
      <c r="D110" s="6" t="s">
        <v>471</v>
      </c>
      <c r="E110" s="6" t="s">
        <v>472</v>
      </c>
      <c r="F110" s="6">
        <v>38</v>
      </c>
      <c r="G110" s="6" t="s">
        <v>34</v>
      </c>
      <c r="H110" s="6" t="s">
        <v>473</v>
      </c>
      <c r="I110" s="6" t="s">
        <v>3618</v>
      </c>
      <c r="J110" s="8">
        <v>43919</v>
      </c>
      <c r="K110" s="8">
        <v>45301</v>
      </c>
      <c r="L110" s="6">
        <v>38700.75</v>
      </c>
      <c r="M110" s="6">
        <v>15600.8</v>
      </c>
      <c r="N110" s="6">
        <v>715</v>
      </c>
      <c r="O110" s="6">
        <v>86000</v>
      </c>
      <c r="P110" s="6" t="s">
        <v>26</v>
      </c>
      <c r="Q110" s="6" t="s">
        <v>27</v>
      </c>
      <c r="R110" s="6">
        <v>0</v>
      </c>
      <c r="S110" s="6" t="s">
        <v>28</v>
      </c>
      <c r="T110" s="7">
        <f t="shared" si="5"/>
        <v>0.1814046511627907</v>
      </c>
      <c r="U110" s="6">
        <f t="shared" si="6"/>
        <v>5</v>
      </c>
      <c r="V110" s="5" t="str">
        <f t="shared" si="7"/>
        <v>GOOD</v>
      </c>
      <c r="W110" s="6" t="str">
        <f t="shared" si="8"/>
        <v>35-44</v>
      </c>
      <c r="X110" s="6" t="str">
        <f t="shared" si="9"/>
        <v>Lower-Middle</v>
      </c>
    </row>
    <row r="111" spans="1:24">
      <c r="A111" s="6" t="s">
        <v>474</v>
      </c>
      <c r="B111" s="6" t="s">
        <v>475</v>
      </c>
      <c r="C111" s="6" t="s">
        <v>46</v>
      </c>
      <c r="D111" s="6" t="s">
        <v>345</v>
      </c>
      <c r="E111" s="6" t="s">
        <v>476</v>
      </c>
      <c r="F111" s="6">
        <v>41</v>
      </c>
      <c r="G111" s="6" t="s">
        <v>24</v>
      </c>
      <c r="H111" s="6" t="s">
        <v>477</v>
      </c>
      <c r="I111" s="6" t="s">
        <v>3619</v>
      </c>
      <c r="J111" s="8">
        <v>43804</v>
      </c>
      <c r="K111" s="8">
        <v>45302</v>
      </c>
      <c r="L111" s="6">
        <v>62300.2</v>
      </c>
      <c r="M111" s="6">
        <v>24500.75</v>
      </c>
      <c r="N111" s="6">
        <v>680</v>
      </c>
      <c r="O111" s="6">
        <v>117000</v>
      </c>
      <c r="P111" s="6" t="s">
        <v>26</v>
      </c>
      <c r="Q111" s="6" t="s">
        <v>27</v>
      </c>
      <c r="R111" s="6">
        <v>0</v>
      </c>
      <c r="S111" s="6" t="s">
        <v>28</v>
      </c>
      <c r="T111" s="7">
        <f t="shared" si="5"/>
        <v>0.20940811965811965</v>
      </c>
      <c r="U111" s="6">
        <f t="shared" si="6"/>
        <v>4</v>
      </c>
      <c r="V111" s="5" t="str">
        <f t="shared" si="7"/>
        <v>GOOD</v>
      </c>
      <c r="W111" s="6" t="str">
        <f t="shared" si="8"/>
        <v>35-44</v>
      </c>
      <c r="X111" s="6" t="str">
        <f t="shared" si="9"/>
        <v>Lower-Middle</v>
      </c>
    </row>
    <row r="112" spans="1:24">
      <c r="A112" s="6" t="s">
        <v>478</v>
      </c>
      <c r="B112" s="6" t="s">
        <v>479</v>
      </c>
      <c r="C112" s="6" t="s">
        <v>84</v>
      </c>
      <c r="D112" s="6" t="s">
        <v>32</v>
      </c>
      <c r="E112" s="6" t="s">
        <v>33</v>
      </c>
      <c r="F112" s="6">
        <v>21</v>
      </c>
      <c r="G112" s="6" t="s">
        <v>34</v>
      </c>
      <c r="H112" s="6" t="s">
        <v>480</v>
      </c>
      <c r="I112" s="6" t="s">
        <v>3620</v>
      </c>
      <c r="J112" s="8">
        <v>45177</v>
      </c>
      <c r="K112" s="8">
        <v>45304</v>
      </c>
      <c r="L112" s="6">
        <v>1950.6</v>
      </c>
      <c r="M112" s="6">
        <v>9200.4</v>
      </c>
      <c r="N112" s="6">
        <v>610</v>
      </c>
      <c r="O112" s="6">
        <v>19000</v>
      </c>
      <c r="P112" s="6" t="s">
        <v>76</v>
      </c>
      <c r="Q112" s="6" t="s">
        <v>43</v>
      </c>
      <c r="R112" s="6">
        <v>0</v>
      </c>
      <c r="S112" s="6" t="s">
        <v>28</v>
      </c>
      <c r="T112" s="7">
        <f t="shared" si="5"/>
        <v>0.4842315789473684</v>
      </c>
      <c r="U112" s="6">
        <f t="shared" si="6"/>
        <v>2</v>
      </c>
      <c r="V112" s="5" t="str">
        <f t="shared" si="7"/>
        <v>FAIR</v>
      </c>
      <c r="W112" s="6" t="str">
        <f t="shared" si="8"/>
        <v>18-24</v>
      </c>
      <c r="X112" s="6" t="str">
        <f t="shared" si="9"/>
        <v>Low</v>
      </c>
    </row>
    <row r="113" spans="1:24">
      <c r="A113" s="6" t="s">
        <v>481</v>
      </c>
      <c r="B113" s="6" t="s">
        <v>482</v>
      </c>
      <c r="C113" s="6" t="s">
        <v>21</v>
      </c>
      <c r="D113" s="6" t="s">
        <v>214</v>
      </c>
      <c r="E113" s="6" t="s">
        <v>483</v>
      </c>
      <c r="F113" s="6">
        <v>54</v>
      </c>
      <c r="G113" s="6" t="s">
        <v>24</v>
      </c>
      <c r="H113" s="6" t="s">
        <v>484</v>
      </c>
      <c r="I113" s="6" t="s">
        <v>3621</v>
      </c>
      <c r="J113" s="8">
        <v>42874</v>
      </c>
      <c r="K113" s="8">
        <v>45299</v>
      </c>
      <c r="L113" s="6">
        <v>287600.40000000002</v>
      </c>
      <c r="M113" s="6">
        <v>78000.25</v>
      </c>
      <c r="N113" s="6">
        <v>825</v>
      </c>
      <c r="O113" s="6">
        <v>275000</v>
      </c>
      <c r="P113" s="6" t="s">
        <v>36</v>
      </c>
      <c r="Q113" s="6" t="s">
        <v>27</v>
      </c>
      <c r="R113" s="6">
        <v>0</v>
      </c>
      <c r="S113" s="6" t="s">
        <v>28</v>
      </c>
      <c r="T113" s="7">
        <f t="shared" si="5"/>
        <v>0.28363727272727274</v>
      </c>
      <c r="U113" s="6">
        <f t="shared" si="6"/>
        <v>7</v>
      </c>
      <c r="V113" s="5" t="str">
        <f t="shared" si="7"/>
        <v>EXCEPTIONAL</v>
      </c>
      <c r="W113" s="6" t="str">
        <f t="shared" si="8"/>
        <v>45-54</v>
      </c>
      <c r="X113" s="6" t="str">
        <f t="shared" si="9"/>
        <v>High</v>
      </c>
    </row>
    <row r="114" spans="1:24">
      <c r="A114" s="6" t="s">
        <v>485</v>
      </c>
      <c r="B114" s="6" t="s">
        <v>486</v>
      </c>
      <c r="C114" s="6" t="s">
        <v>57</v>
      </c>
      <c r="D114" s="6" t="s">
        <v>228</v>
      </c>
      <c r="E114" s="6" t="s">
        <v>229</v>
      </c>
      <c r="F114" s="6">
        <v>29</v>
      </c>
      <c r="G114" s="6" t="s">
        <v>34</v>
      </c>
      <c r="H114" s="6" t="s">
        <v>487</v>
      </c>
      <c r="I114" s="6" t="s">
        <v>3622</v>
      </c>
      <c r="J114" s="8">
        <v>44654</v>
      </c>
      <c r="K114" s="8">
        <v>45305</v>
      </c>
      <c r="L114" s="6">
        <v>11200.75</v>
      </c>
      <c r="M114" s="6">
        <v>4800.6000000000004</v>
      </c>
      <c r="N114" s="6">
        <v>720</v>
      </c>
      <c r="O114" s="6">
        <v>48000</v>
      </c>
      <c r="P114" s="6" t="s">
        <v>36</v>
      </c>
      <c r="Q114" s="6" t="s">
        <v>27</v>
      </c>
      <c r="R114" s="6">
        <v>0</v>
      </c>
      <c r="S114" s="6" t="s">
        <v>28</v>
      </c>
      <c r="T114" s="7">
        <f t="shared" si="5"/>
        <v>0.1000125</v>
      </c>
      <c r="U114" s="6">
        <f t="shared" si="6"/>
        <v>1</v>
      </c>
      <c r="V114" s="5" t="str">
        <f t="shared" si="7"/>
        <v>GOOD</v>
      </c>
      <c r="W114" s="6" t="str">
        <f t="shared" si="8"/>
        <v>25-34</v>
      </c>
      <c r="X114" s="6" t="str">
        <f t="shared" si="9"/>
        <v>Low</v>
      </c>
    </row>
    <row r="115" spans="1:24">
      <c r="A115" s="6" t="s">
        <v>488</v>
      </c>
      <c r="B115" s="6" t="s">
        <v>489</v>
      </c>
      <c r="C115" s="6" t="s">
        <v>39</v>
      </c>
      <c r="D115" s="6" t="s">
        <v>304</v>
      </c>
      <c r="E115" s="6" t="s">
        <v>304</v>
      </c>
      <c r="F115" s="6">
        <v>46</v>
      </c>
      <c r="G115" s="6" t="s">
        <v>24</v>
      </c>
      <c r="H115" s="6" t="s">
        <v>490</v>
      </c>
      <c r="I115" s="6" t="s">
        <v>3623</v>
      </c>
      <c r="J115" s="8">
        <v>43368</v>
      </c>
      <c r="K115" s="8">
        <v>45300</v>
      </c>
      <c r="L115" s="6">
        <v>156700.79999999999</v>
      </c>
      <c r="M115" s="6">
        <v>72000.899999999994</v>
      </c>
      <c r="N115" s="6">
        <v>675</v>
      </c>
      <c r="O115" s="6">
        <v>165000</v>
      </c>
      <c r="P115" s="6" t="s">
        <v>76</v>
      </c>
      <c r="Q115" s="6" t="s">
        <v>27</v>
      </c>
      <c r="R115" s="6">
        <v>0</v>
      </c>
      <c r="S115" s="6" t="s">
        <v>28</v>
      </c>
      <c r="T115" s="7">
        <f t="shared" si="5"/>
        <v>0.43636909090909087</v>
      </c>
      <c r="U115" s="6">
        <f t="shared" si="6"/>
        <v>6</v>
      </c>
      <c r="V115" s="5" t="str">
        <f t="shared" si="7"/>
        <v>GOOD</v>
      </c>
      <c r="W115" s="6" t="str">
        <f t="shared" si="8"/>
        <v>45-54</v>
      </c>
      <c r="X115" s="6" t="str">
        <f t="shared" si="9"/>
        <v>Upper-Middle</v>
      </c>
    </row>
    <row r="116" spans="1:24">
      <c r="A116" s="6" t="s">
        <v>491</v>
      </c>
      <c r="B116" s="6" t="s">
        <v>492</v>
      </c>
      <c r="C116" s="6" t="s">
        <v>52</v>
      </c>
      <c r="D116" s="6" t="s">
        <v>493</v>
      </c>
      <c r="E116" s="6" t="s">
        <v>494</v>
      </c>
      <c r="F116" s="6">
        <v>37</v>
      </c>
      <c r="G116" s="6" t="s">
        <v>34</v>
      </c>
      <c r="H116" s="6" t="s">
        <v>495</v>
      </c>
      <c r="I116" s="6" t="s">
        <v>3624</v>
      </c>
      <c r="J116" s="8">
        <v>44165</v>
      </c>
      <c r="K116" s="8">
        <v>45302</v>
      </c>
      <c r="L116" s="6">
        <v>34500.400000000001</v>
      </c>
      <c r="M116" s="6">
        <v>12300.25</v>
      </c>
      <c r="N116" s="6">
        <v>705</v>
      </c>
      <c r="O116" s="6">
        <v>79000</v>
      </c>
      <c r="P116" s="6" t="s">
        <v>26</v>
      </c>
      <c r="Q116" s="6" t="s">
        <v>27</v>
      </c>
      <c r="R116" s="6">
        <v>0</v>
      </c>
      <c r="S116" s="6" t="s">
        <v>28</v>
      </c>
      <c r="T116" s="7">
        <f t="shared" si="5"/>
        <v>0.1556993670886076</v>
      </c>
      <c r="U116" s="6">
        <f t="shared" si="6"/>
        <v>4</v>
      </c>
      <c r="V116" s="5" t="str">
        <f t="shared" si="7"/>
        <v>GOOD</v>
      </c>
      <c r="W116" s="6" t="str">
        <f t="shared" si="8"/>
        <v>35-44</v>
      </c>
      <c r="X116" s="6" t="str">
        <f t="shared" si="9"/>
        <v>Lower-Middle</v>
      </c>
    </row>
    <row r="117" spans="1:24">
      <c r="A117" s="6" t="s">
        <v>496</v>
      </c>
      <c r="B117" s="6" t="s">
        <v>497</v>
      </c>
      <c r="C117" s="6" t="s">
        <v>46</v>
      </c>
      <c r="D117" s="6" t="s">
        <v>321</v>
      </c>
      <c r="E117" s="6" t="s">
        <v>498</v>
      </c>
      <c r="F117" s="6">
        <v>40</v>
      </c>
      <c r="G117" s="6" t="s">
        <v>24</v>
      </c>
      <c r="H117" s="6" t="s">
        <v>499</v>
      </c>
      <c r="I117" s="6" t="s">
        <v>3625</v>
      </c>
      <c r="J117" s="8">
        <v>43660</v>
      </c>
      <c r="K117" s="8">
        <v>45301</v>
      </c>
      <c r="L117" s="6">
        <v>85600.75</v>
      </c>
      <c r="M117" s="6">
        <v>34200.800000000003</v>
      </c>
      <c r="N117" s="6">
        <v>730</v>
      </c>
      <c r="O117" s="6">
        <v>147000</v>
      </c>
      <c r="P117" s="6" t="s">
        <v>26</v>
      </c>
      <c r="Q117" s="6" t="s">
        <v>27</v>
      </c>
      <c r="R117" s="6">
        <v>0</v>
      </c>
      <c r="S117" s="6" t="s">
        <v>28</v>
      </c>
      <c r="T117" s="7">
        <f t="shared" si="5"/>
        <v>0.23265850340136057</v>
      </c>
      <c r="U117" s="6">
        <f t="shared" si="6"/>
        <v>5</v>
      </c>
      <c r="V117" s="5" t="str">
        <f t="shared" si="7"/>
        <v>GOOD</v>
      </c>
      <c r="W117" s="6" t="str">
        <f t="shared" si="8"/>
        <v>35-44</v>
      </c>
      <c r="X117" s="6" t="str">
        <f t="shared" si="9"/>
        <v>Upper-Middle</v>
      </c>
    </row>
    <row r="118" spans="1:24">
      <c r="A118" s="6" t="s">
        <v>324</v>
      </c>
      <c r="B118" s="6" t="s">
        <v>500</v>
      </c>
      <c r="C118" s="6" t="s">
        <v>31</v>
      </c>
      <c r="D118" s="6" t="s">
        <v>313</v>
      </c>
      <c r="E118" s="6" t="s">
        <v>501</v>
      </c>
      <c r="F118" s="6">
        <v>25</v>
      </c>
      <c r="G118" s="6" t="s">
        <v>34</v>
      </c>
      <c r="H118" s="6" t="s">
        <v>502</v>
      </c>
      <c r="I118" s="6" t="s">
        <v>3626</v>
      </c>
      <c r="J118" s="8">
        <v>44985</v>
      </c>
      <c r="K118" s="8">
        <v>45306</v>
      </c>
      <c r="L118" s="6">
        <v>7200.9</v>
      </c>
      <c r="M118" s="6">
        <v>4100.75</v>
      </c>
      <c r="N118" s="6">
        <v>680</v>
      </c>
      <c r="O118" s="6">
        <v>33000</v>
      </c>
      <c r="P118" s="6" t="s">
        <v>26</v>
      </c>
      <c r="Q118" s="6" t="s">
        <v>43</v>
      </c>
      <c r="R118" s="6">
        <v>0</v>
      </c>
      <c r="S118" s="6" t="s">
        <v>28</v>
      </c>
      <c r="T118" s="7">
        <f t="shared" si="5"/>
        <v>0.12426515151515151</v>
      </c>
      <c r="U118" s="6">
        <f t="shared" si="6"/>
        <v>0</v>
      </c>
      <c r="V118" s="5" t="str">
        <f t="shared" si="7"/>
        <v>GOOD</v>
      </c>
      <c r="W118" s="6" t="str">
        <f t="shared" si="8"/>
        <v>25-34</v>
      </c>
      <c r="X118" s="6" t="str">
        <f t="shared" si="9"/>
        <v>Low</v>
      </c>
    </row>
    <row r="119" spans="1:24">
      <c r="A119" s="6" t="s">
        <v>503</v>
      </c>
      <c r="B119" s="6" t="s">
        <v>504</v>
      </c>
      <c r="C119" s="6" t="s">
        <v>21</v>
      </c>
      <c r="D119" s="6" t="s">
        <v>32</v>
      </c>
      <c r="E119" s="6" t="s">
        <v>90</v>
      </c>
      <c r="F119" s="6">
        <v>57</v>
      </c>
      <c r="G119" s="6" t="s">
        <v>24</v>
      </c>
      <c r="H119" s="6" t="s">
        <v>505</v>
      </c>
      <c r="I119" s="6" t="s">
        <v>3627</v>
      </c>
      <c r="J119" s="8">
        <v>42594</v>
      </c>
      <c r="K119" s="8">
        <v>45299</v>
      </c>
      <c r="L119" s="6">
        <v>298400.25</v>
      </c>
      <c r="M119" s="6">
        <v>82000.399999999994</v>
      </c>
      <c r="N119" s="6">
        <v>840</v>
      </c>
      <c r="O119" s="6">
        <v>290000</v>
      </c>
      <c r="P119" s="6" t="s">
        <v>36</v>
      </c>
      <c r="Q119" s="6" t="s">
        <v>27</v>
      </c>
      <c r="R119" s="6">
        <v>0</v>
      </c>
      <c r="S119" s="6" t="s">
        <v>28</v>
      </c>
      <c r="T119" s="7">
        <f t="shared" si="5"/>
        <v>0.28275999999999996</v>
      </c>
      <c r="U119" s="6">
        <f t="shared" si="6"/>
        <v>7</v>
      </c>
      <c r="V119" s="5" t="str">
        <f t="shared" si="7"/>
        <v>EXCEPTIONAL</v>
      </c>
      <c r="W119" s="6" t="str">
        <f t="shared" si="8"/>
        <v>55+</v>
      </c>
      <c r="X119" s="6" t="str">
        <f t="shared" si="9"/>
        <v>High</v>
      </c>
    </row>
    <row r="120" spans="1:24">
      <c r="A120" s="6" t="s">
        <v>506</v>
      </c>
      <c r="B120" s="6" t="s">
        <v>507</v>
      </c>
      <c r="C120" s="6" t="s">
        <v>39</v>
      </c>
      <c r="D120" s="6" t="s">
        <v>68</v>
      </c>
      <c r="E120" s="6" t="s">
        <v>69</v>
      </c>
      <c r="F120" s="6">
        <v>49</v>
      </c>
      <c r="G120" s="6" t="s">
        <v>34</v>
      </c>
      <c r="H120" s="6" t="s">
        <v>508</v>
      </c>
      <c r="I120" s="6" t="s">
        <v>3628</v>
      </c>
      <c r="J120" s="8">
        <v>43115</v>
      </c>
      <c r="K120" s="8">
        <v>45300</v>
      </c>
      <c r="L120" s="6">
        <v>167800.6</v>
      </c>
      <c r="M120" s="6">
        <v>78000.75</v>
      </c>
      <c r="N120" s="6">
        <v>650</v>
      </c>
      <c r="O120" s="6">
        <v>175000</v>
      </c>
      <c r="P120" s="6" t="s">
        <v>76</v>
      </c>
      <c r="Q120" s="6" t="s">
        <v>27</v>
      </c>
      <c r="R120" s="6">
        <v>0</v>
      </c>
      <c r="S120" s="6" t="s">
        <v>28</v>
      </c>
      <c r="T120" s="7">
        <f t="shared" si="5"/>
        <v>0.44571857142857141</v>
      </c>
      <c r="U120" s="6">
        <f t="shared" si="6"/>
        <v>6</v>
      </c>
      <c r="V120" s="5" t="str">
        <f t="shared" si="7"/>
        <v>FAIR</v>
      </c>
      <c r="W120" s="6" t="str">
        <f t="shared" si="8"/>
        <v>45-54</v>
      </c>
      <c r="X120" s="6" t="str">
        <f t="shared" si="9"/>
        <v>Upper-Middle</v>
      </c>
    </row>
    <row r="121" spans="1:24">
      <c r="A121" s="6" t="s">
        <v>509</v>
      </c>
      <c r="B121" s="6" t="s">
        <v>510</v>
      </c>
      <c r="C121" s="6" t="s">
        <v>46</v>
      </c>
      <c r="D121" s="6" t="s">
        <v>73</v>
      </c>
      <c r="E121" s="6" t="s">
        <v>511</v>
      </c>
      <c r="F121" s="6">
        <v>36</v>
      </c>
      <c r="G121" s="6" t="s">
        <v>24</v>
      </c>
      <c r="H121" s="6" t="s">
        <v>512</v>
      </c>
      <c r="I121" s="6" t="s">
        <v>3629</v>
      </c>
      <c r="J121" s="8">
        <v>44375</v>
      </c>
      <c r="K121" s="8">
        <v>45303</v>
      </c>
      <c r="L121" s="6">
        <v>72300.399999999994</v>
      </c>
      <c r="M121" s="6">
        <v>28900.25</v>
      </c>
      <c r="N121" s="6">
        <v>745</v>
      </c>
      <c r="O121" s="6">
        <v>128000</v>
      </c>
      <c r="P121" s="6" t="s">
        <v>26</v>
      </c>
      <c r="Q121" s="6" t="s">
        <v>27</v>
      </c>
      <c r="R121" s="6">
        <v>0</v>
      </c>
      <c r="S121" s="6" t="s">
        <v>28</v>
      </c>
      <c r="T121" s="7">
        <f t="shared" si="5"/>
        <v>0.225783203125</v>
      </c>
      <c r="U121" s="6">
        <f t="shared" si="6"/>
        <v>3</v>
      </c>
      <c r="V121" s="5" t="str">
        <f t="shared" si="7"/>
        <v>GOOD</v>
      </c>
      <c r="W121" s="6" t="str">
        <f t="shared" si="8"/>
        <v>35-44</v>
      </c>
      <c r="X121" s="6" t="str">
        <f t="shared" si="9"/>
        <v>Upper-Middle</v>
      </c>
    </row>
    <row r="122" spans="1:24">
      <c r="A122" s="6" t="s">
        <v>513</v>
      </c>
      <c r="B122" s="6" t="s">
        <v>514</v>
      </c>
      <c r="C122" s="6" t="s">
        <v>57</v>
      </c>
      <c r="D122" s="6" t="s">
        <v>58</v>
      </c>
      <c r="E122" s="6" t="s">
        <v>122</v>
      </c>
      <c r="F122" s="6">
        <v>31</v>
      </c>
      <c r="G122" s="6" t="s">
        <v>34</v>
      </c>
      <c r="H122" s="6" t="s">
        <v>515</v>
      </c>
      <c r="I122" s="6" t="s">
        <v>3630</v>
      </c>
      <c r="J122" s="8">
        <v>44545</v>
      </c>
      <c r="K122" s="8">
        <v>45302</v>
      </c>
      <c r="L122" s="6">
        <v>13400.8</v>
      </c>
      <c r="M122" s="6">
        <v>5600.9</v>
      </c>
      <c r="N122" s="6">
        <v>765</v>
      </c>
      <c r="O122" s="6">
        <v>59000</v>
      </c>
      <c r="P122" s="6" t="s">
        <v>36</v>
      </c>
      <c r="Q122" s="6" t="s">
        <v>27</v>
      </c>
      <c r="R122" s="6">
        <v>0</v>
      </c>
      <c r="S122" s="6" t="s">
        <v>28</v>
      </c>
      <c r="T122" s="7">
        <f t="shared" si="5"/>
        <v>9.4930508474576264E-2</v>
      </c>
      <c r="U122" s="6">
        <f t="shared" si="6"/>
        <v>4</v>
      </c>
      <c r="V122" s="5" t="str">
        <f t="shared" si="7"/>
        <v>VERY GOOD</v>
      </c>
      <c r="W122" s="6" t="str">
        <f t="shared" si="8"/>
        <v>25-34</v>
      </c>
      <c r="X122" s="6" t="str">
        <f t="shared" si="9"/>
        <v>Low</v>
      </c>
    </row>
    <row r="123" spans="1:24">
      <c r="A123" s="6" t="s">
        <v>516</v>
      </c>
      <c r="B123" s="6" t="s">
        <v>517</v>
      </c>
      <c r="C123" s="6" t="s">
        <v>52</v>
      </c>
      <c r="D123" s="6" t="s">
        <v>277</v>
      </c>
      <c r="E123" s="6" t="s">
        <v>278</v>
      </c>
      <c r="F123" s="6">
        <v>44</v>
      </c>
      <c r="G123" s="6" t="s">
        <v>24</v>
      </c>
      <c r="H123" s="6" t="s">
        <v>518</v>
      </c>
      <c r="I123" s="6" t="s">
        <v>3631</v>
      </c>
      <c r="J123" s="8">
        <v>43730</v>
      </c>
      <c r="K123" s="8">
        <v>45301</v>
      </c>
      <c r="L123" s="6">
        <v>45600.75</v>
      </c>
      <c r="M123" s="6">
        <v>19800.400000000001</v>
      </c>
      <c r="N123" s="6">
        <v>675</v>
      </c>
      <c r="O123" s="6">
        <v>98000</v>
      </c>
      <c r="P123" s="6" t="s">
        <v>26</v>
      </c>
      <c r="Q123" s="6" t="s">
        <v>27</v>
      </c>
      <c r="R123" s="6">
        <v>0</v>
      </c>
      <c r="S123" s="6" t="s">
        <v>28</v>
      </c>
      <c r="T123" s="7">
        <f t="shared" si="5"/>
        <v>0.20204489795918368</v>
      </c>
      <c r="U123" s="6">
        <f t="shared" si="6"/>
        <v>5</v>
      </c>
      <c r="V123" s="5" t="str">
        <f t="shared" si="7"/>
        <v>GOOD</v>
      </c>
      <c r="W123" s="6" t="str">
        <f t="shared" si="8"/>
        <v>35-44</v>
      </c>
      <c r="X123" s="6" t="str">
        <f t="shared" si="9"/>
        <v>Lower-Middle</v>
      </c>
    </row>
    <row r="124" spans="1:24">
      <c r="A124" s="6" t="s">
        <v>519</v>
      </c>
      <c r="B124" s="6" t="s">
        <v>520</v>
      </c>
      <c r="C124" s="6" t="s">
        <v>84</v>
      </c>
      <c r="D124" s="6" t="s">
        <v>183</v>
      </c>
      <c r="E124" s="6" t="s">
        <v>184</v>
      </c>
      <c r="F124" s="6">
        <v>23</v>
      </c>
      <c r="G124" s="6" t="s">
        <v>34</v>
      </c>
      <c r="H124" s="6" t="s">
        <v>521</v>
      </c>
      <c r="I124" s="6" t="s">
        <v>3632</v>
      </c>
      <c r="J124" s="8">
        <v>45156</v>
      </c>
      <c r="K124" s="8">
        <v>45304</v>
      </c>
      <c r="L124" s="6">
        <v>2100.25</v>
      </c>
      <c r="M124" s="6">
        <v>9800.6</v>
      </c>
      <c r="N124" s="6">
        <v>615</v>
      </c>
      <c r="O124" s="6">
        <v>20000</v>
      </c>
      <c r="P124" s="6" t="s">
        <v>76</v>
      </c>
      <c r="Q124" s="6" t="s">
        <v>43</v>
      </c>
      <c r="R124" s="6">
        <v>0</v>
      </c>
      <c r="S124" s="6" t="s">
        <v>28</v>
      </c>
      <c r="T124" s="7">
        <f t="shared" si="5"/>
        <v>0.49003000000000002</v>
      </c>
      <c r="U124" s="6">
        <f t="shared" si="6"/>
        <v>2</v>
      </c>
      <c r="V124" s="5" t="str">
        <f t="shared" si="7"/>
        <v>FAIR</v>
      </c>
      <c r="W124" s="6" t="str">
        <f t="shared" si="8"/>
        <v>18-24</v>
      </c>
      <c r="X124" s="6" t="str">
        <f t="shared" si="9"/>
        <v>Low</v>
      </c>
    </row>
    <row r="125" spans="1:24">
      <c r="A125" s="6" t="s">
        <v>522</v>
      </c>
      <c r="B125" s="6" t="s">
        <v>523</v>
      </c>
      <c r="C125" s="6" t="s">
        <v>39</v>
      </c>
      <c r="D125" s="6" t="s">
        <v>40</v>
      </c>
      <c r="E125" s="6" t="s">
        <v>94</v>
      </c>
      <c r="F125" s="6">
        <v>51</v>
      </c>
      <c r="G125" s="6" t="s">
        <v>24</v>
      </c>
      <c r="H125" s="6" t="s">
        <v>524</v>
      </c>
      <c r="I125" s="6" t="s">
        <v>3541</v>
      </c>
      <c r="J125" s="8">
        <v>43047</v>
      </c>
      <c r="K125" s="8">
        <v>45299</v>
      </c>
      <c r="L125" s="6">
        <v>213400.8</v>
      </c>
      <c r="M125" s="6">
        <v>95000.25</v>
      </c>
      <c r="N125" s="6">
        <v>660</v>
      </c>
      <c r="O125" s="6">
        <v>220000</v>
      </c>
      <c r="P125" s="6" t="s">
        <v>76</v>
      </c>
      <c r="Q125" s="6" t="s">
        <v>27</v>
      </c>
      <c r="R125" s="6">
        <v>0</v>
      </c>
      <c r="S125" s="6" t="s">
        <v>28</v>
      </c>
      <c r="T125" s="7">
        <f t="shared" si="5"/>
        <v>0.43181931818181818</v>
      </c>
      <c r="U125" s="6">
        <f t="shared" si="6"/>
        <v>7</v>
      </c>
      <c r="V125" s="5" t="str">
        <f t="shared" si="7"/>
        <v>FAIR</v>
      </c>
      <c r="W125" s="6" t="str">
        <f t="shared" si="8"/>
        <v>45-54</v>
      </c>
      <c r="X125" s="6" t="str">
        <f t="shared" si="9"/>
        <v>High</v>
      </c>
    </row>
    <row r="126" spans="1:24">
      <c r="A126" s="6" t="s">
        <v>306</v>
      </c>
      <c r="B126" s="6" t="s">
        <v>525</v>
      </c>
      <c r="C126" s="6" t="s">
        <v>46</v>
      </c>
      <c r="D126" s="6" t="s">
        <v>209</v>
      </c>
      <c r="E126" s="6" t="s">
        <v>210</v>
      </c>
      <c r="F126" s="6">
        <v>38</v>
      </c>
      <c r="G126" s="6" t="s">
        <v>34</v>
      </c>
      <c r="H126" s="6" t="s">
        <v>526</v>
      </c>
      <c r="I126" s="6" t="s">
        <v>3633</v>
      </c>
      <c r="J126" s="8">
        <v>43938</v>
      </c>
      <c r="K126" s="8">
        <v>45302</v>
      </c>
      <c r="L126" s="6">
        <v>67800.899999999994</v>
      </c>
      <c r="M126" s="6">
        <v>25600.75</v>
      </c>
      <c r="N126" s="6">
        <v>730</v>
      </c>
      <c r="O126" s="6">
        <v>121000</v>
      </c>
      <c r="P126" s="6" t="s">
        <v>26</v>
      </c>
      <c r="Q126" s="6" t="s">
        <v>27</v>
      </c>
      <c r="R126" s="6">
        <v>0</v>
      </c>
      <c r="S126" s="6" t="s">
        <v>28</v>
      </c>
      <c r="T126" s="7">
        <f t="shared" si="5"/>
        <v>0.21157644628099173</v>
      </c>
      <c r="U126" s="6">
        <f t="shared" si="6"/>
        <v>4</v>
      </c>
      <c r="V126" s="5" t="str">
        <f t="shared" si="7"/>
        <v>GOOD</v>
      </c>
      <c r="W126" s="6" t="str">
        <f t="shared" si="8"/>
        <v>35-44</v>
      </c>
      <c r="X126" s="6" t="str">
        <f t="shared" si="9"/>
        <v>Lower-Middle</v>
      </c>
    </row>
    <row r="127" spans="1:24">
      <c r="A127" s="6" t="s">
        <v>527</v>
      </c>
      <c r="B127" s="6" t="s">
        <v>528</v>
      </c>
      <c r="C127" s="6" t="s">
        <v>31</v>
      </c>
      <c r="D127" s="6" t="s">
        <v>32</v>
      </c>
      <c r="E127" s="6" t="s">
        <v>33</v>
      </c>
      <c r="F127" s="6">
        <v>27</v>
      </c>
      <c r="G127" s="6" t="s">
        <v>34</v>
      </c>
      <c r="H127" s="6" t="s">
        <v>529</v>
      </c>
      <c r="I127" s="6" t="s">
        <v>3634</v>
      </c>
      <c r="J127" s="8">
        <v>44997</v>
      </c>
      <c r="K127" s="8">
        <v>45305</v>
      </c>
      <c r="L127" s="6">
        <v>8900.4</v>
      </c>
      <c r="M127" s="6">
        <v>5200.25</v>
      </c>
      <c r="N127" s="6">
        <v>705</v>
      </c>
      <c r="O127" s="6">
        <v>37000</v>
      </c>
      <c r="P127" s="6" t="s">
        <v>26</v>
      </c>
      <c r="Q127" s="6" t="s">
        <v>43</v>
      </c>
      <c r="R127" s="6">
        <v>0</v>
      </c>
      <c r="S127" s="6" t="s">
        <v>28</v>
      </c>
      <c r="T127" s="7">
        <f t="shared" si="5"/>
        <v>0.14054729729729729</v>
      </c>
      <c r="U127" s="6">
        <f t="shared" si="6"/>
        <v>1</v>
      </c>
      <c r="V127" s="5" t="str">
        <f t="shared" si="7"/>
        <v>GOOD</v>
      </c>
      <c r="W127" s="6" t="str">
        <f t="shared" si="8"/>
        <v>25-34</v>
      </c>
      <c r="X127" s="6" t="str">
        <f t="shared" si="9"/>
        <v>Low</v>
      </c>
    </row>
    <row r="128" spans="1:24">
      <c r="A128" s="6" t="s">
        <v>530</v>
      </c>
      <c r="B128" s="6" t="s">
        <v>531</v>
      </c>
      <c r="C128" s="6" t="s">
        <v>57</v>
      </c>
      <c r="D128" s="6" t="s">
        <v>219</v>
      </c>
      <c r="E128" s="6" t="s">
        <v>220</v>
      </c>
      <c r="F128" s="6">
        <v>32</v>
      </c>
      <c r="G128" s="6" t="s">
        <v>24</v>
      </c>
      <c r="H128" s="6" t="s">
        <v>532</v>
      </c>
      <c r="I128" s="6" t="s">
        <v>3635</v>
      </c>
      <c r="J128" s="8">
        <v>44474</v>
      </c>
      <c r="K128" s="8">
        <v>45303</v>
      </c>
      <c r="L128" s="6">
        <v>12300.6</v>
      </c>
      <c r="M128" s="6">
        <v>5400.8</v>
      </c>
      <c r="N128" s="6">
        <v>710</v>
      </c>
      <c r="O128" s="6">
        <v>53000</v>
      </c>
      <c r="P128" s="6" t="s">
        <v>36</v>
      </c>
      <c r="Q128" s="6" t="s">
        <v>27</v>
      </c>
      <c r="R128" s="6">
        <v>0</v>
      </c>
      <c r="S128" s="6" t="s">
        <v>28</v>
      </c>
      <c r="T128" s="7">
        <f t="shared" si="5"/>
        <v>0.10190188679245284</v>
      </c>
      <c r="U128" s="6">
        <f t="shared" si="6"/>
        <v>3</v>
      </c>
      <c r="V128" s="5" t="str">
        <f t="shared" si="7"/>
        <v>GOOD</v>
      </c>
      <c r="W128" s="6" t="str">
        <f t="shared" si="8"/>
        <v>25-34</v>
      </c>
      <c r="X128" s="6" t="str">
        <f t="shared" si="9"/>
        <v>Low</v>
      </c>
    </row>
    <row r="129" spans="1:24">
      <c r="A129" s="6" t="s">
        <v>533</v>
      </c>
      <c r="B129" s="6" t="s">
        <v>534</v>
      </c>
      <c r="C129" s="6" t="s">
        <v>52</v>
      </c>
      <c r="D129" s="6" t="s">
        <v>204</v>
      </c>
      <c r="E129" s="6" t="s">
        <v>205</v>
      </c>
      <c r="F129" s="6">
        <v>39</v>
      </c>
      <c r="G129" s="6" t="s">
        <v>34</v>
      </c>
      <c r="H129" s="6" t="s">
        <v>535</v>
      </c>
      <c r="I129" s="6" t="s">
        <v>3636</v>
      </c>
      <c r="J129" s="8">
        <v>43819</v>
      </c>
      <c r="K129" s="8">
        <v>45301</v>
      </c>
      <c r="L129" s="6">
        <v>43200.25</v>
      </c>
      <c r="M129" s="6">
        <v>16700.900000000001</v>
      </c>
      <c r="N129" s="6">
        <v>695</v>
      </c>
      <c r="O129" s="6">
        <v>87000</v>
      </c>
      <c r="P129" s="6" t="s">
        <v>26</v>
      </c>
      <c r="Q129" s="6" t="s">
        <v>27</v>
      </c>
      <c r="R129" s="6">
        <v>0</v>
      </c>
      <c r="S129" s="6" t="s">
        <v>28</v>
      </c>
      <c r="T129" s="7">
        <f t="shared" si="5"/>
        <v>0.19196436781609197</v>
      </c>
      <c r="U129" s="6">
        <f t="shared" si="6"/>
        <v>5</v>
      </c>
      <c r="V129" s="5" t="str">
        <f t="shared" si="7"/>
        <v>GOOD</v>
      </c>
      <c r="W129" s="6" t="str">
        <f t="shared" si="8"/>
        <v>35-44</v>
      </c>
      <c r="X129" s="6" t="str">
        <f t="shared" si="9"/>
        <v>Lower-Middle</v>
      </c>
    </row>
    <row r="130" spans="1:24">
      <c r="A130" s="6" t="s">
        <v>536</v>
      </c>
      <c r="B130" s="6" t="s">
        <v>537</v>
      </c>
      <c r="C130" s="6" t="s">
        <v>39</v>
      </c>
      <c r="D130" s="6" t="s">
        <v>195</v>
      </c>
      <c r="E130" s="6" t="s">
        <v>196</v>
      </c>
      <c r="F130" s="6">
        <v>47</v>
      </c>
      <c r="G130" s="6" t="s">
        <v>24</v>
      </c>
      <c r="H130" s="6" t="s">
        <v>538</v>
      </c>
      <c r="I130" s="6" t="s">
        <v>3637</v>
      </c>
      <c r="J130" s="8">
        <v>43245</v>
      </c>
      <c r="K130" s="8">
        <v>45300</v>
      </c>
      <c r="L130" s="6">
        <v>145600.4</v>
      </c>
      <c r="M130" s="6">
        <v>68000.600000000006</v>
      </c>
      <c r="N130" s="6">
        <v>670</v>
      </c>
      <c r="O130" s="6">
        <v>155000</v>
      </c>
      <c r="P130" s="6" t="s">
        <v>76</v>
      </c>
      <c r="Q130" s="6" t="s">
        <v>27</v>
      </c>
      <c r="R130" s="6">
        <v>0</v>
      </c>
      <c r="S130" s="6" t="s">
        <v>28</v>
      </c>
      <c r="T130" s="7">
        <f t="shared" ref="T130:T193" si="10">IFERROR(M130/O130,"")</f>
        <v>0.43871354838709681</v>
      </c>
      <c r="U130" s="6">
        <f t="shared" ref="U130:U193" si="11">MAX($K$2:$K$1599)-K130</f>
        <v>6</v>
      </c>
      <c r="V130" s="5" t="str">
        <f t="shared" ref="V130:V193" si="12">IF(N130&lt;670,"FAIR", IF(N130&lt;750,"GOOD",IF(N130&lt;800,"VERY GOOD","EXCEPTIONAL")))</f>
        <v>GOOD</v>
      </c>
      <c r="W130" s="6" t="str">
        <f t="shared" ref="W130:W193" si="13">IF(F130&lt;25,"18-24",IF(F130&lt;35,"25-34",IF(F130&lt;45,"35-44",IF(F130&lt;55,"45-54","55+"))))</f>
        <v>45-54</v>
      </c>
      <c r="X130" s="6" t="str">
        <f t="shared" ref="X130:X193" si="14">IF(O130&lt;=_xlfn.QUARTILE.INC($O$2:$O$1599,1),"Low",IF(O130&lt;=_xlfn.QUARTILE.INC($O$2:$O$1599,2),"Lower-Middle",IF(O130&lt;=_xlfn.QUARTILE.INC($O$2:$O$1599,3),"Upper-Middle","High")))</f>
        <v>Upper-Middle</v>
      </c>
    </row>
    <row r="131" spans="1:24">
      <c r="A131" s="6" t="s">
        <v>539</v>
      </c>
      <c r="B131" s="6" t="s">
        <v>540</v>
      </c>
      <c r="C131" s="6" t="s">
        <v>21</v>
      </c>
      <c r="D131" s="6" t="s">
        <v>58</v>
      </c>
      <c r="E131" s="6" t="s">
        <v>59</v>
      </c>
      <c r="F131" s="6">
        <v>55</v>
      </c>
      <c r="G131" s="6" t="s">
        <v>34</v>
      </c>
      <c r="H131" s="6" t="s">
        <v>541</v>
      </c>
      <c r="I131" s="6" t="s">
        <v>3638</v>
      </c>
      <c r="J131" s="8">
        <v>42780</v>
      </c>
      <c r="K131" s="8">
        <v>45299</v>
      </c>
      <c r="L131" s="6">
        <v>312500.75</v>
      </c>
      <c r="M131" s="6">
        <v>85000.8</v>
      </c>
      <c r="N131" s="6">
        <v>835</v>
      </c>
      <c r="O131" s="6">
        <v>300000</v>
      </c>
      <c r="P131" s="6" t="s">
        <v>36</v>
      </c>
      <c r="Q131" s="6" t="s">
        <v>27</v>
      </c>
      <c r="R131" s="6">
        <v>0</v>
      </c>
      <c r="S131" s="6" t="s">
        <v>28</v>
      </c>
      <c r="T131" s="7">
        <f t="shared" si="10"/>
        <v>0.28333600000000003</v>
      </c>
      <c r="U131" s="6">
        <f t="shared" si="11"/>
        <v>7</v>
      </c>
      <c r="V131" s="5" t="str">
        <f t="shared" si="12"/>
        <v>EXCEPTIONAL</v>
      </c>
      <c r="W131" s="6" t="str">
        <f t="shared" si="13"/>
        <v>55+</v>
      </c>
      <c r="X131" s="6" t="str">
        <f t="shared" si="14"/>
        <v>High</v>
      </c>
    </row>
    <row r="132" spans="1:24">
      <c r="A132" s="6" t="s">
        <v>542</v>
      </c>
      <c r="B132" s="6" t="s">
        <v>543</v>
      </c>
      <c r="C132" s="6" t="s">
        <v>52</v>
      </c>
      <c r="D132" s="6" t="s">
        <v>68</v>
      </c>
      <c r="E132" s="6" t="s">
        <v>114</v>
      </c>
      <c r="F132" s="6">
        <v>42</v>
      </c>
      <c r="G132" s="6" t="s">
        <v>34</v>
      </c>
      <c r="H132" s="6" t="s">
        <v>544</v>
      </c>
      <c r="I132" s="6" t="s">
        <v>3639</v>
      </c>
      <c r="J132" s="8">
        <v>43777</v>
      </c>
      <c r="K132" s="8">
        <v>45302</v>
      </c>
      <c r="L132" s="6">
        <v>52300.6</v>
      </c>
      <c r="M132" s="6">
        <v>22300.25</v>
      </c>
      <c r="N132" s="6">
        <v>665</v>
      </c>
      <c r="O132" s="6">
        <v>108000</v>
      </c>
      <c r="P132" s="6" t="s">
        <v>26</v>
      </c>
      <c r="Q132" s="6" t="s">
        <v>27</v>
      </c>
      <c r="R132" s="6">
        <v>0</v>
      </c>
      <c r="S132" s="6" t="s">
        <v>28</v>
      </c>
      <c r="T132" s="7">
        <f t="shared" si="10"/>
        <v>0.20648379629629629</v>
      </c>
      <c r="U132" s="6">
        <f t="shared" si="11"/>
        <v>4</v>
      </c>
      <c r="V132" s="5" t="str">
        <f t="shared" si="12"/>
        <v>FAIR</v>
      </c>
      <c r="W132" s="6" t="str">
        <f t="shared" si="13"/>
        <v>35-44</v>
      </c>
      <c r="X132" s="6" t="str">
        <f t="shared" si="14"/>
        <v>Lower-Middle</v>
      </c>
    </row>
    <row r="133" spans="1:24">
      <c r="A133" s="6" t="s">
        <v>545</v>
      </c>
      <c r="B133" s="6" t="s">
        <v>546</v>
      </c>
      <c r="C133" s="6" t="s">
        <v>46</v>
      </c>
      <c r="D133" s="6" t="s">
        <v>241</v>
      </c>
      <c r="E133" s="6" t="s">
        <v>242</v>
      </c>
      <c r="F133" s="6">
        <v>34</v>
      </c>
      <c r="G133" s="6" t="s">
        <v>24</v>
      </c>
      <c r="H133" s="6" t="s">
        <v>547</v>
      </c>
      <c r="I133" s="6" t="s">
        <v>3640</v>
      </c>
      <c r="J133" s="8">
        <v>44396</v>
      </c>
      <c r="K133" s="8">
        <v>45303</v>
      </c>
      <c r="L133" s="6">
        <v>75600.800000000003</v>
      </c>
      <c r="M133" s="6">
        <v>29800.400000000001</v>
      </c>
      <c r="N133" s="6">
        <v>750</v>
      </c>
      <c r="O133" s="6">
        <v>134000</v>
      </c>
      <c r="P133" s="6" t="s">
        <v>26</v>
      </c>
      <c r="Q133" s="6" t="s">
        <v>27</v>
      </c>
      <c r="R133" s="6">
        <v>0</v>
      </c>
      <c r="S133" s="6" t="s">
        <v>28</v>
      </c>
      <c r="T133" s="7">
        <f t="shared" si="10"/>
        <v>0.2223910447761194</v>
      </c>
      <c r="U133" s="6">
        <f t="shared" si="11"/>
        <v>3</v>
      </c>
      <c r="V133" s="5" t="str">
        <f t="shared" si="12"/>
        <v>VERY GOOD</v>
      </c>
      <c r="W133" s="6" t="str">
        <f t="shared" si="13"/>
        <v>25-34</v>
      </c>
      <c r="X133" s="6" t="str">
        <f t="shared" si="14"/>
        <v>Upper-Middle</v>
      </c>
    </row>
    <row r="134" spans="1:24">
      <c r="A134" s="6" t="s">
        <v>548</v>
      </c>
      <c r="B134" s="6" t="s">
        <v>549</v>
      </c>
      <c r="C134" s="6" t="s">
        <v>57</v>
      </c>
      <c r="D134" s="6" t="s">
        <v>22</v>
      </c>
      <c r="E134" s="6" t="s">
        <v>118</v>
      </c>
      <c r="F134" s="6">
        <v>30</v>
      </c>
      <c r="G134" s="6" t="s">
        <v>34</v>
      </c>
      <c r="H134" s="6" t="s">
        <v>550</v>
      </c>
      <c r="I134" s="6" t="s">
        <v>3641</v>
      </c>
      <c r="J134" s="8">
        <v>44591</v>
      </c>
      <c r="K134" s="8">
        <v>45305</v>
      </c>
      <c r="L134" s="6">
        <v>14500.9</v>
      </c>
      <c r="M134" s="6">
        <v>6200.75</v>
      </c>
      <c r="N134" s="6">
        <v>770</v>
      </c>
      <c r="O134" s="6">
        <v>65000</v>
      </c>
      <c r="P134" s="6" t="s">
        <v>36</v>
      </c>
      <c r="Q134" s="6" t="s">
        <v>27</v>
      </c>
      <c r="R134" s="6">
        <v>0</v>
      </c>
      <c r="S134" s="6" t="s">
        <v>28</v>
      </c>
      <c r="T134" s="7">
        <f t="shared" si="10"/>
        <v>9.5396153846153853E-2</v>
      </c>
      <c r="U134" s="6">
        <f t="shared" si="11"/>
        <v>1</v>
      </c>
      <c r="V134" s="5" t="str">
        <f t="shared" si="12"/>
        <v>VERY GOOD</v>
      </c>
      <c r="W134" s="6" t="str">
        <f t="shared" si="13"/>
        <v>25-34</v>
      </c>
      <c r="X134" s="6" t="str">
        <f t="shared" si="14"/>
        <v>Low</v>
      </c>
    </row>
    <row r="135" spans="1:24">
      <c r="A135" s="6" t="s">
        <v>551</v>
      </c>
      <c r="B135" s="6" t="s">
        <v>552</v>
      </c>
      <c r="C135" s="6" t="s">
        <v>39</v>
      </c>
      <c r="D135" s="6" t="s">
        <v>313</v>
      </c>
      <c r="E135" s="6" t="s">
        <v>314</v>
      </c>
      <c r="F135" s="6">
        <v>53</v>
      </c>
      <c r="G135" s="6" t="s">
        <v>24</v>
      </c>
      <c r="H135" s="6" t="s">
        <v>553</v>
      </c>
      <c r="I135" s="6" t="s">
        <v>3642</v>
      </c>
      <c r="J135" s="8">
        <v>42969</v>
      </c>
      <c r="K135" s="8">
        <v>45299</v>
      </c>
      <c r="L135" s="6">
        <v>198700.25</v>
      </c>
      <c r="M135" s="6">
        <v>89000.8</v>
      </c>
      <c r="N135" s="6">
        <v>645</v>
      </c>
      <c r="O135" s="6">
        <v>205000</v>
      </c>
      <c r="P135" s="6" t="s">
        <v>76</v>
      </c>
      <c r="Q135" s="6" t="s">
        <v>27</v>
      </c>
      <c r="R135" s="6">
        <v>0</v>
      </c>
      <c r="S135" s="6" t="s">
        <v>28</v>
      </c>
      <c r="T135" s="7">
        <f t="shared" si="10"/>
        <v>0.43415024390243906</v>
      </c>
      <c r="U135" s="6">
        <f t="shared" si="11"/>
        <v>7</v>
      </c>
      <c r="V135" s="5" t="str">
        <f t="shared" si="12"/>
        <v>FAIR</v>
      </c>
      <c r="W135" s="6" t="str">
        <f t="shared" si="13"/>
        <v>45-54</v>
      </c>
      <c r="X135" s="6" t="str">
        <f t="shared" si="14"/>
        <v>High</v>
      </c>
    </row>
    <row r="136" spans="1:24">
      <c r="A136" s="6" t="s">
        <v>554</v>
      </c>
      <c r="B136" s="6" t="s">
        <v>555</v>
      </c>
      <c r="C136" s="6" t="s">
        <v>31</v>
      </c>
      <c r="D136" s="6" t="s">
        <v>214</v>
      </c>
      <c r="E136" s="6" t="s">
        <v>215</v>
      </c>
      <c r="F136" s="6">
        <v>26</v>
      </c>
      <c r="G136" s="6" t="s">
        <v>34</v>
      </c>
      <c r="H136" s="6" t="s">
        <v>556</v>
      </c>
      <c r="I136" s="6" t="s">
        <v>3643</v>
      </c>
      <c r="J136" s="8">
        <v>45024</v>
      </c>
      <c r="K136" s="8">
        <v>45306</v>
      </c>
      <c r="L136" s="6">
        <v>10200.5</v>
      </c>
      <c r="M136" s="6">
        <v>5800.4</v>
      </c>
      <c r="N136" s="6">
        <v>720</v>
      </c>
      <c r="O136" s="6">
        <v>42000</v>
      </c>
      <c r="P136" s="6" t="s">
        <v>36</v>
      </c>
      <c r="Q136" s="6" t="s">
        <v>27</v>
      </c>
      <c r="R136" s="6">
        <v>0</v>
      </c>
      <c r="S136" s="6" t="s">
        <v>28</v>
      </c>
      <c r="T136" s="7">
        <f t="shared" si="10"/>
        <v>0.1381047619047619</v>
      </c>
      <c r="U136" s="6">
        <f t="shared" si="11"/>
        <v>0</v>
      </c>
      <c r="V136" s="5" t="str">
        <f t="shared" si="12"/>
        <v>GOOD</v>
      </c>
      <c r="W136" s="6" t="str">
        <f t="shared" si="13"/>
        <v>25-34</v>
      </c>
      <c r="X136" s="6" t="str">
        <f t="shared" si="14"/>
        <v>Low</v>
      </c>
    </row>
    <row r="137" spans="1:24">
      <c r="A137" s="6" t="s">
        <v>108</v>
      </c>
      <c r="B137" s="6" t="s">
        <v>557</v>
      </c>
      <c r="C137" s="6" t="s">
        <v>84</v>
      </c>
      <c r="D137" s="6" t="s">
        <v>32</v>
      </c>
      <c r="E137" s="6" t="s">
        <v>90</v>
      </c>
      <c r="F137" s="6">
        <v>22</v>
      </c>
      <c r="G137" s="6" t="s">
        <v>24</v>
      </c>
      <c r="H137" s="6" t="s">
        <v>558</v>
      </c>
      <c r="I137" s="6" t="s">
        <v>3644</v>
      </c>
      <c r="J137" s="8">
        <v>45211</v>
      </c>
      <c r="K137" s="8">
        <v>45304</v>
      </c>
      <c r="L137" s="6">
        <v>1850.8</v>
      </c>
      <c r="M137" s="6">
        <v>8500.25</v>
      </c>
      <c r="N137" s="6">
        <v>605</v>
      </c>
      <c r="O137" s="6">
        <v>18000</v>
      </c>
      <c r="P137" s="6" t="s">
        <v>76</v>
      </c>
      <c r="Q137" s="6" t="s">
        <v>43</v>
      </c>
      <c r="R137" s="6">
        <v>0</v>
      </c>
      <c r="S137" s="6" t="s">
        <v>28</v>
      </c>
      <c r="T137" s="7">
        <f t="shared" si="10"/>
        <v>0.47223611111111113</v>
      </c>
      <c r="U137" s="6">
        <f t="shared" si="11"/>
        <v>2</v>
      </c>
      <c r="V137" s="5" t="str">
        <f t="shared" si="12"/>
        <v>FAIR</v>
      </c>
      <c r="W137" s="6" t="str">
        <f t="shared" si="13"/>
        <v>18-24</v>
      </c>
      <c r="X137" s="6" t="str">
        <f t="shared" si="14"/>
        <v>Low</v>
      </c>
    </row>
    <row r="138" spans="1:24">
      <c r="A138" s="6" t="s">
        <v>559</v>
      </c>
      <c r="B138" s="6" t="s">
        <v>560</v>
      </c>
      <c r="C138" s="6" t="s">
        <v>46</v>
      </c>
      <c r="D138" s="6" t="s">
        <v>254</v>
      </c>
      <c r="E138" s="6" t="s">
        <v>255</v>
      </c>
      <c r="F138" s="6">
        <v>36</v>
      </c>
      <c r="G138" s="6" t="s">
        <v>34</v>
      </c>
      <c r="H138" s="6" t="s">
        <v>561</v>
      </c>
      <c r="I138" s="6" t="s">
        <v>3645</v>
      </c>
      <c r="J138" s="8">
        <v>44280</v>
      </c>
      <c r="K138" s="8">
        <v>45302</v>
      </c>
      <c r="L138" s="6">
        <v>62300.4</v>
      </c>
      <c r="M138" s="6">
        <v>24500.75</v>
      </c>
      <c r="N138" s="6">
        <v>710</v>
      </c>
      <c r="O138" s="6">
        <v>116000</v>
      </c>
      <c r="P138" s="6" t="s">
        <v>26</v>
      </c>
      <c r="Q138" s="6" t="s">
        <v>27</v>
      </c>
      <c r="R138" s="6">
        <v>0</v>
      </c>
      <c r="S138" s="6" t="s">
        <v>28</v>
      </c>
      <c r="T138" s="7">
        <f t="shared" si="10"/>
        <v>0.21121336206896552</v>
      </c>
      <c r="U138" s="6">
        <f t="shared" si="11"/>
        <v>4</v>
      </c>
      <c r="V138" s="5" t="str">
        <f t="shared" si="12"/>
        <v>GOOD</v>
      </c>
      <c r="W138" s="6" t="str">
        <f t="shared" si="13"/>
        <v>35-44</v>
      </c>
      <c r="X138" s="6" t="str">
        <f t="shared" si="14"/>
        <v>Lower-Middle</v>
      </c>
    </row>
    <row r="139" spans="1:24">
      <c r="A139" s="6" t="s">
        <v>562</v>
      </c>
      <c r="B139" s="6" t="s">
        <v>563</v>
      </c>
      <c r="C139" s="6" t="s">
        <v>39</v>
      </c>
      <c r="D139" s="6" t="s">
        <v>47</v>
      </c>
      <c r="E139" s="6" t="s">
        <v>48</v>
      </c>
      <c r="F139" s="6">
        <v>50</v>
      </c>
      <c r="G139" s="6" t="s">
        <v>24</v>
      </c>
      <c r="H139" s="6" t="s">
        <v>564</v>
      </c>
      <c r="I139" s="6" t="s">
        <v>3646</v>
      </c>
      <c r="J139" s="8">
        <v>43149</v>
      </c>
      <c r="K139" s="8">
        <v>45300</v>
      </c>
      <c r="L139" s="6">
        <v>178900.6</v>
      </c>
      <c r="M139" s="6">
        <v>82000.25</v>
      </c>
      <c r="N139" s="6">
        <v>675</v>
      </c>
      <c r="O139" s="6">
        <v>185000</v>
      </c>
      <c r="P139" s="6" t="s">
        <v>76</v>
      </c>
      <c r="Q139" s="6" t="s">
        <v>27</v>
      </c>
      <c r="R139" s="6">
        <v>0</v>
      </c>
      <c r="S139" s="6" t="s">
        <v>28</v>
      </c>
      <c r="T139" s="7">
        <f t="shared" si="10"/>
        <v>0.44324459459459459</v>
      </c>
      <c r="U139" s="6">
        <f t="shared" si="11"/>
        <v>6</v>
      </c>
      <c r="V139" s="5" t="str">
        <f t="shared" si="12"/>
        <v>GOOD</v>
      </c>
      <c r="W139" s="6" t="str">
        <f t="shared" si="13"/>
        <v>45-54</v>
      </c>
      <c r="X139" s="6" t="str">
        <f t="shared" si="14"/>
        <v>Upper-Middle</v>
      </c>
    </row>
    <row r="140" spans="1:24">
      <c r="A140" s="6" t="s">
        <v>565</v>
      </c>
      <c r="B140" s="6" t="s">
        <v>566</v>
      </c>
      <c r="C140" s="6" t="s">
        <v>52</v>
      </c>
      <c r="D140" s="6" t="s">
        <v>233</v>
      </c>
      <c r="E140" s="6" t="s">
        <v>234</v>
      </c>
      <c r="F140" s="6">
        <v>35</v>
      </c>
      <c r="G140" s="6" t="s">
        <v>34</v>
      </c>
      <c r="H140" s="6" t="s">
        <v>567</v>
      </c>
      <c r="I140" s="6" t="s">
        <v>3647</v>
      </c>
      <c r="J140" s="8">
        <v>44073</v>
      </c>
      <c r="K140" s="8">
        <v>45301</v>
      </c>
      <c r="L140" s="6">
        <v>38700.75</v>
      </c>
      <c r="M140" s="6">
        <v>15600.8</v>
      </c>
      <c r="N140" s="6">
        <v>725</v>
      </c>
      <c r="O140" s="6">
        <v>82000</v>
      </c>
      <c r="P140" s="6" t="s">
        <v>26</v>
      </c>
      <c r="Q140" s="6" t="s">
        <v>27</v>
      </c>
      <c r="R140" s="6">
        <v>0</v>
      </c>
      <c r="S140" s="6" t="s">
        <v>28</v>
      </c>
      <c r="T140" s="7">
        <f t="shared" si="10"/>
        <v>0.19025365853658535</v>
      </c>
      <c r="U140" s="6">
        <f t="shared" si="11"/>
        <v>5</v>
      </c>
      <c r="V140" s="5" t="str">
        <f t="shared" si="12"/>
        <v>GOOD</v>
      </c>
      <c r="W140" s="6" t="str">
        <f t="shared" si="13"/>
        <v>35-44</v>
      </c>
      <c r="X140" s="6" t="str">
        <f t="shared" si="14"/>
        <v>Lower-Middle</v>
      </c>
    </row>
    <row r="141" spans="1:24">
      <c r="A141" s="6" t="s">
        <v>568</v>
      </c>
      <c r="B141" s="6" t="s">
        <v>569</v>
      </c>
      <c r="C141" s="6" t="s">
        <v>57</v>
      </c>
      <c r="D141" s="6" t="s">
        <v>79</v>
      </c>
      <c r="E141" s="6" t="s">
        <v>80</v>
      </c>
      <c r="F141" s="6">
        <v>33</v>
      </c>
      <c r="G141" s="6" t="s">
        <v>24</v>
      </c>
      <c r="H141" s="6" t="s">
        <v>570</v>
      </c>
      <c r="I141" s="6" t="s">
        <v>3648</v>
      </c>
      <c r="J141" s="8">
        <v>44522</v>
      </c>
      <c r="K141" s="8">
        <v>45303</v>
      </c>
      <c r="L141" s="6">
        <v>16700.400000000001</v>
      </c>
      <c r="M141" s="6">
        <v>7200.9</v>
      </c>
      <c r="N141" s="6">
        <v>740</v>
      </c>
      <c r="O141" s="6">
        <v>68000</v>
      </c>
      <c r="P141" s="6" t="s">
        <v>36</v>
      </c>
      <c r="Q141" s="6" t="s">
        <v>27</v>
      </c>
      <c r="R141" s="6">
        <v>0</v>
      </c>
      <c r="S141" s="6" t="s">
        <v>28</v>
      </c>
      <c r="T141" s="7">
        <f t="shared" si="10"/>
        <v>0.10589558823529412</v>
      </c>
      <c r="U141" s="6">
        <f t="shared" si="11"/>
        <v>3</v>
      </c>
      <c r="V141" s="5" t="str">
        <f t="shared" si="12"/>
        <v>GOOD</v>
      </c>
      <c r="W141" s="6" t="str">
        <f t="shared" si="13"/>
        <v>25-34</v>
      </c>
      <c r="X141" s="6" t="str">
        <f t="shared" si="14"/>
        <v>Low</v>
      </c>
    </row>
    <row r="142" spans="1:24">
      <c r="A142" s="6" t="s">
        <v>571</v>
      </c>
      <c r="B142" s="6" t="s">
        <v>572</v>
      </c>
      <c r="C142" s="6" t="s">
        <v>21</v>
      </c>
      <c r="D142" s="6" t="s">
        <v>63</v>
      </c>
      <c r="E142" s="6" t="s">
        <v>3514</v>
      </c>
      <c r="F142" s="6">
        <v>56</v>
      </c>
      <c r="G142" s="6" t="s">
        <v>34</v>
      </c>
      <c r="H142" s="6" t="s">
        <v>573</v>
      </c>
      <c r="I142" s="6" t="s">
        <v>3649</v>
      </c>
      <c r="J142" s="8">
        <v>42709</v>
      </c>
      <c r="K142" s="8">
        <v>45299</v>
      </c>
      <c r="L142" s="6">
        <v>267800.90000000002</v>
      </c>
      <c r="M142" s="6">
        <v>72000.600000000006</v>
      </c>
      <c r="N142" s="6">
        <v>830</v>
      </c>
      <c r="O142" s="6">
        <v>280000</v>
      </c>
      <c r="P142" s="6" t="s">
        <v>36</v>
      </c>
      <c r="Q142" s="6" t="s">
        <v>27</v>
      </c>
      <c r="R142" s="6">
        <v>0</v>
      </c>
      <c r="S142" s="6" t="s">
        <v>28</v>
      </c>
      <c r="T142" s="7">
        <f t="shared" si="10"/>
        <v>0.25714500000000001</v>
      </c>
      <c r="U142" s="6">
        <f t="shared" si="11"/>
        <v>7</v>
      </c>
      <c r="V142" s="5" t="str">
        <f t="shared" si="12"/>
        <v>EXCEPTIONAL</v>
      </c>
      <c r="W142" s="6" t="str">
        <f t="shared" si="13"/>
        <v>55+</v>
      </c>
      <c r="X142" s="6" t="str">
        <f t="shared" si="14"/>
        <v>High</v>
      </c>
    </row>
    <row r="143" spans="1:24">
      <c r="A143" s="6" t="s">
        <v>574</v>
      </c>
      <c r="B143" s="6" t="s">
        <v>575</v>
      </c>
      <c r="C143" s="6" t="s">
        <v>39</v>
      </c>
      <c r="D143" s="6" t="s">
        <v>68</v>
      </c>
      <c r="E143" s="6" t="s">
        <v>69</v>
      </c>
      <c r="F143" s="6">
        <v>48</v>
      </c>
      <c r="G143" s="6" t="s">
        <v>24</v>
      </c>
      <c r="H143" s="6" t="s">
        <v>576</v>
      </c>
      <c r="I143" s="6" t="s">
        <v>3536</v>
      </c>
      <c r="J143" s="8">
        <v>43295</v>
      </c>
      <c r="K143" s="8">
        <v>45300</v>
      </c>
      <c r="L143" s="6">
        <v>156700.25</v>
      </c>
      <c r="M143" s="6">
        <v>74000.399999999994</v>
      </c>
      <c r="N143" s="6">
        <v>655</v>
      </c>
      <c r="O143" s="6">
        <v>170000</v>
      </c>
      <c r="P143" s="6" t="s">
        <v>76</v>
      </c>
      <c r="Q143" s="6" t="s">
        <v>27</v>
      </c>
      <c r="R143" s="6">
        <v>0</v>
      </c>
      <c r="S143" s="6" t="s">
        <v>28</v>
      </c>
      <c r="T143" s="7">
        <f t="shared" si="10"/>
        <v>0.43529647058823528</v>
      </c>
      <c r="U143" s="6">
        <f t="shared" si="11"/>
        <v>6</v>
      </c>
      <c r="V143" s="5" t="str">
        <f t="shared" si="12"/>
        <v>FAIR</v>
      </c>
      <c r="W143" s="6" t="str">
        <f t="shared" si="13"/>
        <v>45-54</v>
      </c>
      <c r="X143" s="6" t="str">
        <f t="shared" si="14"/>
        <v>Upper-Middle</v>
      </c>
    </row>
    <row r="144" spans="1:24">
      <c r="A144" s="6" t="s">
        <v>577</v>
      </c>
      <c r="B144" s="6" t="s">
        <v>578</v>
      </c>
      <c r="C144" s="6" t="s">
        <v>46</v>
      </c>
      <c r="D144" s="6" t="s">
        <v>85</v>
      </c>
      <c r="E144" s="6" t="s">
        <v>162</v>
      </c>
      <c r="F144" s="6">
        <v>37</v>
      </c>
      <c r="G144" s="6" t="s">
        <v>34</v>
      </c>
      <c r="H144" s="6" t="s">
        <v>579</v>
      </c>
      <c r="I144" s="6" t="s">
        <v>3650</v>
      </c>
      <c r="J144" s="8">
        <v>44193</v>
      </c>
      <c r="K144" s="8">
        <v>45302</v>
      </c>
      <c r="L144" s="6">
        <v>81200.600000000006</v>
      </c>
      <c r="M144" s="6">
        <v>32500.75</v>
      </c>
      <c r="N144" s="6">
        <v>760</v>
      </c>
      <c r="O144" s="6">
        <v>139000</v>
      </c>
      <c r="P144" s="6" t="s">
        <v>26</v>
      </c>
      <c r="Q144" s="6" t="s">
        <v>27</v>
      </c>
      <c r="R144" s="6">
        <v>0</v>
      </c>
      <c r="S144" s="6" t="s">
        <v>28</v>
      </c>
      <c r="T144" s="7">
        <f t="shared" si="10"/>
        <v>0.23381834532374102</v>
      </c>
      <c r="U144" s="6">
        <f t="shared" si="11"/>
        <v>4</v>
      </c>
      <c r="V144" s="5" t="str">
        <f t="shared" si="12"/>
        <v>VERY GOOD</v>
      </c>
      <c r="W144" s="6" t="str">
        <f t="shared" si="13"/>
        <v>35-44</v>
      </c>
      <c r="X144" s="6" t="str">
        <f t="shared" si="14"/>
        <v>Upper-Middle</v>
      </c>
    </row>
    <row r="145" spans="1:24">
      <c r="A145" s="6" t="s">
        <v>458</v>
      </c>
      <c r="B145" s="6" t="s">
        <v>580</v>
      </c>
      <c r="C145" s="6" t="s">
        <v>31</v>
      </c>
      <c r="D145" s="6" t="s">
        <v>286</v>
      </c>
      <c r="E145" s="6" t="s">
        <v>287</v>
      </c>
      <c r="F145" s="6">
        <v>28</v>
      </c>
      <c r="G145" s="6" t="s">
        <v>24</v>
      </c>
      <c r="H145" s="6" t="s">
        <v>581</v>
      </c>
      <c r="I145" s="6" t="s">
        <v>3651</v>
      </c>
      <c r="J145" s="8">
        <v>44971</v>
      </c>
      <c r="K145" s="8">
        <v>45306</v>
      </c>
      <c r="L145" s="6">
        <v>8400.25</v>
      </c>
      <c r="M145" s="6">
        <v>4900.8</v>
      </c>
      <c r="N145" s="6">
        <v>695</v>
      </c>
      <c r="O145" s="6">
        <v>39000</v>
      </c>
      <c r="P145" s="6" t="s">
        <v>26</v>
      </c>
      <c r="Q145" s="6" t="s">
        <v>43</v>
      </c>
      <c r="R145" s="6">
        <v>0</v>
      </c>
      <c r="S145" s="6" t="s">
        <v>28</v>
      </c>
      <c r="T145" s="7">
        <f t="shared" si="10"/>
        <v>0.12566153846153846</v>
      </c>
      <c r="U145" s="6">
        <f t="shared" si="11"/>
        <v>0</v>
      </c>
      <c r="V145" s="5" t="str">
        <f t="shared" si="12"/>
        <v>GOOD</v>
      </c>
      <c r="W145" s="6" t="str">
        <f t="shared" si="13"/>
        <v>25-34</v>
      </c>
      <c r="X145" s="6" t="str">
        <f t="shared" si="14"/>
        <v>Low</v>
      </c>
    </row>
    <row r="146" spans="1:24">
      <c r="A146" s="6" t="s">
        <v>582</v>
      </c>
      <c r="B146" s="6" t="s">
        <v>583</v>
      </c>
      <c r="C146" s="6" t="s">
        <v>57</v>
      </c>
      <c r="D146" s="6" t="s">
        <v>22</v>
      </c>
      <c r="E146" s="6" t="s">
        <v>23</v>
      </c>
      <c r="F146" s="6">
        <v>31</v>
      </c>
      <c r="G146" s="6" t="s">
        <v>34</v>
      </c>
      <c r="H146" s="6" t="s">
        <v>584</v>
      </c>
      <c r="I146" s="6" t="s">
        <v>3652</v>
      </c>
      <c r="J146" s="8">
        <v>44444</v>
      </c>
      <c r="K146" s="8">
        <v>45303</v>
      </c>
      <c r="L146" s="6">
        <v>15600.9</v>
      </c>
      <c r="M146" s="6">
        <v>6800.25</v>
      </c>
      <c r="N146" s="6">
        <v>755</v>
      </c>
      <c r="O146" s="6">
        <v>61000</v>
      </c>
      <c r="P146" s="6" t="s">
        <v>36</v>
      </c>
      <c r="Q146" s="6" t="s">
        <v>27</v>
      </c>
      <c r="R146" s="6">
        <v>0</v>
      </c>
      <c r="S146" s="6" t="s">
        <v>28</v>
      </c>
      <c r="T146" s="7">
        <f t="shared" si="10"/>
        <v>0.11147950819672131</v>
      </c>
      <c r="U146" s="6">
        <f t="shared" si="11"/>
        <v>3</v>
      </c>
      <c r="V146" s="5" t="str">
        <f t="shared" si="12"/>
        <v>VERY GOOD</v>
      </c>
      <c r="W146" s="6" t="str">
        <f t="shared" si="13"/>
        <v>25-34</v>
      </c>
      <c r="X146" s="6" t="str">
        <f t="shared" si="14"/>
        <v>Low</v>
      </c>
    </row>
    <row r="147" spans="1:24">
      <c r="A147" s="6" t="s">
        <v>55</v>
      </c>
      <c r="B147" s="6" t="s">
        <v>585</v>
      </c>
      <c r="C147" s="6" t="s">
        <v>39</v>
      </c>
      <c r="D147" s="6" t="s">
        <v>58</v>
      </c>
      <c r="E147" s="6" t="s">
        <v>122</v>
      </c>
      <c r="F147" s="6">
        <v>49</v>
      </c>
      <c r="G147" s="6" t="s">
        <v>24</v>
      </c>
      <c r="H147" s="6" t="s">
        <v>586</v>
      </c>
      <c r="I147" s="6" t="s">
        <v>3653</v>
      </c>
      <c r="J147" s="8">
        <v>43210</v>
      </c>
      <c r="K147" s="8">
        <v>45300</v>
      </c>
      <c r="L147" s="6">
        <v>189600.4</v>
      </c>
      <c r="M147" s="6">
        <v>87000.75</v>
      </c>
      <c r="N147" s="6">
        <v>685</v>
      </c>
      <c r="O147" s="6">
        <v>195000</v>
      </c>
      <c r="P147" s="6" t="s">
        <v>76</v>
      </c>
      <c r="Q147" s="6" t="s">
        <v>27</v>
      </c>
      <c r="R147" s="6">
        <v>0</v>
      </c>
      <c r="S147" s="6" t="s">
        <v>28</v>
      </c>
      <c r="T147" s="7">
        <f t="shared" si="10"/>
        <v>0.44615769230769231</v>
      </c>
      <c r="U147" s="6">
        <f t="shared" si="11"/>
        <v>6</v>
      </c>
      <c r="V147" s="5" t="str">
        <f t="shared" si="12"/>
        <v>GOOD</v>
      </c>
      <c r="W147" s="6" t="str">
        <f t="shared" si="13"/>
        <v>45-54</v>
      </c>
      <c r="X147" s="6" t="str">
        <f t="shared" si="14"/>
        <v>High</v>
      </c>
    </row>
    <row r="148" spans="1:24">
      <c r="A148" s="6" t="s">
        <v>469</v>
      </c>
      <c r="B148" s="6" t="s">
        <v>587</v>
      </c>
      <c r="C148" s="6" t="s">
        <v>52</v>
      </c>
      <c r="D148" s="6" t="s">
        <v>471</v>
      </c>
      <c r="E148" s="6" t="s">
        <v>588</v>
      </c>
      <c r="F148" s="6">
        <v>40</v>
      </c>
      <c r="G148" s="6" t="s">
        <v>34</v>
      </c>
      <c r="H148" s="6" t="s">
        <v>589</v>
      </c>
      <c r="I148" s="6" t="s">
        <v>3654</v>
      </c>
      <c r="J148" s="8">
        <v>43845</v>
      </c>
      <c r="K148" s="8">
        <v>45301</v>
      </c>
      <c r="L148" s="6">
        <v>45600.800000000003</v>
      </c>
      <c r="M148" s="6">
        <v>18700.599999999999</v>
      </c>
      <c r="N148" s="6">
        <v>715</v>
      </c>
      <c r="O148" s="6">
        <v>94000</v>
      </c>
      <c r="P148" s="6" t="s">
        <v>26</v>
      </c>
      <c r="Q148" s="6" t="s">
        <v>27</v>
      </c>
      <c r="R148" s="6">
        <v>0</v>
      </c>
      <c r="S148" s="6" t="s">
        <v>28</v>
      </c>
      <c r="T148" s="7">
        <f t="shared" si="10"/>
        <v>0.19894255319148935</v>
      </c>
      <c r="U148" s="6">
        <f t="shared" si="11"/>
        <v>5</v>
      </c>
      <c r="V148" s="5" t="str">
        <f t="shared" si="12"/>
        <v>GOOD</v>
      </c>
      <c r="W148" s="6" t="str">
        <f t="shared" si="13"/>
        <v>35-44</v>
      </c>
      <c r="X148" s="6" t="str">
        <f t="shared" si="14"/>
        <v>Lower-Middle</v>
      </c>
    </row>
    <row r="149" spans="1:24">
      <c r="A149" s="6" t="s">
        <v>474</v>
      </c>
      <c r="B149" s="6" t="s">
        <v>590</v>
      </c>
      <c r="C149" s="6" t="s">
        <v>46</v>
      </c>
      <c r="D149" s="6" t="s">
        <v>345</v>
      </c>
      <c r="E149" s="6" t="s">
        <v>346</v>
      </c>
      <c r="F149" s="6">
        <v>43</v>
      </c>
      <c r="G149" s="6" t="s">
        <v>24</v>
      </c>
      <c r="H149" s="6" t="s">
        <v>591</v>
      </c>
      <c r="I149" s="6" t="s">
        <v>3655</v>
      </c>
      <c r="J149" s="8">
        <v>43746</v>
      </c>
      <c r="K149" s="8">
        <v>45302</v>
      </c>
      <c r="L149" s="6">
        <v>73400.25</v>
      </c>
      <c r="M149" s="6">
        <v>28900.400000000001</v>
      </c>
      <c r="N149" s="6">
        <v>680</v>
      </c>
      <c r="O149" s="6">
        <v>123000</v>
      </c>
      <c r="P149" s="6" t="s">
        <v>26</v>
      </c>
      <c r="Q149" s="6" t="s">
        <v>27</v>
      </c>
      <c r="R149" s="6">
        <v>0</v>
      </c>
      <c r="S149" s="6" t="s">
        <v>28</v>
      </c>
      <c r="T149" s="7">
        <f t="shared" si="10"/>
        <v>0.23496260162601626</v>
      </c>
      <c r="U149" s="6">
        <f t="shared" si="11"/>
        <v>4</v>
      </c>
      <c r="V149" s="5" t="str">
        <f t="shared" si="12"/>
        <v>GOOD</v>
      </c>
      <c r="W149" s="6" t="str">
        <f t="shared" si="13"/>
        <v>35-44</v>
      </c>
      <c r="X149" s="6" t="str">
        <f t="shared" si="14"/>
        <v>Lower-Middle</v>
      </c>
    </row>
    <row r="150" spans="1:24">
      <c r="A150" s="6" t="s">
        <v>592</v>
      </c>
      <c r="B150" s="6" t="s">
        <v>593</v>
      </c>
      <c r="C150" s="6" t="s">
        <v>84</v>
      </c>
      <c r="D150" s="6" t="s">
        <v>32</v>
      </c>
      <c r="E150" s="6" t="s">
        <v>33</v>
      </c>
      <c r="F150" s="6">
        <v>23</v>
      </c>
      <c r="G150" s="6" t="s">
        <v>34</v>
      </c>
      <c r="H150" s="6" t="s">
        <v>594</v>
      </c>
      <c r="I150" s="6" t="s">
        <v>3544</v>
      </c>
      <c r="J150" s="8">
        <v>45187</v>
      </c>
      <c r="K150" s="8">
        <v>45304</v>
      </c>
      <c r="L150" s="6">
        <v>1950.4</v>
      </c>
      <c r="M150" s="6">
        <v>9200.75</v>
      </c>
      <c r="N150" s="6">
        <v>610</v>
      </c>
      <c r="O150" s="6">
        <v>19000</v>
      </c>
      <c r="P150" s="6" t="s">
        <v>76</v>
      </c>
      <c r="Q150" s="6" t="s">
        <v>43</v>
      </c>
      <c r="R150" s="6">
        <v>0</v>
      </c>
      <c r="S150" s="6" t="s">
        <v>28</v>
      </c>
      <c r="T150" s="7">
        <f t="shared" si="10"/>
        <v>0.48425000000000001</v>
      </c>
      <c r="U150" s="6">
        <f t="shared" si="11"/>
        <v>2</v>
      </c>
      <c r="V150" s="5" t="str">
        <f t="shared" si="12"/>
        <v>FAIR</v>
      </c>
      <c r="W150" s="6" t="str">
        <f t="shared" si="13"/>
        <v>18-24</v>
      </c>
      <c r="X150" s="6" t="str">
        <f t="shared" si="14"/>
        <v>Low</v>
      </c>
    </row>
    <row r="151" spans="1:24">
      <c r="A151" s="6" t="s">
        <v>595</v>
      </c>
      <c r="B151" s="6" t="s">
        <v>596</v>
      </c>
      <c r="C151" s="6" t="s">
        <v>21</v>
      </c>
      <c r="D151" s="6" t="s">
        <v>209</v>
      </c>
      <c r="E151" s="6" t="s">
        <v>210</v>
      </c>
      <c r="F151" s="6">
        <v>55</v>
      </c>
      <c r="G151" s="6" t="s">
        <v>24</v>
      </c>
      <c r="H151" s="6" t="s">
        <v>597</v>
      </c>
      <c r="I151" s="6" t="s">
        <v>3656</v>
      </c>
      <c r="J151" s="8">
        <v>42916</v>
      </c>
      <c r="K151" s="8">
        <v>45299</v>
      </c>
      <c r="L151" s="6">
        <v>287600.8</v>
      </c>
      <c r="M151" s="6">
        <v>78000.25</v>
      </c>
      <c r="N151" s="6">
        <v>825</v>
      </c>
      <c r="O151" s="6">
        <v>275000</v>
      </c>
      <c r="P151" s="6" t="s">
        <v>36</v>
      </c>
      <c r="Q151" s="6" t="s">
        <v>27</v>
      </c>
      <c r="R151" s="6">
        <v>0</v>
      </c>
      <c r="S151" s="6" t="s">
        <v>28</v>
      </c>
      <c r="T151" s="7">
        <f t="shared" si="10"/>
        <v>0.28363727272727274</v>
      </c>
      <c r="U151" s="6">
        <f t="shared" si="11"/>
        <v>7</v>
      </c>
      <c r="V151" s="5" t="str">
        <f t="shared" si="12"/>
        <v>EXCEPTIONAL</v>
      </c>
      <c r="W151" s="6" t="str">
        <f t="shared" si="13"/>
        <v>55+</v>
      </c>
      <c r="X151" s="6" t="str">
        <f t="shared" si="14"/>
        <v>High</v>
      </c>
    </row>
    <row r="152" spans="1:24">
      <c r="A152" s="6" t="s">
        <v>226</v>
      </c>
      <c r="B152" s="6" t="s">
        <v>598</v>
      </c>
      <c r="C152" s="6" t="s">
        <v>57</v>
      </c>
      <c r="D152" s="6" t="s">
        <v>228</v>
      </c>
      <c r="E152" s="6" t="s">
        <v>229</v>
      </c>
      <c r="F152" s="6">
        <v>30</v>
      </c>
      <c r="G152" s="6" t="s">
        <v>34</v>
      </c>
      <c r="H152" s="6" t="s">
        <v>599</v>
      </c>
      <c r="I152" s="6" t="s">
        <v>3657</v>
      </c>
      <c r="J152" s="8">
        <v>44632</v>
      </c>
      <c r="K152" s="8">
        <v>45305</v>
      </c>
      <c r="L152" s="6">
        <v>12300.75</v>
      </c>
      <c r="M152" s="6">
        <v>5200.3999999999996</v>
      </c>
      <c r="N152" s="6">
        <v>725</v>
      </c>
      <c r="O152" s="6">
        <v>51000</v>
      </c>
      <c r="P152" s="6" t="s">
        <v>36</v>
      </c>
      <c r="Q152" s="6" t="s">
        <v>27</v>
      </c>
      <c r="R152" s="6">
        <v>0</v>
      </c>
      <c r="S152" s="6" t="s">
        <v>28</v>
      </c>
      <c r="T152" s="7">
        <f t="shared" si="10"/>
        <v>0.10196862745098038</v>
      </c>
      <c r="U152" s="6">
        <f t="shared" si="11"/>
        <v>1</v>
      </c>
      <c r="V152" s="5" t="str">
        <f t="shared" si="12"/>
        <v>GOOD</v>
      </c>
      <c r="W152" s="6" t="str">
        <f t="shared" si="13"/>
        <v>25-34</v>
      </c>
      <c r="X152" s="6" t="str">
        <f t="shared" si="14"/>
        <v>Low</v>
      </c>
    </row>
    <row r="153" spans="1:24">
      <c r="A153" s="6" t="s">
        <v>488</v>
      </c>
      <c r="B153" s="6" t="s">
        <v>600</v>
      </c>
      <c r="C153" s="6" t="s">
        <v>39</v>
      </c>
      <c r="D153" s="6" t="s">
        <v>304</v>
      </c>
      <c r="E153" s="6" t="s">
        <v>304</v>
      </c>
      <c r="F153" s="6">
        <v>47</v>
      </c>
      <c r="G153" s="6" t="s">
        <v>24</v>
      </c>
      <c r="H153" s="6" t="s">
        <v>601</v>
      </c>
      <c r="I153" s="6" t="s">
        <v>3658</v>
      </c>
      <c r="J153" s="8">
        <v>43378</v>
      </c>
      <c r="K153" s="8">
        <v>45300</v>
      </c>
      <c r="L153" s="6">
        <v>167800.6</v>
      </c>
      <c r="M153" s="6">
        <v>78000.899999999994</v>
      </c>
      <c r="N153" s="6">
        <v>675</v>
      </c>
      <c r="O153" s="6">
        <v>175000</v>
      </c>
      <c r="P153" s="6" t="s">
        <v>76</v>
      </c>
      <c r="Q153" s="6" t="s">
        <v>27</v>
      </c>
      <c r="R153" s="6">
        <v>0</v>
      </c>
      <c r="S153" s="6" t="s">
        <v>28</v>
      </c>
      <c r="T153" s="7">
        <f t="shared" si="10"/>
        <v>0.44571942857142854</v>
      </c>
      <c r="U153" s="6">
        <f t="shared" si="11"/>
        <v>6</v>
      </c>
      <c r="V153" s="5" t="str">
        <f t="shared" si="12"/>
        <v>GOOD</v>
      </c>
      <c r="W153" s="6" t="str">
        <f t="shared" si="13"/>
        <v>45-54</v>
      </c>
      <c r="X153" s="6" t="str">
        <f t="shared" si="14"/>
        <v>Upper-Middle</v>
      </c>
    </row>
    <row r="154" spans="1:24">
      <c r="A154" s="6" t="s">
        <v>491</v>
      </c>
      <c r="B154" s="6" t="s">
        <v>602</v>
      </c>
      <c r="C154" s="6" t="s">
        <v>52</v>
      </c>
      <c r="D154" s="6" t="s">
        <v>493</v>
      </c>
      <c r="E154" s="6" t="s">
        <v>603</v>
      </c>
      <c r="F154" s="6">
        <v>38</v>
      </c>
      <c r="G154" s="6" t="s">
        <v>34</v>
      </c>
      <c r="H154" s="6" t="s">
        <v>604</v>
      </c>
      <c r="I154" s="6" t="s">
        <v>3659</v>
      </c>
      <c r="J154" s="8">
        <v>44150</v>
      </c>
      <c r="K154" s="8">
        <v>45302</v>
      </c>
      <c r="L154" s="6">
        <v>39800.400000000001</v>
      </c>
      <c r="M154" s="6">
        <v>14500.25</v>
      </c>
      <c r="N154" s="6">
        <v>705</v>
      </c>
      <c r="O154" s="6">
        <v>83000</v>
      </c>
      <c r="P154" s="6" t="s">
        <v>26</v>
      </c>
      <c r="Q154" s="6" t="s">
        <v>27</v>
      </c>
      <c r="R154" s="6">
        <v>0</v>
      </c>
      <c r="S154" s="6" t="s">
        <v>28</v>
      </c>
      <c r="T154" s="7">
        <f t="shared" si="10"/>
        <v>0.17470180722891565</v>
      </c>
      <c r="U154" s="6">
        <f t="shared" si="11"/>
        <v>4</v>
      </c>
      <c r="V154" s="5" t="str">
        <f t="shared" si="12"/>
        <v>GOOD</v>
      </c>
      <c r="W154" s="6" t="str">
        <f t="shared" si="13"/>
        <v>35-44</v>
      </c>
      <c r="X154" s="6" t="str">
        <f t="shared" si="14"/>
        <v>Lower-Middle</v>
      </c>
    </row>
    <row r="155" spans="1:24">
      <c r="A155" s="6" t="s">
        <v>496</v>
      </c>
      <c r="B155" s="6" t="s">
        <v>605</v>
      </c>
      <c r="C155" s="6" t="s">
        <v>46</v>
      </c>
      <c r="D155" s="6" t="s">
        <v>321</v>
      </c>
      <c r="E155" s="6" t="s">
        <v>322</v>
      </c>
      <c r="F155" s="6">
        <v>41</v>
      </c>
      <c r="G155" s="6" t="s">
        <v>24</v>
      </c>
      <c r="H155" s="6" t="s">
        <v>606</v>
      </c>
      <c r="I155" s="6" t="s">
        <v>3660</v>
      </c>
      <c r="J155" s="8">
        <v>43668</v>
      </c>
      <c r="K155" s="8">
        <v>45301</v>
      </c>
      <c r="L155" s="6">
        <v>86700.75</v>
      </c>
      <c r="M155" s="6">
        <v>35600.800000000003</v>
      </c>
      <c r="N155" s="6">
        <v>730</v>
      </c>
      <c r="O155" s="6">
        <v>149000</v>
      </c>
      <c r="P155" s="6" t="s">
        <v>26</v>
      </c>
      <c r="Q155" s="6" t="s">
        <v>27</v>
      </c>
      <c r="R155" s="6">
        <v>0</v>
      </c>
      <c r="S155" s="6" t="s">
        <v>28</v>
      </c>
      <c r="T155" s="7">
        <f t="shared" si="10"/>
        <v>0.23893154362416108</v>
      </c>
      <c r="U155" s="6">
        <f t="shared" si="11"/>
        <v>5</v>
      </c>
      <c r="V155" s="5" t="str">
        <f t="shared" si="12"/>
        <v>GOOD</v>
      </c>
      <c r="W155" s="6" t="str">
        <f t="shared" si="13"/>
        <v>35-44</v>
      </c>
      <c r="X155" s="6" t="str">
        <f t="shared" si="14"/>
        <v>Upper-Middle</v>
      </c>
    </row>
    <row r="156" spans="1:24">
      <c r="A156" s="6" t="s">
        <v>324</v>
      </c>
      <c r="B156" s="6" t="s">
        <v>607</v>
      </c>
      <c r="C156" s="6" t="s">
        <v>31</v>
      </c>
      <c r="D156" s="6" t="s">
        <v>313</v>
      </c>
      <c r="E156" s="6" t="s">
        <v>385</v>
      </c>
      <c r="F156" s="6">
        <v>26</v>
      </c>
      <c r="G156" s="6" t="s">
        <v>34</v>
      </c>
      <c r="H156" s="6" t="s">
        <v>608</v>
      </c>
      <c r="I156" s="6" t="s">
        <v>3661</v>
      </c>
      <c r="J156" s="8">
        <v>44993</v>
      </c>
      <c r="K156" s="8">
        <v>45306</v>
      </c>
      <c r="L156" s="6">
        <v>7800.9</v>
      </c>
      <c r="M156" s="6">
        <v>4500.75</v>
      </c>
      <c r="N156" s="6">
        <v>685</v>
      </c>
      <c r="O156" s="6">
        <v>36000</v>
      </c>
      <c r="P156" s="6" t="s">
        <v>26</v>
      </c>
      <c r="Q156" s="6" t="s">
        <v>43</v>
      </c>
      <c r="R156" s="6">
        <v>0</v>
      </c>
      <c r="S156" s="6" t="s">
        <v>28</v>
      </c>
      <c r="T156" s="7">
        <f t="shared" si="10"/>
        <v>0.12502083333333333</v>
      </c>
      <c r="U156" s="6">
        <f t="shared" si="11"/>
        <v>0</v>
      </c>
      <c r="V156" s="5" t="str">
        <f t="shared" si="12"/>
        <v>GOOD</v>
      </c>
      <c r="W156" s="6" t="str">
        <f t="shared" si="13"/>
        <v>25-34</v>
      </c>
      <c r="X156" s="6" t="str">
        <f t="shared" si="14"/>
        <v>Low</v>
      </c>
    </row>
    <row r="157" spans="1:24">
      <c r="A157" s="6" t="s">
        <v>503</v>
      </c>
      <c r="B157" s="6" t="s">
        <v>609</v>
      </c>
      <c r="C157" s="6" t="s">
        <v>21</v>
      </c>
      <c r="D157" s="6" t="s">
        <v>32</v>
      </c>
      <c r="E157" s="6" t="s">
        <v>33</v>
      </c>
      <c r="F157" s="6">
        <v>58</v>
      </c>
      <c r="G157" s="6" t="s">
        <v>24</v>
      </c>
      <c r="H157" s="6" t="s">
        <v>610</v>
      </c>
      <c r="I157" s="6" t="s">
        <v>3555</v>
      </c>
      <c r="J157" s="8">
        <v>42628</v>
      </c>
      <c r="K157" s="8">
        <v>45299</v>
      </c>
      <c r="L157" s="6">
        <v>298500.25</v>
      </c>
      <c r="M157" s="6">
        <v>82000.399999999994</v>
      </c>
      <c r="N157" s="6">
        <v>840</v>
      </c>
      <c r="O157" s="6">
        <v>290000</v>
      </c>
      <c r="P157" s="6" t="s">
        <v>36</v>
      </c>
      <c r="Q157" s="6" t="s">
        <v>27</v>
      </c>
      <c r="R157" s="6">
        <v>0</v>
      </c>
      <c r="S157" s="6" t="s">
        <v>28</v>
      </c>
      <c r="T157" s="7">
        <f t="shared" si="10"/>
        <v>0.28275999999999996</v>
      </c>
      <c r="U157" s="6">
        <f t="shared" si="11"/>
        <v>7</v>
      </c>
      <c r="V157" s="5" t="str">
        <f t="shared" si="12"/>
        <v>EXCEPTIONAL</v>
      </c>
      <c r="W157" s="6" t="str">
        <f t="shared" si="13"/>
        <v>55+</v>
      </c>
      <c r="X157" s="6" t="str">
        <f t="shared" si="14"/>
        <v>High</v>
      </c>
    </row>
    <row r="158" spans="1:24">
      <c r="A158" s="6" t="s">
        <v>506</v>
      </c>
      <c r="B158" s="6" t="s">
        <v>611</v>
      </c>
      <c r="C158" s="6" t="s">
        <v>39</v>
      </c>
      <c r="D158" s="6" t="s">
        <v>68</v>
      </c>
      <c r="E158" s="6" t="s">
        <v>179</v>
      </c>
      <c r="F158" s="6">
        <v>50</v>
      </c>
      <c r="G158" s="6" t="s">
        <v>34</v>
      </c>
      <c r="H158" s="6" t="s">
        <v>612</v>
      </c>
      <c r="I158" s="6" t="s">
        <v>3639</v>
      </c>
      <c r="J158" s="8">
        <v>43159</v>
      </c>
      <c r="K158" s="8">
        <v>45300</v>
      </c>
      <c r="L158" s="6">
        <v>178900.4</v>
      </c>
      <c r="M158" s="6">
        <v>82000.75</v>
      </c>
      <c r="N158" s="6">
        <v>650</v>
      </c>
      <c r="O158" s="6">
        <v>185000</v>
      </c>
      <c r="P158" s="6" t="s">
        <v>76</v>
      </c>
      <c r="Q158" s="6" t="s">
        <v>27</v>
      </c>
      <c r="R158" s="6">
        <v>0</v>
      </c>
      <c r="S158" s="6" t="s">
        <v>28</v>
      </c>
      <c r="T158" s="7">
        <f t="shared" si="10"/>
        <v>0.44324729729729728</v>
      </c>
      <c r="U158" s="6">
        <f t="shared" si="11"/>
        <v>6</v>
      </c>
      <c r="V158" s="5" t="str">
        <f t="shared" si="12"/>
        <v>FAIR</v>
      </c>
      <c r="W158" s="6" t="str">
        <f t="shared" si="13"/>
        <v>45-54</v>
      </c>
      <c r="X158" s="6" t="str">
        <f t="shared" si="14"/>
        <v>Upper-Middle</v>
      </c>
    </row>
    <row r="159" spans="1:24">
      <c r="A159" s="6" t="s">
        <v>509</v>
      </c>
      <c r="B159" s="6" t="s">
        <v>613</v>
      </c>
      <c r="C159" s="6" t="s">
        <v>46</v>
      </c>
      <c r="D159" s="6" t="s">
        <v>73</v>
      </c>
      <c r="E159" s="6" t="s">
        <v>74</v>
      </c>
      <c r="F159" s="6">
        <v>37</v>
      </c>
      <c r="G159" s="6" t="s">
        <v>24</v>
      </c>
      <c r="H159" s="6" t="s">
        <v>614</v>
      </c>
      <c r="I159" s="6" t="s">
        <v>3662</v>
      </c>
      <c r="J159" s="8">
        <v>44362</v>
      </c>
      <c r="K159" s="8">
        <v>45303</v>
      </c>
      <c r="L159" s="6">
        <v>74500.399999999994</v>
      </c>
      <c r="M159" s="6">
        <v>29800.25</v>
      </c>
      <c r="N159" s="6">
        <v>745</v>
      </c>
      <c r="O159" s="6">
        <v>129000</v>
      </c>
      <c r="P159" s="6" t="s">
        <v>26</v>
      </c>
      <c r="Q159" s="6" t="s">
        <v>27</v>
      </c>
      <c r="R159" s="6">
        <v>0</v>
      </c>
      <c r="S159" s="6" t="s">
        <v>28</v>
      </c>
      <c r="T159" s="7">
        <f t="shared" si="10"/>
        <v>0.23100968992248061</v>
      </c>
      <c r="U159" s="6">
        <f t="shared" si="11"/>
        <v>3</v>
      </c>
      <c r="V159" s="5" t="str">
        <f t="shared" si="12"/>
        <v>GOOD</v>
      </c>
      <c r="W159" s="6" t="str">
        <f t="shared" si="13"/>
        <v>35-44</v>
      </c>
      <c r="X159" s="6" t="str">
        <f t="shared" si="14"/>
        <v>Upper-Middle</v>
      </c>
    </row>
    <row r="160" spans="1:24">
      <c r="A160" s="6" t="s">
        <v>513</v>
      </c>
      <c r="B160" s="6" t="s">
        <v>615</v>
      </c>
      <c r="C160" s="6" t="s">
        <v>57</v>
      </c>
      <c r="D160" s="6" t="s">
        <v>58</v>
      </c>
      <c r="E160" s="6" t="s">
        <v>59</v>
      </c>
      <c r="F160" s="6">
        <v>32</v>
      </c>
      <c r="G160" s="6" t="s">
        <v>34</v>
      </c>
      <c r="H160" s="6" t="s">
        <v>616</v>
      </c>
      <c r="I160" s="6" t="s">
        <v>3663</v>
      </c>
      <c r="J160" s="8">
        <v>44552</v>
      </c>
      <c r="K160" s="8">
        <v>45302</v>
      </c>
      <c r="L160" s="6">
        <v>14500.8</v>
      </c>
      <c r="M160" s="6">
        <v>6200.9</v>
      </c>
      <c r="N160" s="6">
        <v>765</v>
      </c>
      <c r="O160" s="6">
        <v>61000</v>
      </c>
      <c r="P160" s="6" t="s">
        <v>36</v>
      </c>
      <c r="Q160" s="6" t="s">
        <v>27</v>
      </c>
      <c r="R160" s="6">
        <v>0</v>
      </c>
      <c r="S160" s="6" t="s">
        <v>28</v>
      </c>
      <c r="T160" s="7">
        <f t="shared" si="10"/>
        <v>0.10165409836065573</v>
      </c>
      <c r="U160" s="6">
        <f t="shared" si="11"/>
        <v>4</v>
      </c>
      <c r="V160" s="5" t="str">
        <f t="shared" si="12"/>
        <v>VERY GOOD</v>
      </c>
      <c r="W160" s="6" t="str">
        <f t="shared" si="13"/>
        <v>25-34</v>
      </c>
      <c r="X160" s="6" t="str">
        <f t="shared" si="14"/>
        <v>Low</v>
      </c>
    </row>
    <row r="161" spans="1:24">
      <c r="A161" s="6" t="s">
        <v>516</v>
      </c>
      <c r="B161" s="6" t="s">
        <v>617</v>
      </c>
      <c r="C161" s="6" t="s">
        <v>52</v>
      </c>
      <c r="D161" s="6" t="s">
        <v>277</v>
      </c>
      <c r="E161" s="6" t="s">
        <v>404</v>
      </c>
      <c r="F161" s="6">
        <v>45</v>
      </c>
      <c r="G161" s="6" t="s">
        <v>24</v>
      </c>
      <c r="H161" s="6" t="s">
        <v>618</v>
      </c>
      <c r="I161" s="6" t="s">
        <v>3664</v>
      </c>
      <c r="J161" s="8">
        <v>43743</v>
      </c>
      <c r="K161" s="8">
        <v>45301</v>
      </c>
      <c r="L161" s="6">
        <v>47800.75</v>
      </c>
      <c r="M161" s="6">
        <v>20900.400000000001</v>
      </c>
      <c r="N161" s="6">
        <v>675</v>
      </c>
      <c r="O161" s="6">
        <v>101000</v>
      </c>
      <c r="P161" s="6" t="s">
        <v>26</v>
      </c>
      <c r="Q161" s="6" t="s">
        <v>27</v>
      </c>
      <c r="R161" s="6">
        <v>0</v>
      </c>
      <c r="S161" s="6" t="s">
        <v>28</v>
      </c>
      <c r="T161" s="7">
        <f t="shared" si="10"/>
        <v>0.20693465346534654</v>
      </c>
      <c r="U161" s="6">
        <f t="shared" si="11"/>
        <v>5</v>
      </c>
      <c r="V161" s="5" t="str">
        <f t="shared" si="12"/>
        <v>GOOD</v>
      </c>
      <c r="W161" s="6" t="str">
        <f t="shared" si="13"/>
        <v>45-54</v>
      </c>
      <c r="X161" s="6" t="str">
        <f t="shared" si="14"/>
        <v>Lower-Middle</v>
      </c>
    </row>
    <row r="162" spans="1:24">
      <c r="A162" s="6" t="s">
        <v>519</v>
      </c>
      <c r="B162" s="6" t="s">
        <v>619</v>
      </c>
      <c r="C162" s="6" t="s">
        <v>84</v>
      </c>
      <c r="D162" s="6" t="s">
        <v>183</v>
      </c>
      <c r="E162" s="6" t="s">
        <v>273</v>
      </c>
      <c r="F162" s="6">
        <v>24</v>
      </c>
      <c r="G162" s="6" t="s">
        <v>34</v>
      </c>
      <c r="H162" s="6" t="s">
        <v>620</v>
      </c>
      <c r="I162" s="6" t="s">
        <v>3665</v>
      </c>
      <c r="J162" s="8">
        <v>45163</v>
      </c>
      <c r="K162" s="8">
        <v>45304</v>
      </c>
      <c r="L162" s="6">
        <v>2200.25</v>
      </c>
      <c r="M162" s="6">
        <v>10200.6</v>
      </c>
      <c r="N162" s="6">
        <v>615</v>
      </c>
      <c r="O162" s="6">
        <v>21000</v>
      </c>
      <c r="P162" s="6" t="s">
        <v>76</v>
      </c>
      <c r="Q162" s="6" t="s">
        <v>43</v>
      </c>
      <c r="R162" s="6">
        <v>0</v>
      </c>
      <c r="S162" s="6" t="s">
        <v>28</v>
      </c>
      <c r="T162" s="7">
        <f t="shared" si="10"/>
        <v>0.48574285714285714</v>
      </c>
      <c r="U162" s="6">
        <f t="shared" si="11"/>
        <v>2</v>
      </c>
      <c r="V162" s="5" t="str">
        <f t="shared" si="12"/>
        <v>FAIR</v>
      </c>
      <c r="W162" s="6" t="str">
        <f t="shared" si="13"/>
        <v>18-24</v>
      </c>
      <c r="X162" s="6" t="str">
        <f t="shared" si="14"/>
        <v>Low</v>
      </c>
    </row>
    <row r="163" spans="1:24">
      <c r="A163" s="6" t="s">
        <v>522</v>
      </c>
      <c r="B163" s="6" t="s">
        <v>621</v>
      </c>
      <c r="C163" s="6" t="s">
        <v>39</v>
      </c>
      <c r="D163" s="6" t="s">
        <v>40</v>
      </c>
      <c r="E163" s="6" t="s">
        <v>41</v>
      </c>
      <c r="F163" s="6">
        <v>52</v>
      </c>
      <c r="G163" s="6" t="s">
        <v>24</v>
      </c>
      <c r="H163" s="6" t="s">
        <v>622</v>
      </c>
      <c r="I163" s="6" t="s">
        <v>3532</v>
      </c>
      <c r="J163" s="8">
        <v>43087</v>
      </c>
      <c r="K163" s="8">
        <v>45299</v>
      </c>
      <c r="L163" s="6">
        <v>213500.79999999999</v>
      </c>
      <c r="M163" s="6">
        <v>95000.25</v>
      </c>
      <c r="N163" s="6">
        <v>660</v>
      </c>
      <c r="O163" s="6">
        <v>220000</v>
      </c>
      <c r="P163" s="6" t="s">
        <v>76</v>
      </c>
      <c r="Q163" s="6" t="s">
        <v>27</v>
      </c>
      <c r="R163" s="6">
        <v>0</v>
      </c>
      <c r="S163" s="6" t="s">
        <v>28</v>
      </c>
      <c r="T163" s="7">
        <f t="shared" si="10"/>
        <v>0.43181931818181818</v>
      </c>
      <c r="U163" s="6">
        <f t="shared" si="11"/>
        <v>7</v>
      </c>
      <c r="V163" s="5" t="str">
        <f t="shared" si="12"/>
        <v>FAIR</v>
      </c>
      <c r="W163" s="6" t="str">
        <f t="shared" si="13"/>
        <v>45-54</v>
      </c>
      <c r="X163" s="6" t="str">
        <f t="shared" si="14"/>
        <v>High</v>
      </c>
    </row>
    <row r="164" spans="1:24">
      <c r="A164" s="6" t="s">
        <v>306</v>
      </c>
      <c r="B164" s="6" t="s">
        <v>623</v>
      </c>
      <c r="C164" s="6" t="s">
        <v>46</v>
      </c>
      <c r="D164" s="6" t="s">
        <v>209</v>
      </c>
      <c r="E164" s="6" t="s">
        <v>447</v>
      </c>
      <c r="F164" s="6">
        <v>39</v>
      </c>
      <c r="G164" s="6" t="s">
        <v>34</v>
      </c>
      <c r="H164" s="6" t="s">
        <v>624</v>
      </c>
      <c r="I164" s="6" t="s">
        <v>3666</v>
      </c>
      <c r="J164" s="8">
        <v>43959</v>
      </c>
      <c r="K164" s="8">
        <v>45302</v>
      </c>
      <c r="L164" s="6">
        <v>68900.899999999994</v>
      </c>
      <c r="M164" s="6">
        <v>26700.75</v>
      </c>
      <c r="N164" s="6">
        <v>730</v>
      </c>
      <c r="O164" s="6">
        <v>124000</v>
      </c>
      <c r="P164" s="6" t="s">
        <v>26</v>
      </c>
      <c r="Q164" s="6" t="s">
        <v>27</v>
      </c>
      <c r="R164" s="6">
        <v>0</v>
      </c>
      <c r="S164" s="6" t="s">
        <v>28</v>
      </c>
      <c r="T164" s="7">
        <f t="shared" si="10"/>
        <v>0.21532862903225805</v>
      </c>
      <c r="U164" s="6">
        <f t="shared" si="11"/>
        <v>4</v>
      </c>
      <c r="V164" s="5" t="str">
        <f t="shared" si="12"/>
        <v>GOOD</v>
      </c>
      <c r="W164" s="6" t="str">
        <f t="shared" si="13"/>
        <v>35-44</v>
      </c>
      <c r="X164" s="6" t="str">
        <f t="shared" si="14"/>
        <v>Lower-Middle</v>
      </c>
    </row>
    <row r="165" spans="1:24">
      <c r="A165" s="6" t="s">
        <v>527</v>
      </c>
      <c r="B165" s="6" t="s">
        <v>625</v>
      </c>
      <c r="C165" s="6" t="s">
        <v>31</v>
      </c>
      <c r="D165" s="6" t="s">
        <v>32</v>
      </c>
      <c r="E165" s="6" t="s">
        <v>90</v>
      </c>
      <c r="F165" s="6">
        <v>28</v>
      </c>
      <c r="G165" s="6" t="s">
        <v>34</v>
      </c>
      <c r="H165" s="6" t="s">
        <v>626</v>
      </c>
      <c r="I165" s="6" t="s">
        <v>3667</v>
      </c>
      <c r="J165" s="8">
        <v>45031</v>
      </c>
      <c r="K165" s="8">
        <v>45305</v>
      </c>
      <c r="L165" s="6">
        <v>9200.4</v>
      </c>
      <c r="M165" s="6">
        <v>5400.25</v>
      </c>
      <c r="N165" s="6">
        <v>705</v>
      </c>
      <c r="O165" s="6">
        <v>38000</v>
      </c>
      <c r="P165" s="6" t="s">
        <v>26</v>
      </c>
      <c r="Q165" s="6" t="s">
        <v>43</v>
      </c>
      <c r="R165" s="6">
        <v>0</v>
      </c>
      <c r="S165" s="6" t="s">
        <v>28</v>
      </c>
      <c r="T165" s="7">
        <f t="shared" si="10"/>
        <v>0.14211184210526315</v>
      </c>
      <c r="U165" s="6">
        <f t="shared" si="11"/>
        <v>1</v>
      </c>
      <c r="V165" s="5" t="str">
        <f t="shared" si="12"/>
        <v>GOOD</v>
      </c>
      <c r="W165" s="6" t="str">
        <f t="shared" si="13"/>
        <v>25-34</v>
      </c>
      <c r="X165" s="6" t="str">
        <f t="shared" si="14"/>
        <v>Low</v>
      </c>
    </row>
    <row r="166" spans="1:24">
      <c r="A166" s="6" t="s">
        <v>530</v>
      </c>
      <c r="B166" s="6" t="s">
        <v>627</v>
      </c>
      <c r="C166" s="6" t="s">
        <v>57</v>
      </c>
      <c r="D166" s="6" t="s">
        <v>219</v>
      </c>
      <c r="E166" s="6" t="s">
        <v>220</v>
      </c>
      <c r="F166" s="6">
        <v>33</v>
      </c>
      <c r="G166" s="6" t="s">
        <v>24</v>
      </c>
      <c r="H166" s="6" t="s">
        <v>628</v>
      </c>
      <c r="I166" s="6" t="s">
        <v>3668</v>
      </c>
      <c r="J166" s="8">
        <v>44512</v>
      </c>
      <c r="K166" s="8">
        <v>45303</v>
      </c>
      <c r="L166" s="6">
        <v>13400.6</v>
      </c>
      <c r="M166" s="6">
        <v>5800.8</v>
      </c>
      <c r="N166" s="6">
        <v>710</v>
      </c>
      <c r="O166" s="6">
        <v>54000</v>
      </c>
      <c r="P166" s="6" t="s">
        <v>36</v>
      </c>
      <c r="Q166" s="6" t="s">
        <v>27</v>
      </c>
      <c r="R166" s="6">
        <v>0</v>
      </c>
      <c r="S166" s="6" t="s">
        <v>28</v>
      </c>
      <c r="T166" s="7">
        <f t="shared" si="10"/>
        <v>0.10742222222222222</v>
      </c>
      <c r="U166" s="6">
        <f t="shared" si="11"/>
        <v>3</v>
      </c>
      <c r="V166" s="5" t="str">
        <f t="shared" si="12"/>
        <v>GOOD</v>
      </c>
      <c r="W166" s="6" t="str">
        <f t="shared" si="13"/>
        <v>25-34</v>
      </c>
      <c r="X166" s="6" t="str">
        <f t="shared" si="14"/>
        <v>Low</v>
      </c>
    </row>
    <row r="167" spans="1:24">
      <c r="A167" s="6" t="s">
        <v>533</v>
      </c>
      <c r="B167" s="6" t="s">
        <v>629</v>
      </c>
      <c r="C167" s="6" t="s">
        <v>52</v>
      </c>
      <c r="D167" s="6" t="s">
        <v>204</v>
      </c>
      <c r="E167" s="6" t="s">
        <v>259</v>
      </c>
      <c r="F167" s="6">
        <v>40</v>
      </c>
      <c r="G167" s="6" t="s">
        <v>34</v>
      </c>
      <c r="H167" s="6" t="s">
        <v>630</v>
      </c>
      <c r="I167" s="6" t="s">
        <v>3669</v>
      </c>
      <c r="J167" s="8">
        <v>43827</v>
      </c>
      <c r="K167" s="8">
        <v>45301</v>
      </c>
      <c r="L167" s="6">
        <v>44500.25</v>
      </c>
      <c r="M167" s="6">
        <v>17800.900000000001</v>
      </c>
      <c r="N167" s="6">
        <v>695</v>
      </c>
      <c r="O167" s="6">
        <v>89000</v>
      </c>
      <c r="P167" s="6" t="s">
        <v>26</v>
      </c>
      <c r="Q167" s="6" t="s">
        <v>27</v>
      </c>
      <c r="R167" s="6">
        <v>0</v>
      </c>
      <c r="S167" s="6" t="s">
        <v>28</v>
      </c>
      <c r="T167" s="7">
        <f t="shared" si="10"/>
        <v>0.20001011235955057</v>
      </c>
      <c r="U167" s="6">
        <f t="shared" si="11"/>
        <v>5</v>
      </c>
      <c r="V167" s="5" t="str">
        <f t="shared" si="12"/>
        <v>GOOD</v>
      </c>
      <c r="W167" s="6" t="str">
        <f t="shared" si="13"/>
        <v>35-44</v>
      </c>
      <c r="X167" s="6" t="str">
        <f t="shared" si="14"/>
        <v>Lower-Middle</v>
      </c>
    </row>
    <row r="168" spans="1:24">
      <c r="A168" s="6" t="s">
        <v>536</v>
      </c>
      <c r="B168" s="6" t="s">
        <v>631</v>
      </c>
      <c r="C168" s="6" t="s">
        <v>39</v>
      </c>
      <c r="D168" s="6" t="s">
        <v>195</v>
      </c>
      <c r="E168" s="6" t="s">
        <v>300</v>
      </c>
      <c r="F168" s="6">
        <v>48</v>
      </c>
      <c r="G168" s="6" t="s">
        <v>24</v>
      </c>
      <c r="H168" s="6" t="s">
        <v>632</v>
      </c>
      <c r="I168" s="6" t="s">
        <v>3670</v>
      </c>
      <c r="J168" s="8">
        <v>43256</v>
      </c>
      <c r="K168" s="8">
        <v>45300</v>
      </c>
      <c r="L168" s="6">
        <v>145700.4</v>
      </c>
      <c r="M168" s="6">
        <v>69000.600000000006</v>
      </c>
      <c r="N168" s="6">
        <v>670</v>
      </c>
      <c r="O168" s="6">
        <v>156000</v>
      </c>
      <c r="P168" s="6" t="s">
        <v>76</v>
      </c>
      <c r="Q168" s="6" t="s">
        <v>27</v>
      </c>
      <c r="R168" s="6">
        <v>0</v>
      </c>
      <c r="S168" s="6" t="s">
        <v>28</v>
      </c>
      <c r="T168" s="7">
        <f t="shared" si="10"/>
        <v>0.44231153846153848</v>
      </c>
      <c r="U168" s="6">
        <f t="shared" si="11"/>
        <v>6</v>
      </c>
      <c r="V168" s="5" t="str">
        <f t="shared" si="12"/>
        <v>GOOD</v>
      </c>
      <c r="W168" s="6" t="str">
        <f t="shared" si="13"/>
        <v>45-54</v>
      </c>
      <c r="X168" s="6" t="str">
        <f t="shared" si="14"/>
        <v>Upper-Middle</v>
      </c>
    </row>
    <row r="169" spans="1:24">
      <c r="A169" s="6" t="s">
        <v>539</v>
      </c>
      <c r="B169" s="6" t="s">
        <v>633</v>
      </c>
      <c r="C169" s="6" t="s">
        <v>21</v>
      </c>
      <c r="D169" s="6" t="s">
        <v>58</v>
      </c>
      <c r="E169" s="6" t="s">
        <v>122</v>
      </c>
      <c r="F169" s="6">
        <v>56</v>
      </c>
      <c r="G169" s="6" t="s">
        <v>34</v>
      </c>
      <c r="H169" s="6" t="s">
        <v>634</v>
      </c>
      <c r="I169" s="6" t="s">
        <v>3671</v>
      </c>
      <c r="J169" s="8">
        <v>42816</v>
      </c>
      <c r="K169" s="8">
        <v>45299</v>
      </c>
      <c r="L169" s="6">
        <v>312600.75</v>
      </c>
      <c r="M169" s="6">
        <v>86000.8</v>
      </c>
      <c r="N169" s="6">
        <v>835</v>
      </c>
      <c r="O169" s="6">
        <v>301000</v>
      </c>
      <c r="P169" s="6" t="s">
        <v>36</v>
      </c>
      <c r="Q169" s="6" t="s">
        <v>27</v>
      </c>
      <c r="R169" s="6">
        <v>0</v>
      </c>
      <c r="S169" s="6" t="s">
        <v>28</v>
      </c>
      <c r="T169" s="7">
        <f t="shared" si="10"/>
        <v>0.28571694352159471</v>
      </c>
      <c r="U169" s="6">
        <f t="shared" si="11"/>
        <v>7</v>
      </c>
      <c r="V169" s="5" t="str">
        <f t="shared" si="12"/>
        <v>EXCEPTIONAL</v>
      </c>
      <c r="W169" s="6" t="str">
        <f t="shared" si="13"/>
        <v>55+</v>
      </c>
      <c r="X169" s="6" t="str">
        <f t="shared" si="14"/>
        <v>High</v>
      </c>
    </row>
    <row r="170" spans="1:24">
      <c r="A170" s="6" t="s">
        <v>542</v>
      </c>
      <c r="B170" s="6" t="s">
        <v>635</v>
      </c>
      <c r="C170" s="6" t="s">
        <v>52</v>
      </c>
      <c r="D170" s="6" t="s">
        <v>68</v>
      </c>
      <c r="E170" s="6" t="s">
        <v>69</v>
      </c>
      <c r="F170" s="6">
        <v>43</v>
      </c>
      <c r="G170" s="6" t="s">
        <v>34</v>
      </c>
      <c r="H170" s="6" t="s">
        <v>636</v>
      </c>
      <c r="I170" s="6" t="s">
        <v>3536</v>
      </c>
      <c r="J170" s="8">
        <v>43784</v>
      </c>
      <c r="K170" s="8">
        <v>45302</v>
      </c>
      <c r="L170" s="6">
        <v>53400.6</v>
      </c>
      <c r="M170" s="6">
        <v>23400.25</v>
      </c>
      <c r="N170" s="6">
        <v>665</v>
      </c>
      <c r="O170" s="6">
        <v>109000</v>
      </c>
      <c r="P170" s="6" t="s">
        <v>26</v>
      </c>
      <c r="Q170" s="6" t="s">
        <v>27</v>
      </c>
      <c r="R170" s="6">
        <v>0</v>
      </c>
      <c r="S170" s="6" t="s">
        <v>28</v>
      </c>
      <c r="T170" s="7">
        <f t="shared" si="10"/>
        <v>0.21468119266055047</v>
      </c>
      <c r="U170" s="6">
        <f t="shared" si="11"/>
        <v>4</v>
      </c>
      <c r="V170" s="5" t="str">
        <f t="shared" si="12"/>
        <v>FAIR</v>
      </c>
      <c r="W170" s="6" t="str">
        <f t="shared" si="13"/>
        <v>35-44</v>
      </c>
      <c r="X170" s="6" t="str">
        <f t="shared" si="14"/>
        <v>Lower-Middle</v>
      </c>
    </row>
    <row r="171" spans="1:24">
      <c r="A171" s="6" t="s">
        <v>545</v>
      </c>
      <c r="B171" s="6" t="s">
        <v>637</v>
      </c>
      <c r="C171" s="6" t="s">
        <v>46</v>
      </c>
      <c r="D171" s="6" t="s">
        <v>241</v>
      </c>
      <c r="E171" s="6" t="s">
        <v>389</v>
      </c>
      <c r="F171" s="6">
        <v>35</v>
      </c>
      <c r="G171" s="6" t="s">
        <v>24</v>
      </c>
      <c r="H171" s="6" t="s">
        <v>638</v>
      </c>
      <c r="I171" s="6" t="s">
        <v>3672</v>
      </c>
      <c r="J171" s="8">
        <v>44430</v>
      </c>
      <c r="K171" s="8">
        <v>45303</v>
      </c>
      <c r="L171" s="6">
        <v>76700.800000000003</v>
      </c>
      <c r="M171" s="6">
        <v>30900.400000000001</v>
      </c>
      <c r="N171" s="6">
        <v>750</v>
      </c>
      <c r="O171" s="6">
        <v>135000</v>
      </c>
      <c r="P171" s="6" t="s">
        <v>26</v>
      </c>
      <c r="Q171" s="6" t="s">
        <v>27</v>
      </c>
      <c r="R171" s="6">
        <v>0</v>
      </c>
      <c r="S171" s="6" t="s">
        <v>28</v>
      </c>
      <c r="T171" s="7">
        <f t="shared" si="10"/>
        <v>0.22889185185185187</v>
      </c>
      <c r="U171" s="6">
        <f t="shared" si="11"/>
        <v>3</v>
      </c>
      <c r="V171" s="5" t="str">
        <f t="shared" si="12"/>
        <v>VERY GOOD</v>
      </c>
      <c r="W171" s="6" t="str">
        <f t="shared" si="13"/>
        <v>35-44</v>
      </c>
      <c r="X171" s="6" t="str">
        <f t="shared" si="14"/>
        <v>Upper-Middle</v>
      </c>
    </row>
    <row r="172" spans="1:24">
      <c r="A172" s="6" t="s">
        <v>548</v>
      </c>
      <c r="B172" s="6" t="s">
        <v>639</v>
      </c>
      <c r="C172" s="6" t="s">
        <v>57</v>
      </c>
      <c r="D172" s="6" t="s">
        <v>22</v>
      </c>
      <c r="E172" s="6" t="s">
        <v>640</v>
      </c>
      <c r="F172" s="6">
        <v>31</v>
      </c>
      <c r="G172" s="6" t="s">
        <v>34</v>
      </c>
      <c r="H172" s="6" t="s">
        <v>641</v>
      </c>
      <c r="I172" s="6" t="s">
        <v>3673</v>
      </c>
      <c r="J172" s="8">
        <v>44606</v>
      </c>
      <c r="K172" s="8">
        <v>45305</v>
      </c>
      <c r="L172" s="6">
        <v>15600.9</v>
      </c>
      <c r="M172" s="6">
        <v>6800.75</v>
      </c>
      <c r="N172" s="6">
        <v>770</v>
      </c>
      <c r="O172" s="6">
        <v>66000</v>
      </c>
      <c r="P172" s="6" t="s">
        <v>36</v>
      </c>
      <c r="Q172" s="6" t="s">
        <v>27</v>
      </c>
      <c r="R172" s="6">
        <v>0</v>
      </c>
      <c r="S172" s="6" t="s">
        <v>28</v>
      </c>
      <c r="T172" s="7">
        <f t="shared" si="10"/>
        <v>0.10304166666666667</v>
      </c>
      <c r="U172" s="6">
        <f t="shared" si="11"/>
        <v>1</v>
      </c>
      <c r="V172" s="5" t="str">
        <f t="shared" si="12"/>
        <v>VERY GOOD</v>
      </c>
      <c r="W172" s="6" t="str">
        <f t="shared" si="13"/>
        <v>25-34</v>
      </c>
      <c r="X172" s="6" t="str">
        <f t="shared" si="14"/>
        <v>Low</v>
      </c>
    </row>
    <row r="173" spans="1:24">
      <c r="A173" s="6" t="s">
        <v>551</v>
      </c>
      <c r="B173" s="6" t="s">
        <v>642</v>
      </c>
      <c r="C173" s="6" t="s">
        <v>39</v>
      </c>
      <c r="D173" s="6" t="s">
        <v>313</v>
      </c>
      <c r="E173" s="6" t="s">
        <v>501</v>
      </c>
      <c r="F173" s="6">
        <v>54</v>
      </c>
      <c r="G173" s="6" t="s">
        <v>24</v>
      </c>
      <c r="H173" s="6" t="s">
        <v>643</v>
      </c>
      <c r="I173" s="6" t="s">
        <v>3674</v>
      </c>
      <c r="J173" s="8">
        <v>42986</v>
      </c>
      <c r="K173" s="8">
        <v>45299</v>
      </c>
      <c r="L173" s="6">
        <v>198800.25</v>
      </c>
      <c r="M173" s="6">
        <v>90000.8</v>
      </c>
      <c r="N173" s="6">
        <v>645</v>
      </c>
      <c r="O173" s="6">
        <v>206000</v>
      </c>
      <c r="P173" s="6" t="s">
        <v>76</v>
      </c>
      <c r="Q173" s="6" t="s">
        <v>27</v>
      </c>
      <c r="R173" s="6">
        <v>0</v>
      </c>
      <c r="S173" s="6" t="s">
        <v>28</v>
      </c>
      <c r="T173" s="7">
        <f t="shared" si="10"/>
        <v>0.4368970873786408</v>
      </c>
      <c r="U173" s="6">
        <f t="shared" si="11"/>
        <v>7</v>
      </c>
      <c r="V173" s="5" t="str">
        <f t="shared" si="12"/>
        <v>FAIR</v>
      </c>
      <c r="W173" s="6" t="str">
        <f t="shared" si="13"/>
        <v>45-54</v>
      </c>
      <c r="X173" s="6" t="str">
        <f t="shared" si="14"/>
        <v>High</v>
      </c>
    </row>
    <row r="174" spans="1:24">
      <c r="A174" s="6" t="s">
        <v>554</v>
      </c>
      <c r="B174" s="6" t="s">
        <v>644</v>
      </c>
      <c r="C174" s="6" t="s">
        <v>31</v>
      </c>
      <c r="D174" s="6" t="s">
        <v>214</v>
      </c>
      <c r="E174" s="6" t="s">
        <v>483</v>
      </c>
      <c r="F174" s="6">
        <v>27</v>
      </c>
      <c r="G174" s="6" t="s">
        <v>34</v>
      </c>
      <c r="H174" s="6" t="s">
        <v>645</v>
      </c>
      <c r="I174" s="6" t="s">
        <v>3675</v>
      </c>
      <c r="J174" s="8">
        <v>45058</v>
      </c>
      <c r="K174" s="8">
        <v>45306</v>
      </c>
      <c r="L174" s="6">
        <v>11200.5</v>
      </c>
      <c r="M174" s="6">
        <v>6200.4</v>
      </c>
      <c r="N174" s="6">
        <v>720</v>
      </c>
      <c r="O174" s="6">
        <v>43000</v>
      </c>
      <c r="P174" s="6" t="s">
        <v>36</v>
      </c>
      <c r="Q174" s="6" t="s">
        <v>27</v>
      </c>
      <c r="R174" s="6">
        <v>0</v>
      </c>
      <c r="S174" s="6" t="s">
        <v>28</v>
      </c>
      <c r="T174" s="7">
        <f t="shared" si="10"/>
        <v>0.1441953488372093</v>
      </c>
      <c r="U174" s="6">
        <f t="shared" si="11"/>
        <v>0</v>
      </c>
      <c r="V174" s="5" t="str">
        <f t="shared" si="12"/>
        <v>GOOD</v>
      </c>
      <c r="W174" s="6" t="str">
        <f t="shared" si="13"/>
        <v>25-34</v>
      </c>
      <c r="X174" s="6" t="str">
        <f t="shared" si="14"/>
        <v>Low</v>
      </c>
    </row>
    <row r="175" spans="1:24">
      <c r="A175" s="6" t="s">
        <v>108</v>
      </c>
      <c r="B175" s="6" t="s">
        <v>646</v>
      </c>
      <c r="C175" s="6" t="s">
        <v>84</v>
      </c>
      <c r="D175" s="6" t="s">
        <v>32</v>
      </c>
      <c r="E175" s="6" t="s">
        <v>110</v>
      </c>
      <c r="F175" s="6">
        <v>23</v>
      </c>
      <c r="G175" s="6" t="s">
        <v>24</v>
      </c>
      <c r="H175" s="6" t="s">
        <v>647</v>
      </c>
      <c r="I175" s="6" t="s">
        <v>3544</v>
      </c>
      <c r="J175" s="8">
        <v>45221</v>
      </c>
      <c r="K175" s="8">
        <v>45304</v>
      </c>
      <c r="L175" s="6">
        <v>1950.8</v>
      </c>
      <c r="M175" s="6">
        <v>8800.25</v>
      </c>
      <c r="N175" s="6">
        <v>605</v>
      </c>
      <c r="O175" s="6">
        <v>19000</v>
      </c>
      <c r="P175" s="6" t="s">
        <v>76</v>
      </c>
      <c r="Q175" s="6" t="s">
        <v>43</v>
      </c>
      <c r="R175" s="6">
        <v>0</v>
      </c>
      <c r="S175" s="6" t="s">
        <v>28</v>
      </c>
      <c r="T175" s="7">
        <f t="shared" si="10"/>
        <v>0.46317105263157893</v>
      </c>
      <c r="U175" s="6">
        <f t="shared" si="11"/>
        <v>2</v>
      </c>
      <c r="V175" s="5" t="str">
        <f t="shared" si="12"/>
        <v>FAIR</v>
      </c>
      <c r="W175" s="6" t="str">
        <f t="shared" si="13"/>
        <v>18-24</v>
      </c>
      <c r="X175" s="6" t="str">
        <f t="shared" si="14"/>
        <v>Low</v>
      </c>
    </row>
    <row r="176" spans="1:24">
      <c r="A176" s="6" t="s">
        <v>559</v>
      </c>
      <c r="B176" s="6" t="s">
        <v>648</v>
      </c>
      <c r="C176" s="6" t="s">
        <v>46</v>
      </c>
      <c r="D176" s="6" t="s">
        <v>254</v>
      </c>
      <c r="E176" s="6" t="s">
        <v>255</v>
      </c>
      <c r="F176" s="6">
        <v>37</v>
      </c>
      <c r="G176" s="6" t="s">
        <v>34</v>
      </c>
      <c r="H176" s="6" t="s">
        <v>649</v>
      </c>
      <c r="I176" s="6" t="s">
        <v>3676</v>
      </c>
      <c r="J176" s="8">
        <v>44291</v>
      </c>
      <c r="K176" s="8">
        <v>45302</v>
      </c>
      <c r="L176" s="6">
        <v>63400.4</v>
      </c>
      <c r="M176" s="6">
        <v>25600.75</v>
      </c>
      <c r="N176" s="6">
        <v>710</v>
      </c>
      <c r="O176" s="6">
        <v>117000</v>
      </c>
      <c r="P176" s="6" t="s">
        <v>26</v>
      </c>
      <c r="Q176" s="6" t="s">
        <v>27</v>
      </c>
      <c r="R176" s="6">
        <v>0</v>
      </c>
      <c r="S176" s="6" t="s">
        <v>28</v>
      </c>
      <c r="T176" s="7">
        <f t="shared" si="10"/>
        <v>0.21880982905982907</v>
      </c>
      <c r="U176" s="6">
        <f t="shared" si="11"/>
        <v>4</v>
      </c>
      <c r="V176" s="5" t="str">
        <f t="shared" si="12"/>
        <v>GOOD</v>
      </c>
      <c r="W176" s="6" t="str">
        <f t="shared" si="13"/>
        <v>35-44</v>
      </c>
      <c r="X176" s="6" t="str">
        <f t="shared" si="14"/>
        <v>Lower-Middle</v>
      </c>
    </row>
    <row r="177" spans="1:24">
      <c r="A177" s="6" t="s">
        <v>562</v>
      </c>
      <c r="B177" s="6" t="s">
        <v>650</v>
      </c>
      <c r="C177" s="6" t="s">
        <v>39</v>
      </c>
      <c r="D177" s="6" t="s">
        <v>47</v>
      </c>
      <c r="E177" s="6" t="s">
        <v>98</v>
      </c>
      <c r="F177" s="6">
        <v>51</v>
      </c>
      <c r="G177" s="6" t="s">
        <v>24</v>
      </c>
      <c r="H177" s="6" t="s">
        <v>651</v>
      </c>
      <c r="I177" s="6" t="s">
        <v>3677</v>
      </c>
      <c r="J177" s="8">
        <v>43171</v>
      </c>
      <c r="K177" s="8">
        <v>45300</v>
      </c>
      <c r="L177" s="6">
        <v>179000.6</v>
      </c>
      <c r="M177" s="6">
        <v>83000.25</v>
      </c>
      <c r="N177" s="6">
        <v>675</v>
      </c>
      <c r="O177" s="6">
        <v>186000</v>
      </c>
      <c r="P177" s="6" t="s">
        <v>76</v>
      </c>
      <c r="Q177" s="6" t="s">
        <v>27</v>
      </c>
      <c r="R177" s="6">
        <v>0</v>
      </c>
      <c r="S177" s="6" t="s">
        <v>28</v>
      </c>
      <c r="T177" s="7">
        <f t="shared" si="10"/>
        <v>0.44623790322580648</v>
      </c>
      <c r="U177" s="6">
        <f t="shared" si="11"/>
        <v>6</v>
      </c>
      <c r="V177" s="5" t="str">
        <f t="shared" si="12"/>
        <v>GOOD</v>
      </c>
      <c r="W177" s="6" t="str">
        <f t="shared" si="13"/>
        <v>45-54</v>
      </c>
      <c r="X177" s="6" t="str">
        <f t="shared" si="14"/>
        <v>Upper-Middle</v>
      </c>
    </row>
    <row r="178" spans="1:24">
      <c r="A178" s="6" t="s">
        <v>565</v>
      </c>
      <c r="B178" s="6" t="s">
        <v>652</v>
      </c>
      <c r="C178" s="6" t="s">
        <v>52</v>
      </c>
      <c r="D178" s="6" t="s">
        <v>233</v>
      </c>
      <c r="E178" s="6" t="s">
        <v>296</v>
      </c>
      <c r="F178" s="6">
        <v>36</v>
      </c>
      <c r="G178" s="6" t="s">
        <v>34</v>
      </c>
      <c r="H178" s="6" t="s">
        <v>653</v>
      </c>
      <c r="I178" s="6" t="s">
        <v>3678</v>
      </c>
      <c r="J178" s="8">
        <v>44082</v>
      </c>
      <c r="K178" s="8">
        <v>45301</v>
      </c>
      <c r="L178" s="6">
        <v>39800.75</v>
      </c>
      <c r="M178" s="6">
        <v>16700.8</v>
      </c>
      <c r="N178" s="6">
        <v>725</v>
      </c>
      <c r="O178" s="6">
        <v>83000</v>
      </c>
      <c r="P178" s="6" t="s">
        <v>26</v>
      </c>
      <c r="Q178" s="6" t="s">
        <v>27</v>
      </c>
      <c r="R178" s="6">
        <v>0</v>
      </c>
      <c r="S178" s="6" t="s">
        <v>28</v>
      </c>
      <c r="T178" s="7">
        <f t="shared" si="10"/>
        <v>0.2012144578313253</v>
      </c>
      <c r="U178" s="6">
        <f t="shared" si="11"/>
        <v>5</v>
      </c>
      <c r="V178" s="5" t="str">
        <f t="shared" si="12"/>
        <v>GOOD</v>
      </c>
      <c r="W178" s="6" t="str">
        <f t="shared" si="13"/>
        <v>35-44</v>
      </c>
      <c r="X178" s="6" t="str">
        <f t="shared" si="14"/>
        <v>Lower-Middle</v>
      </c>
    </row>
    <row r="179" spans="1:24">
      <c r="A179" s="6" t="s">
        <v>568</v>
      </c>
      <c r="B179" s="6" t="s">
        <v>654</v>
      </c>
      <c r="C179" s="6" t="s">
        <v>57</v>
      </c>
      <c r="D179" s="6" t="s">
        <v>79</v>
      </c>
      <c r="E179" s="6" t="s">
        <v>102</v>
      </c>
      <c r="F179" s="6">
        <v>34</v>
      </c>
      <c r="G179" s="6" t="s">
        <v>24</v>
      </c>
      <c r="H179" s="6" t="s">
        <v>655</v>
      </c>
      <c r="I179" s="6" t="s">
        <v>3679</v>
      </c>
      <c r="J179" s="8">
        <v>44535</v>
      </c>
      <c r="K179" s="8">
        <v>45303</v>
      </c>
      <c r="L179" s="6">
        <v>17800.400000000001</v>
      </c>
      <c r="M179" s="6">
        <v>7600.9</v>
      </c>
      <c r="N179" s="6">
        <v>740</v>
      </c>
      <c r="O179" s="6">
        <v>69000</v>
      </c>
      <c r="P179" s="6" t="s">
        <v>36</v>
      </c>
      <c r="Q179" s="6" t="s">
        <v>27</v>
      </c>
      <c r="R179" s="6">
        <v>0</v>
      </c>
      <c r="S179" s="6" t="s">
        <v>28</v>
      </c>
      <c r="T179" s="7">
        <f t="shared" si="10"/>
        <v>0.11015797101449275</v>
      </c>
      <c r="U179" s="6">
        <f t="shared" si="11"/>
        <v>3</v>
      </c>
      <c r="V179" s="5" t="str">
        <f t="shared" si="12"/>
        <v>GOOD</v>
      </c>
      <c r="W179" s="6" t="str">
        <f t="shared" si="13"/>
        <v>25-34</v>
      </c>
      <c r="X179" s="6" t="str">
        <f t="shared" si="14"/>
        <v>Low</v>
      </c>
    </row>
    <row r="180" spans="1:24">
      <c r="A180" s="6" t="s">
        <v>571</v>
      </c>
      <c r="B180" s="6" t="s">
        <v>656</v>
      </c>
      <c r="C180" s="6" t="s">
        <v>21</v>
      </c>
      <c r="D180" s="6" t="s">
        <v>63</v>
      </c>
      <c r="E180" s="6" t="s">
        <v>106</v>
      </c>
      <c r="F180" s="6">
        <v>57</v>
      </c>
      <c r="G180" s="6" t="s">
        <v>34</v>
      </c>
      <c r="H180" s="6" t="s">
        <v>657</v>
      </c>
      <c r="I180" s="6" t="s">
        <v>3680</v>
      </c>
      <c r="J180" s="8">
        <v>42692</v>
      </c>
      <c r="K180" s="8">
        <v>45299</v>
      </c>
      <c r="L180" s="6">
        <v>267900.90000000002</v>
      </c>
      <c r="M180" s="6">
        <v>73000.600000000006</v>
      </c>
      <c r="N180" s="6">
        <v>830</v>
      </c>
      <c r="O180" s="6">
        <v>281000</v>
      </c>
      <c r="P180" s="6" t="s">
        <v>36</v>
      </c>
      <c r="Q180" s="6" t="s">
        <v>27</v>
      </c>
      <c r="R180" s="6">
        <v>0</v>
      </c>
      <c r="S180" s="6" t="s">
        <v>28</v>
      </c>
      <c r="T180" s="7">
        <f t="shared" si="10"/>
        <v>0.25978861209964416</v>
      </c>
      <c r="U180" s="6">
        <f t="shared" si="11"/>
        <v>7</v>
      </c>
      <c r="V180" s="5" t="str">
        <f t="shared" si="12"/>
        <v>EXCEPTIONAL</v>
      </c>
      <c r="W180" s="6" t="str">
        <f t="shared" si="13"/>
        <v>55+</v>
      </c>
      <c r="X180" s="6" t="str">
        <f t="shared" si="14"/>
        <v>High</v>
      </c>
    </row>
    <row r="181" spans="1:24">
      <c r="A181" s="6" t="s">
        <v>574</v>
      </c>
      <c r="B181" s="6" t="s">
        <v>658</v>
      </c>
      <c r="C181" s="6" t="s">
        <v>39</v>
      </c>
      <c r="D181" s="6" t="s">
        <v>68</v>
      </c>
      <c r="E181" s="6" t="s">
        <v>114</v>
      </c>
      <c r="F181" s="6">
        <v>49</v>
      </c>
      <c r="G181" s="6" t="s">
        <v>24</v>
      </c>
      <c r="H181" s="6" t="s">
        <v>659</v>
      </c>
      <c r="I181" s="6" t="s">
        <v>3681</v>
      </c>
      <c r="J181" s="8">
        <v>43334</v>
      </c>
      <c r="K181" s="8">
        <v>45300</v>
      </c>
      <c r="L181" s="6">
        <v>156800.25</v>
      </c>
      <c r="M181" s="6">
        <v>75000.399999999994</v>
      </c>
      <c r="N181" s="6">
        <v>655</v>
      </c>
      <c r="O181" s="6">
        <v>171000</v>
      </c>
      <c r="P181" s="6" t="s">
        <v>76</v>
      </c>
      <c r="Q181" s="6" t="s">
        <v>27</v>
      </c>
      <c r="R181" s="6">
        <v>0</v>
      </c>
      <c r="S181" s="6" t="s">
        <v>28</v>
      </c>
      <c r="T181" s="7">
        <f t="shared" si="10"/>
        <v>0.43859883040935671</v>
      </c>
      <c r="U181" s="6">
        <f t="shared" si="11"/>
        <v>6</v>
      </c>
      <c r="V181" s="5" t="str">
        <f t="shared" si="12"/>
        <v>FAIR</v>
      </c>
      <c r="W181" s="6" t="str">
        <f t="shared" si="13"/>
        <v>45-54</v>
      </c>
      <c r="X181" s="6" t="str">
        <f t="shared" si="14"/>
        <v>Upper-Middle</v>
      </c>
    </row>
    <row r="182" spans="1:24">
      <c r="A182" s="6" t="s">
        <v>577</v>
      </c>
      <c r="B182" s="6" t="s">
        <v>660</v>
      </c>
      <c r="C182" s="6" t="s">
        <v>46</v>
      </c>
      <c r="D182" s="6" t="s">
        <v>85</v>
      </c>
      <c r="E182" s="6" t="s">
        <v>130</v>
      </c>
      <c r="F182" s="6">
        <v>38</v>
      </c>
      <c r="G182" s="6" t="s">
        <v>34</v>
      </c>
      <c r="H182" s="6" t="s">
        <v>661</v>
      </c>
      <c r="I182" s="6" t="s">
        <v>3682</v>
      </c>
      <c r="J182" s="8">
        <v>44211</v>
      </c>
      <c r="K182" s="8">
        <v>45302</v>
      </c>
      <c r="L182" s="6">
        <v>82300.600000000006</v>
      </c>
      <c r="M182" s="6">
        <v>33600.75</v>
      </c>
      <c r="N182" s="6">
        <v>760</v>
      </c>
      <c r="O182" s="6">
        <v>140000</v>
      </c>
      <c r="P182" s="6" t="s">
        <v>26</v>
      </c>
      <c r="Q182" s="6" t="s">
        <v>27</v>
      </c>
      <c r="R182" s="6">
        <v>0</v>
      </c>
      <c r="S182" s="6" t="s">
        <v>28</v>
      </c>
      <c r="T182" s="7">
        <f t="shared" si="10"/>
        <v>0.24000535714285715</v>
      </c>
      <c r="U182" s="6">
        <f t="shared" si="11"/>
        <v>4</v>
      </c>
      <c r="V182" s="5" t="str">
        <f t="shared" si="12"/>
        <v>VERY GOOD</v>
      </c>
      <c r="W182" s="6" t="str">
        <f t="shared" si="13"/>
        <v>35-44</v>
      </c>
      <c r="X182" s="6" t="str">
        <f t="shared" si="14"/>
        <v>Upper-Middle</v>
      </c>
    </row>
    <row r="183" spans="1:24">
      <c r="A183" s="6" t="s">
        <v>458</v>
      </c>
      <c r="B183" s="6" t="s">
        <v>662</v>
      </c>
      <c r="C183" s="6" t="s">
        <v>31</v>
      </c>
      <c r="D183" s="6" t="s">
        <v>460</v>
      </c>
      <c r="E183" s="6" t="s">
        <v>663</v>
      </c>
      <c r="F183" s="6">
        <v>29</v>
      </c>
      <c r="G183" s="6" t="s">
        <v>24</v>
      </c>
      <c r="H183" s="6" t="s">
        <v>664</v>
      </c>
      <c r="I183" s="6" t="s">
        <v>3683</v>
      </c>
      <c r="J183" s="8">
        <v>45007</v>
      </c>
      <c r="K183" s="8">
        <v>45306</v>
      </c>
      <c r="L183" s="6">
        <v>8900.25</v>
      </c>
      <c r="M183" s="6">
        <v>5200.8</v>
      </c>
      <c r="N183" s="6">
        <v>695</v>
      </c>
      <c r="O183" s="6">
        <v>40000</v>
      </c>
      <c r="P183" s="6" t="s">
        <v>26</v>
      </c>
      <c r="Q183" s="6" t="s">
        <v>43</v>
      </c>
      <c r="R183" s="6">
        <v>0</v>
      </c>
      <c r="S183" s="6" t="s">
        <v>28</v>
      </c>
      <c r="T183" s="7">
        <f t="shared" si="10"/>
        <v>0.13002</v>
      </c>
      <c r="U183" s="6">
        <f t="shared" si="11"/>
        <v>0</v>
      </c>
      <c r="V183" s="5" t="str">
        <f t="shared" si="12"/>
        <v>GOOD</v>
      </c>
      <c r="W183" s="6" t="str">
        <f t="shared" si="13"/>
        <v>25-34</v>
      </c>
      <c r="X183" s="6" t="str">
        <f t="shared" si="14"/>
        <v>Low</v>
      </c>
    </row>
    <row r="184" spans="1:24">
      <c r="A184" s="6" t="s">
        <v>582</v>
      </c>
      <c r="B184" s="6" t="s">
        <v>665</v>
      </c>
      <c r="C184" s="6" t="s">
        <v>57</v>
      </c>
      <c r="D184" s="6" t="s">
        <v>22</v>
      </c>
      <c r="E184" s="6" t="s">
        <v>53</v>
      </c>
      <c r="F184" s="6">
        <v>32</v>
      </c>
      <c r="G184" s="6" t="s">
        <v>34</v>
      </c>
      <c r="H184" s="6" t="s">
        <v>666</v>
      </c>
      <c r="I184" s="6" t="s">
        <v>3684</v>
      </c>
      <c r="J184" s="8">
        <v>44481</v>
      </c>
      <c r="K184" s="8">
        <v>45303</v>
      </c>
      <c r="L184" s="6">
        <v>16700.900000000001</v>
      </c>
      <c r="M184" s="6">
        <v>7200.25</v>
      </c>
      <c r="N184" s="6">
        <v>755</v>
      </c>
      <c r="O184" s="6">
        <v>62000</v>
      </c>
      <c r="P184" s="6" t="s">
        <v>36</v>
      </c>
      <c r="Q184" s="6" t="s">
        <v>27</v>
      </c>
      <c r="R184" s="6">
        <v>0</v>
      </c>
      <c r="S184" s="6" t="s">
        <v>28</v>
      </c>
      <c r="T184" s="7">
        <f t="shared" si="10"/>
        <v>0.11613306451612904</v>
      </c>
      <c r="U184" s="6">
        <f t="shared" si="11"/>
        <v>3</v>
      </c>
      <c r="V184" s="5" t="str">
        <f t="shared" si="12"/>
        <v>VERY GOOD</v>
      </c>
      <c r="W184" s="6" t="str">
        <f t="shared" si="13"/>
        <v>25-34</v>
      </c>
      <c r="X184" s="6" t="str">
        <f t="shared" si="14"/>
        <v>Low</v>
      </c>
    </row>
    <row r="185" spans="1:24">
      <c r="A185" s="6" t="s">
        <v>55</v>
      </c>
      <c r="B185" s="6" t="s">
        <v>667</v>
      </c>
      <c r="C185" s="6" t="s">
        <v>39</v>
      </c>
      <c r="D185" s="6" t="s">
        <v>58</v>
      </c>
      <c r="E185" s="6" t="s">
        <v>59</v>
      </c>
      <c r="F185" s="6">
        <v>50</v>
      </c>
      <c r="G185" s="6" t="s">
        <v>24</v>
      </c>
      <c r="H185" s="6" t="s">
        <v>668</v>
      </c>
      <c r="I185" s="6" t="s">
        <v>3685</v>
      </c>
      <c r="J185" s="8">
        <v>43228</v>
      </c>
      <c r="K185" s="8">
        <v>45300</v>
      </c>
      <c r="L185" s="6">
        <v>189700.4</v>
      </c>
      <c r="M185" s="6">
        <v>88000.75</v>
      </c>
      <c r="N185" s="6">
        <v>685</v>
      </c>
      <c r="O185" s="6">
        <v>196000</v>
      </c>
      <c r="P185" s="6" t="s">
        <v>76</v>
      </c>
      <c r="Q185" s="6" t="s">
        <v>27</v>
      </c>
      <c r="R185" s="6">
        <v>0</v>
      </c>
      <c r="S185" s="6" t="s">
        <v>28</v>
      </c>
      <c r="T185" s="7">
        <f t="shared" si="10"/>
        <v>0.44898341836734695</v>
      </c>
      <c r="U185" s="6">
        <f t="shared" si="11"/>
        <v>6</v>
      </c>
      <c r="V185" s="5" t="str">
        <f t="shared" si="12"/>
        <v>GOOD</v>
      </c>
      <c r="W185" s="6" t="str">
        <f t="shared" si="13"/>
        <v>45-54</v>
      </c>
      <c r="X185" s="6" t="str">
        <f t="shared" si="14"/>
        <v>High</v>
      </c>
    </row>
    <row r="186" spans="1:24">
      <c r="A186" s="6" t="s">
        <v>469</v>
      </c>
      <c r="B186" s="6" t="s">
        <v>669</v>
      </c>
      <c r="C186" s="6" t="s">
        <v>52</v>
      </c>
      <c r="D186" s="6" t="s">
        <v>471</v>
      </c>
      <c r="E186" s="6" t="s">
        <v>472</v>
      </c>
      <c r="F186" s="6">
        <v>41</v>
      </c>
      <c r="G186" s="6" t="s">
        <v>34</v>
      </c>
      <c r="H186" s="6" t="s">
        <v>670</v>
      </c>
      <c r="I186" s="6" t="s">
        <v>3686</v>
      </c>
      <c r="J186" s="8">
        <v>43881</v>
      </c>
      <c r="K186" s="8">
        <v>45301</v>
      </c>
      <c r="L186" s="6">
        <v>46700.800000000003</v>
      </c>
      <c r="M186" s="6">
        <v>19800.599999999999</v>
      </c>
      <c r="N186" s="6">
        <v>715</v>
      </c>
      <c r="O186" s="6">
        <v>95000</v>
      </c>
      <c r="P186" s="6" t="s">
        <v>26</v>
      </c>
      <c r="Q186" s="6" t="s">
        <v>27</v>
      </c>
      <c r="R186" s="6">
        <v>0</v>
      </c>
      <c r="S186" s="6" t="s">
        <v>28</v>
      </c>
      <c r="T186" s="7">
        <f t="shared" si="10"/>
        <v>0.20842736842105261</v>
      </c>
      <c r="U186" s="6">
        <f t="shared" si="11"/>
        <v>5</v>
      </c>
      <c r="V186" s="5" t="str">
        <f t="shared" si="12"/>
        <v>GOOD</v>
      </c>
      <c r="W186" s="6" t="str">
        <f t="shared" si="13"/>
        <v>35-44</v>
      </c>
      <c r="X186" s="6" t="str">
        <f t="shared" si="14"/>
        <v>Lower-Middle</v>
      </c>
    </row>
    <row r="187" spans="1:24">
      <c r="A187" s="6" t="s">
        <v>474</v>
      </c>
      <c r="B187" s="6" t="s">
        <v>671</v>
      </c>
      <c r="C187" s="6" t="s">
        <v>46</v>
      </c>
      <c r="D187" s="6" t="s">
        <v>345</v>
      </c>
      <c r="E187" s="6" t="s">
        <v>476</v>
      </c>
      <c r="F187" s="6">
        <v>44</v>
      </c>
      <c r="G187" s="6" t="s">
        <v>24</v>
      </c>
      <c r="H187" s="6" t="s">
        <v>672</v>
      </c>
      <c r="I187" s="6" t="s">
        <v>3687</v>
      </c>
      <c r="J187" s="8">
        <v>43781</v>
      </c>
      <c r="K187" s="8">
        <v>45302</v>
      </c>
      <c r="L187" s="6">
        <v>74500.25</v>
      </c>
      <c r="M187" s="6">
        <v>29800.400000000001</v>
      </c>
      <c r="N187" s="6">
        <v>680</v>
      </c>
      <c r="O187" s="6">
        <v>124000</v>
      </c>
      <c r="P187" s="6" t="s">
        <v>26</v>
      </c>
      <c r="Q187" s="6" t="s">
        <v>27</v>
      </c>
      <c r="R187" s="6">
        <v>0</v>
      </c>
      <c r="S187" s="6" t="s">
        <v>28</v>
      </c>
      <c r="T187" s="7">
        <f t="shared" si="10"/>
        <v>0.24032580645161292</v>
      </c>
      <c r="U187" s="6">
        <f t="shared" si="11"/>
        <v>4</v>
      </c>
      <c r="V187" s="5" t="str">
        <f t="shared" si="12"/>
        <v>GOOD</v>
      </c>
      <c r="W187" s="6" t="str">
        <f t="shared" si="13"/>
        <v>35-44</v>
      </c>
      <c r="X187" s="6" t="str">
        <f t="shared" si="14"/>
        <v>Lower-Middle</v>
      </c>
    </row>
    <row r="188" spans="1:24">
      <c r="A188" s="6" t="s">
        <v>592</v>
      </c>
      <c r="B188" s="6" t="s">
        <v>673</v>
      </c>
      <c r="C188" s="6" t="s">
        <v>84</v>
      </c>
      <c r="D188" s="6" t="s">
        <v>32</v>
      </c>
      <c r="E188" s="6" t="s">
        <v>90</v>
      </c>
      <c r="F188" s="6">
        <v>24</v>
      </c>
      <c r="G188" s="6" t="s">
        <v>34</v>
      </c>
      <c r="H188" s="6" t="s">
        <v>674</v>
      </c>
      <c r="I188" s="6" t="s">
        <v>3688</v>
      </c>
      <c r="J188" s="8">
        <v>45197</v>
      </c>
      <c r="K188" s="8">
        <v>45304</v>
      </c>
      <c r="L188" s="6">
        <v>2050.4</v>
      </c>
      <c r="M188" s="6">
        <v>9400.75</v>
      </c>
      <c r="N188" s="6">
        <v>610</v>
      </c>
      <c r="O188" s="6">
        <v>20000</v>
      </c>
      <c r="P188" s="6" t="s">
        <v>76</v>
      </c>
      <c r="Q188" s="6" t="s">
        <v>43</v>
      </c>
      <c r="R188" s="6">
        <v>0</v>
      </c>
      <c r="S188" s="6" t="s">
        <v>28</v>
      </c>
      <c r="T188" s="7">
        <f t="shared" si="10"/>
        <v>0.4700375</v>
      </c>
      <c r="U188" s="6">
        <f t="shared" si="11"/>
        <v>2</v>
      </c>
      <c r="V188" s="5" t="str">
        <f t="shared" si="12"/>
        <v>FAIR</v>
      </c>
      <c r="W188" s="6" t="str">
        <f t="shared" si="13"/>
        <v>18-24</v>
      </c>
      <c r="X188" s="6" t="str">
        <f t="shared" si="14"/>
        <v>Low</v>
      </c>
    </row>
    <row r="189" spans="1:24">
      <c r="A189" s="6" t="s">
        <v>595</v>
      </c>
      <c r="B189" s="6" t="s">
        <v>675</v>
      </c>
      <c r="C189" s="6" t="s">
        <v>21</v>
      </c>
      <c r="D189" s="6" t="s">
        <v>209</v>
      </c>
      <c r="E189" s="6" t="s">
        <v>210</v>
      </c>
      <c r="F189" s="6">
        <v>56</v>
      </c>
      <c r="G189" s="6" t="s">
        <v>24</v>
      </c>
      <c r="H189" s="6" t="s">
        <v>676</v>
      </c>
      <c r="I189" s="6" t="s">
        <v>3689</v>
      </c>
      <c r="J189" s="8">
        <v>42941</v>
      </c>
      <c r="K189" s="8">
        <v>45299</v>
      </c>
      <c r="L189" s="6">
        <v>287700.8</v>
      </c>
      <c r="M189" s="6">
        <v>79000.25</v>
      </c>
      <c r="N189" s="6">
        <v>825</v>
      </c>
      <c r="O189" s="6">
        <v>276000</v>
      </c>
      <c r="P189" s="6" t="s">
        <v>36</v>
      </c>
      <c r="Q189" s="6" t="s">
        <v>27</v>
      </c>
      <c r="R189" s="6">
        <v>0</v>
      </c>
      <c r="S189" s="6" t="s">
        <v>28</v>
      </c>
      <c r="T189" s="7">
        <f t="shared" si="10"/>
        <v>0.28623278985507244</v>
      </c>
      <c r="U189" s="6">
        <f t="shared" si="11"/>
        <v>7</v>
      </c>
      <c r="V189" s="5" t="str">
        <f t="shared" si="12"/>
        <v>EXCEPTIONAL</v>
      </c>
      <c r="W189" s="6" t="str">
        <f t="shared" si="13"/>
        <v>55+</v>
      </c>
      <c r="X189" s="6" t="str">
        <f t="shared" si="14"/>
        <v>High</v>
      </c>
    </row>
    <row r="190" spans="1:24">
      <c r="A190" s="6" t="s">
        <v>226</v>
      </c>
      <c r="B190" s="6" t="s">
        <v>677</v>
      </c>
      <c r="C190" s="6" t="s">
        <v>57</v>
      </c>
      <c r="D190" s="6" t="s">
        <v>228</v>
      </c>
      <c r="E190" s="6" t="s">
        <v>678</v>
      </c>
      <c r="F190" s="6">
        <v>31</v>
      </c>
      <c r="G190" s="6" t="s">
        <v>34</v>
      </c>
      <c r="H190" s="6" t="s">
        <v>679</v>
      </c>
      <c r="I190" s="6" t="s">
        <v>3690</v>
      </c>
      <c r="J190" s="8">
        <v>44669</v>
      </c>
      <c r="K190" s="8">
        <v>45305</v>
      </c>
      <c r="L190" s="6">
        <v>13400.75</v>
      </c>
      <c r="M190" s="6">
        <v>5600.4</v>
      </c>
      <c r="N190" s="6">
        <v>725</v>
      </c>
      <c r="O190" s="6">
        <v>52000</v>
      </c>
      <c r="P190" s="6" t="s">
        <v>36</v>
      </c>
      <c r="Q190" s="6" t="s">
        <v>27</v>
      </c>
      <c r="R190" s="6">
        <v>0</v>
      </c>
      <c r="S190" s="6" t="s">
        <v>28</v>
      </c>
      <c r="T190" s="7">
        <f t="shared" si="10"/>
        <v>0.10769999999999999</v>
      </c>
      <c r="U190" s="6">
        <f t="shared" si="11"/>
        <v>1</v>
      </c>
      <c r="V190" s="5" t="str">
        <f t="shared" si="12"/>
        <v>GOOD</v>
      </c>
      <c r="W190" s="6" t="str">
        <f t="shared" si="13"/>
        <v>25-34</v>
      </c>
      <c r="X190" s="6" t="str">
        <f t="shared" si="14"/>
        <v>Low</v>
      </c>
    </row>
    <row r="191" spans="1:24">
      <c r="A191" s="6" t="s">
        <v>488</v>
      </c>
      <c r="B191" s="6" t="s">
        <v>680</v>
      </c>
      <c r="C191" s="6" t="s">
        <v>39</v>
      </c>
      <c r="D191" s="6" t="s">
        <v>304</v>
      </c>
      <c r="E191" s="6" t="s">
        <v>304</v>
      </c>
      <c r="F191" s="6">
        <v>48</v>
      </c>
      <c r="G191" s="6" t="s">
        <v>24</v>
      </c>
      <c r="H191" s="6" t="s">
        <v>681</v>
      </c>
      <c r="I191" s="6" t="s">
        <v>3691</v>
      </c>
      <c r="J191" s="8">
        <v>43416</v>
      </c>
      <c r="K191" s="8">
        <v>45300</v>
      </c>
      <c r="L191" s="6">
        <v>167900.6</v>
      </c>
      <c r="M191" s="6">
        <v>79000.899999999994</v>
      </c>
      <c r="N191" s="6">
        <v>675</v>
      </c>
      <c r="O191" s="6">
        <v>176000</v>
      </c>
      <c r="P191" s="6" t="s">
        <v>76</v>
      </c>
      <c r="Q191" s="6" t="s">
        <v>27</v>
      </c>
      <c r="R191" s="6">
        <v>0</v>
      </c>
      <c r="S191" s="6" t="s">
        <v>28</v>
      </c>
      <c r="T191" s="7">
        <f t="shared" si="10"/>
        <v>0.44886874999999998</v>
      </c>
      <c r="U191" s="6">
        <f t="shared" si="11"/>
        <v>6</v>
      </c>
      <c r="V191" s="5" t="str">
        <f t="shared" si="12"/>
        <v>GOOD</v>
      </c>
      <c r="W191" s="6" t="str">
        <f t="shared" si="13"/>
        <v>45-54</v>
      </c>
      <c r="X191" s="6" t="str">
        <f t="shared" si="14"/>
        <v>Upper-Middle</v>
      </c>
    </row>
    <row r="192" spans="1:24">
      <c r="A192" s="6" t="s">
        <v>491</v>
      </c>
      <c r="B192" s="6" t="s">
        <v>682</v>
      </c>
      <c r="C192" s="6" t="s">
        <v>52</v>
      </c>
      <c r="D192" s="6" t="s">
        <v>493</v>
      </c>
      <c r="E192" s="6" t="s">
        <v>494</v>
      </c>
      <c r="F192" s="6">
        <v>39</v>
      </c>
      <c r="G192" s="6" t="s">
        <v>34</v>
      </c>
      <c r="H192" s="6" t="s">
        <v>683</v>
      </c>
      <c r="I192" s="6" t="s">
        <v>3692</v>
      </c>
      <c r="J192" s="8">
        <v>44187</v>
      </c>
      <c r="K192" s="8">
        <v>45302</v>
      </c>
      <c r="L192" s="6">
        <v>40900.400000000001</v>
      </c>
      <c r="M192" s="6">
        <v>15600.25</v>
      </c>
      <c r="N192" s="6">
        <v>705</v>
      </c>
      <c r="O192" s="6">
        <v>84000</v>
      </c>
      <c r="P192" s="6" t="s">
        <v>26</v>
      </c>
      <c r="Q192" s="6" t="s">
        <v>27</v>
      </c>
      <c r="R192" s="6">
        <v>0</v>
      </c>
      <c r="S192" s="6" t="s">
        <v>28</v>
      </c>
      <c r="T192" s="7">
        <f t="shared" si="10"/>
        <v>0.1857172619047619</v>
      </c>
      <c r="U192" s="6">
        <f t="shared" si="11"/>
        <v>4</v>
      </c>
      <c r="V192" s="5" t="str">
        <f t="shared" si="12"/>
        <v>GOOD</v>
      </c>
      <c r="W192" s="6" t="str">
        <f t="shared" si="13"/>
        <v>35-44</v>
      </c>
      <c r="X192" s="6" t="str">
        <f t="shared" si="14"/>
        <v>Lower-Middle</v>
      </c>
    </row>
    <row r="193" spans="1:24">
      <c r="A193" s="6" t="s">
        <v>496</v>
      </c>
      <c r="B193" s="6" t="s">
        <v>684</v>
      </c>
      <c r="C193" s="6" t="s">
        <v>46</v>
      </c>
      <c r="D193" s="6" t="s">
        <v>321</v>
      </c>
      <c r="E193" s="6" t="s">
        <v>498</v>
      </c>
      <c r="F193" s="6">
        <v>42</v>
      </c>
      <c r="G193" s="6" t="s">
        <v>24</v>
      </c>
      <c r="H193" s="6" t="s">
        <v>685</v>
      </c>
      <c r="I193" s="6" t="s">
        <v>3693</v>
      </c>
      <c r="J193" s="8">
        <v>43682</v>
      </c>
      <c r="K193" s="8">
        <v>45301</v>
      </c>
      <c r="L193" s="6">
        <v>87800.75</v>
      </c>
      <c r="M193" s="6">
        <v>36700.800000000003</v>
      </c>
      <c r="N193" s="6">
        <v>730</v>
      </c>
      <c r="O193" s="6">
        <v>150000</v>
      </c>
      <c r="P193" s="6" t="s">
        <v>26</v>
      </c>
      <c r="Q193" s="6" t="s">
        <v>27</v>
      </c>
      <c r="R193" s="6">
        <v>0</v>
      </c>
      <c r="S193" s="6" t="s">
        <v>28</v>
      </c>
      <c r="T193" s="7">
        <f t="shared" si="10"/>
        <v>0.24467200000000003</v>
      </c>
      <c r="U193" s="6">
        <f t="shared" si="11"/>
        <v>5</v>
      </c>
      <c r="V193" s="5" t="str">
        <f t="shared" si="12"/>
        <v>GOOD</v>
      </c>
      <c r="W193" s="6" t="str">
        <f t="shared" si="13"/>
        <v>35-44</v>
      </c>
      <c r="X193" s="6" t="str">
        <f t="shared" si="14"/>
        <v>Upper-Middle</v>
      </c>
    </row>
    <row r="194" spans="1:24">
      <c r="A194" s="6" t="s">
        <v>324</v>
      </c>
      <c r="B194" s="6" t="s">
        <v>686</v>
      </c>
      <c r="C194" s="6" t="s">
        <v>31</v>
      </c>
      <c r="D194" s="6" t="s">
        <v>313</v>
      </c>
      <c r="E194" s="6" t="s">
        <v>314</v>
      </c>
      <c r="F194" s="6">
        <v>27</v>
      </c>
      <c r="G194" s="6" t="s">
        <v>34</v>
      </c>
      <c r="H194" s="6" t="s">
        <v>687</v>
      </c>
      <c r="I194" s="6" t="s">
        <v>3694</v>
      </c>
      <c r="J194" s="8">
        <v>45028</v>
      </c>
      <c r="K194" s="8">
        <v>45306</v>
      </c>
      <c r="L194" s="6">
        <v>8200.9</v>
      </c>
      <c r="M194" s="6">
        <v>4800.75</v>
      </c>
      <c r="N194" s="6">
        <v>685</v>
      </c>
      <c r="O194" s="6">
        <v>37000</v>
      </c>
      <c r="P194" s="6" t="s">
        <v>26</v>
      </c>
      <c r="Q194" s="6" t="s">
        <v>43</v>
      </c>
      <c r="R194" s="6">
        <v>0</v>
      </c>
      <c r="S194" s="6" t="s">
        <v>28</v>
      </c>
      <c r="T194" s="7">
        <f t="shared" ref="T194:T257" si="15">IFERROR(M194/O194,"")</f>
        <v>0.12975</v>
      </c>
      <c r="U194" s="6">
        <f t="shared" ref="U194:U257" si="16">MAX($K$2:$K$1599)-K194</f>
        <v>0</v>
      </c>
      <c r="V194" s="5" t="str">
        <f t="shared" ref="V194:V257" si="17">IF(N194&lt;670,"FAIR", IF(N194&lt;750,"GOOD",IF(N194&lt;800,"VERY GOOD","EXCEPTIONAL")))</f>
        <v>GOOD</v>
      </c>
      <c r="W194" s="6" t="str">
        <f t="shared" ref="W194:W257" si="18">IF(F194&lt;25,"18-24",IF(F194&lt;35,"25-34",IF(F194&lt;45,"35-44",IF(F194&lt;55,"45-54","55+"))))</f>
        <v>25-34</v>
      </c>
      <c r="X194" s="6" t="str">
        <f t="shared" ref="X194:X257" si="19">IF(O194&lt;=_xlfn.QUARTILE.INC($O$2:$O$1599,1),"Low",IF(O194&lt;=_xlfn.QUARTILE.INC($O$2:$O$1599,2),"Lower-Middle",IF(O194&lt;=_xlfn.QUARTILE.INC($O$2:$O$1599,3),"Upper-Middle","High")))</f>
        <v>Low</v>
      </c>
    </row>
    <row r="195" spans="1:24">
      <c r="A195" s="6" t="s">
        <v>503</v>
      </c>
      <c r="B195" s="6" t="s">
        <v>688</v>
      </c>
      <c r="C195" s="6" t="s">
        <v>21</v>
      </c>
      <c r="D195" s="6" t="s">
        <v>32</v>
      </c>
      <c r="E195" s="6" t="s">
        <v>33</v>
      </c>
      <c r="F195" s="6">
        <v>59</v>
      </c>
      <c r="G195" s="6" t="s">
        <v>24</v>
      </c>
      <c r="H195" s="6" t="s">
        <v>689</v>
      </c>
      <c r="I195" s="6" t="s">
        <v>3695</v>
      </c>
      <c r="J195" s="8">
        <v>42651</v>
      </c>
      <c r="K195" s="8">
        <v>45299</v>
      </c>
      <c r="L195" s="6">
        <v>298600.25</v>
      </c>
      <c r="M195" s="6">
        <v>83000.399999999994</v>
      </c>
      <c r="N195" s="6">
        <v>840</v>
      </c>
      <c r="O195" s="6">
        <v>291000</v>
      </c>
      <c r="P195" s="6" t="s">
        <v>36</v>
      </c>
      <c r="Q195" s="6" t="s">
        <v>27</v>
      </c>
      <c r="R195" s="6">
        <v>0</v>
      </c>
      <c r="S195" s="6" t="s">
        <v>28</v>
      </c>
      <c r="T195" s="7">
        <f t="shared" si="15"/>
        <v>0.28522474226804123</v>
      </c>
      <c r="U195" s="6">
        <f t="shared" si="16"/>
        <v>7</v>
      </c>
      <c r="V195" s="5" t="str">
        <f t="shared" si="17"/>
        <v>EXCEPTIONAL</v>
      </c>
      <c r="W195" s="6" t="str">
        <f t="shared" si="18"/>
        <v>55+</v>
      </c>
      <c r="X195" s="6" t="str">
        <f t="shared" si="19"/>
        <v>High</v>
      </c>
    </row>
    <row r="196" spans="1:24">
      <c r="A196" s="6" t="s">
        <v>506</v>
      </c>
      <c r="B196" s="6" t="s">
        <v>690</v>
      </c>
      <c r="C196" s="6" t="s">
        <v>39</v>
      </c>
      <c r="D196" s="6" t="s">
        <v>68</v>
      </c>
      <c r="E196" s="6" t="s">
        <v>69</v>
      </c>
      <c r="F196" s="6">
        <v>51</v>
      </c>
      <c r="G196" s="6" t="s">
        <v>34</v>
      </c>
      <c r="H196" s="6" t="s">
        <v>691</v>
      </c>
      <c r="I196" s="6" t="s">
        <v>3536</v>
      </c>
      <c r="J196" s="8">
        <v>43181</v>
      </c>
      <c r="K196" s="8">
        <v>45300</v>
      </c>
      <c r="L196" s="6">
        <v>179000.4</v>
      </c>
      <c r="M196" s="6">
        <v>83000.75</v>
      </c>
      <c r="N196" s="6">
        <v>650</v>
      </c>
      <c r="O196" s="6">
        <v>186000</v>
      </c>
      <c r="P196" s="6" t="s">
        <v>76</v>
      </c>
      <c r="Q196" s="6" t="s">
        <v>27</v>
      </c>
      <c r="R196" s="6">
        <v>0</v>
      </c>
      <c r="S196" s="6" t="s">
        <v>28</v>
      </c>
      <c r="T196" s="7">
        <f t="shared" si="15"/>
        <v>0.44624059139784944</v>
      </c>
      <c r="U196" s="6">
        <f t="shared" si="16"/>
        <v>6</v>
      </c>
      <c r="V196" s="5" t="str">
        <f t="shared" si="17"/>
        <v>FAIR</v>
      </c>
      <c r="W196" s="6" t="str">
        <f t="shared" si="18"/>
        <v>45-54</v>
      </c>
      <c r="X196" s="6" t="str">
        <f t="shared" si="19"/>
        <v>Upper-Middle</v>
      </c>
    </row>
    <row r="197" spans="1:24">
      <c r="A197" s="6" t="s">
        <v>509</v>
      </c>
      <c r="B197" s="6" t="s">
        <v>692</v>
      </c>
      <c r="C197" s="6" t="s">
        <v>46</v>
      </c>
      <c r="D197" s="6" t="s">
        <v>73</v>
      </c>
      <c r="E197" s="6" t="s">
        <v>126</v>
      </c>
      <c r="F197" s="6">
        <v>38</v>
      </c>
      <c r="G197" s="6" t="s">
        <v>24</v>
      </c>
      <c r="H197" s="6" t="s">
        <v>693</v>
      </c>
      <c r="I197" s="6" t="s">
        <v>3696</v>
      </c>
      <c r="J197" s="8">
        <v>44385</v>
      </c>
      <c r="K197" s="8">
        <v>45303</v>
      </c>
      <c r="L197" s="6">
        <v>75600.399999999994</v>
      </c>
      <c r="M197" s="6">
        <v>30900.25</v>
      </c>
      <c r="N197" s="6">
        <v>745</v>
      </c>
      <c r="O197" s="6">
        <v>130000</v>
      </c>
      <c r="P197" s="6" t="s">
        <v>26</v>
      </c>
      <c r="Q197" s="6" t="s">
        <v>27</v>
      </c>
      <c r="R197" s="6">
        <v>0</v>
      </c>
      <c r="S197" s="6" t="s">
        <v>28</v>
      </c>
      <c r="T197" s="7">
        <f t="shared" si="15"/>
        <v>0.23769423076923077</v>
      </c>
      <c r="U197" s="6">
        <f t="shared" si="16"/>
        <v>3</v>
      </c>
      <c r="V197" s="5" t="str">
        <f t="shared" si="17"/>
        <v>GOOD</v>
      </c>
      <c r="W197" s="6" t="str">
        <f t="shared" si="18"/>
        <v>35-44</v>
      </c>
      <c r="X197" s="6" t="str">
        <f t="shared" si="19"/>
        <v>Upper-Middle</v>
      </c>
    </row>
    <row r="198" spans="1:24">
      <c r="A198" s="6" t="s">
        <v>513</v>
      </c>
      <c r="B198" s="6" t="s">
        <v>694</v>
      </c>
      <c r="C198" s="6" t="s">
        <v>57</v>
      </c>
      <c r="D198" s="6" t="s">
        <v>58</v>
      </c>
      <c r="E198" s="6" t="s">
        <v>122</v>
      </c>
      <c r="F198" s="6">
        <v>33</v>
      </c>
      <c r="G198" s="6" t="s">
        <v>34</v>
      </c>
      <c r="H198" s="6" t="s">
        <v>695</v>
      </c>
      <c r="I198" s="6" t="s">
        <v>3697</v>
      </c>
      <c r="J198" s="8">
        <v>44579</v>
      </c>
      <c r="K198" s="8">
        <v>45302</v>
      </c>
      <c r="L198" s="6">
        <v>15600.8</v>
      </c>
      <c r="M198" s="6">
        <v>6800.9</v>
      </c>
      <c r="N198" s="6">
        <v>765</v>
      </c>
      <c r="O198" s="6">
        <v>62000</v>
      </c>
      <c r="P198" s="6" t="s">
        <v>36</v>
      </c>
      <c r="Q198" s="6" t="s">
        <v>27</v>
      </c>
      <c r="R198" s="6">
        <v>0</v>
      </c>
      <c r="S198" s="6" t="s">
        <v>28</v>
      </c>
      <c r="T198" s="7">
        <f t="shared" si="15"/>
        <v>0.10969193548387096</v>
      </c>
      <c r="U198" s="6">
        <f t="shared" si="16"/>
        <v>4</v>
      </c>
      <c r="V198" s="5" t="str">
        <f t="shared" si="17"/>
        <v>VERY GOOD</v>
      </c>
      <c r="W198" s="6" t="str">
        <f t="shared" si="18"/>
        <v>25-34</v>
      </c>
      <c r="X198" s="6" t="str">
        <f t="shared" si="19"/>
        <v>Low</v>
      </c>
    </row>
    <row r="199" spans="1:24">
      <c r="A199" s="6" t="s">
        <v>516</v>
      </c>
      <c r="B199" s="6" t="s">
        <v>696</v>
      </c>
      <c r="C199" s="6" t="s">
        <v>52</v>
      </c>
      <c r="D199" s="6" t="s">
        <v>277</v>
      </c>
      <c r="E199" s="6" t="s">
        <v>278</v>
      </c>
      <c r="F199" s="6">
        <v>46</v>
      </c>
      <c r="G199" s="6" t="s">
        <v>24</v>
      </c>
      <c r="H199" s="6" t="s">
        <v>697</v>
      </c>
      <c r="I199" s="6" t="s">
        <v>3698</v>
      </c>
      <c r="J199" s="8">
        <v>43781</v>
      </c>
      <c r="K199" s="8">
        <v>45301</v>
      </c>
      <c r="L199" s="6">
        <v>48900.75</v>
      </c>
      <c r="M199" s="6">
        <v>22000.400000000001</v>
      </c>
      <c r="N199" s="6">
        <v>675</v>
      </c>
      <c r="O199" s="6">
        <v>102000</v>
      </c>
      <c r="P199" s="6" t="s">
        <v>26</v>
      </c>
      <c r="Q199" s="6" t="s">
        <v>27</v>
      </c>
      <c r="R199" s="6">
        <v>0</v>
      </c>
      <c r="S199" s="6" t="s">
        <v>28</v>
      </c>
      <c r="T199" s="7">
        <f t="shared" si="15"/>
        <v>0.21569019607843137</v>
      </c>
      <c r="U199" s="6">
        <f t="shared" si="16"/>
        <v>5</v>
      </c>
      <c r="V199" s="5" t="str">
        <f t="shared" si="17"/>
        <v>GOOD</v>
      </c>
      <c r="W199" s="6" t="str">
        <f t="shared" si="18"/>
        <v>45-54</v>
      </c>
      <c r="X199" s="6" t="str">
        <f t="shared" si="19"/>
        <v>Lower-Middle</v>
      </c>
    </row>
    <row r="200" spans="1:24">
      <c r="A200" s="6" t="s">
        <v>519</v>
      </c>
      <c r="B200" s="6" t="s">
        <v>698</v>
      </c>
      <c r="C200" s="6" t="s">
        <v>84</v>
      </c>
      <c r="D200" s="6" t="s">
        <v>183</v>
      </c>
      <c r="E200" s="6" t="s">
        <v>184</v>
      </c>
      <c r="F200" s="6">
        <v>25</v>
      </c>
      <c r="G200" s="6" t="s">
        <v>34</v>
      </c>
      <c r="H200" s="6" t="s">
        <v>699</v>
      </c>
      <c r="I200" s="6" t="s">
        <v>3699</v>
      </c>
      <c r="J200" s="8">
        <v>45174</v>
      </c>
      <c r="K200" s="8">
        <v>45304</v>
      </c>
      <c r="L200" s="6">
        <v>2300.25</v>
      </c>
      <c r="M200" s="6">
        <v>10500.6</v>
      </c>
      <c r="N200" s="6">
        <v>615</v>
      </c>
      <c r="O200" s="6">
        <v>22000</v>
      </c>
      <c r="P200" s="6" t="s">
        <v>76</v>
      </c>
      <c r="Q200" s="6" t="s">
        <v>43</v>
      </c>
      <c r="R200" s="6">
        <v>0</v>
      </c>
      <c r="S200" s="6" t="s">
        <v>28</v>
      </c>
      <c r="T200" s="7">
        <f t="shared" si="15"/>
        <v>0.4773</v>
      </c>
      <c r="U200" s="6">
        <f t="shared" si="16"/>
        <v>2</v>
      </c>
      <c r="V200" s="5" t="str">
        <f t="shared" si="17"/>
        <v>FAIR</v>
      </c>
      <c r="W200" s="6" t="str">
        <f t="shared" si="18"/>
        <v>25-34</v>
      </c>
      <c r="X200" s="6" t="str">
        <f t="shared" si="19"/>
        <v>Low</v>
      </c>
    </row>
    <row r="201" spans="1:24">
      <c r="A201" s="6" t="s">
        <v>522</v>
      </c>
      <c r="B201" s="6" t="s">
        <v>700</v>
      </c>
      <c r="C201" s="6" t="s">
        <v>39</v>
      </c>
      <c r="D201" s="6" t="s">
        <v>40</v>
      </c>
      <c r="E201" s="6" t="s">
        <v>94</v>
      </c>
      <c r="F201" s="6">
        <v>53</v>
      </c>
      <c r="G201" s="6" t="s">
        <v>24</v>
      </c>
      <c r="H201" s="6" t="s">
        <v>701</v>
      </c>
      <c r="I201" s="6" t="s">
        <v>3510</v>
      </c>
      <c r="J201" s="8">
        <v>43128</v>
      </c>
      <c r="K201" s="8">
        <v>45299</v>
      </c>
      <c r="L201" s="6">
        <v>213600.8</v>
      </c>
      <c r="M201" s="6">
        <v>96000.25</v>
      </c>
      <c r="N201" s="6">
        <v>660</v>
      </c>
      <c r="O201" s="6">
        <v>221000</v>
      </c>
      <c r="P201" s="6" t="s">
        <v>76</v>
      </c>
      <c r="Q201" s="6" t="s">
        <v>27</v>
      </c>
      <c r="R201" s="6">
        <v>0</v>
      </c>
      <c r="S201" s="6" t="s">
        <v>28</v>
      </c>
      <c r="T201" s="7">
        <f t="shared" si="15"/>
        <v>0.43439027149321269</v>
      </c>
      <c r="U201" s="6">
        <f t="shared" si="16"/>
        <v>7</v>
      </c>
      <c r="V201" s="5" t="str">
        <f t="shared" si="17"/>
        <v>FAIR</v>
      </c>
      <c r="W201" s="6" t="str">
        <f t="shared" si="18"/>
        <v>45-54</v>
      </c>
      <c r="X201" s="6" t="str">
        <f t="shared" si="19"/>
        <v>High</v>
      </c>
    </row>
    <row r="202" spans="1:24">
      <c r="A202" s="6" t="s">
        <v>306</v>
      </c>
      <c r="B202" s="6" t="s">
        <v>702</v>
      </c>
      <c r="C202" s="6" t="s">
        <v>46</v>
      </c>
      <c r="D202" s="6" t="s">
        <v>209</v>
      </c>
      <c r="E202" s="6" t="s">
        <v>703</v>
      </c>
      <c r="F202" s="6">
        <v>40</v>
      </c>
      <c r="G202" s="6" t="s">
        <v>34</v>
      </c>
      <c r="H202" s="6" t="s">
        <v>704</v>
      </c>
      <c r="I202" s="6" t="s">
        <v>3700</v>
      </c>
      <c r="J202" s="8">
        <v>43994</v>
      </c>
      <c r="K202" s="8">
        <v>45302</v>
      </c>
      <c r="L202" s="6">
        <v>70000.899999999994</v>
      </c>
      <c r="M202" s="6">
        <v>27800.75</v>
      </c>
      <c r="N202" s="6">
        <v>730</v>
      </c>
      <c r="O202" s="6">
        <v>125000</v>
      </c>
      <c r="P202" s="6" t="s">
        <v>26</v>
      </c>
      <c r="Q202" s="6" t="s">
        <v>27</v>
      </c>
      <c r="R202" s="6">
        <v>0</v>
      </c>
      <c r="S202" s="6" t="s">
        <v>28</v>
      </c>
      <c r="T202" s="7">
        <f t="shared" si="15"/>
        <v>0.22240599999999999</v>
      </c>
      <c r="U202" s="6">
        <f t="shared" si="16"/>
        <v>4</v>
      </c>
      <c r="V202" s="5" t="str">
        <f t="shared" si="17"/>
        <v>GOOD</v>
      </c>
      <c r="W202" s="6" t="str">
        <f t="shared" si="18"/>
        <v>35-44</v>
      </c>
      <c r="X202" s="6" t="str">
        <f t="shared" si="19"/>
        <v>Lower-Middle</v>
      </c>
    </row>
    <row r="203" spans="1:24">
      <c r="A203" s="6" t="s">
        <v>527</v>
      </c>
      <c r="B203" s="6" t="s">
        <v>705</v>
      </c>
      <c r="C203" s="6" t="s">
        <v>31</v>
      </c>
      <c r="D203" s="6" t="s">
        <v>32</v>
      </c>
      <c r="E203" s="6" t="s">
        <v>33</v>
      </c>
      <c r="F203" s="6">
        <v>29</v>
      </c>
      <c r="G203" s="6" t="s">
        <v>34</v>
      </c>
      <c r="H203" s="6" t="s">
        <v>706</v>
      </c>
      <c r="I203" s="6" t="s">
        <v>3578</v>
      </c>
      <c r="J203" s="8">
        <v>45064</v>
      </c>
      <c r="K203" s="8">
        <v>45305</v>
      </c>
      <c r="L203" s="6">
        <v>9500.4</v>
      </c>
      <c r="M203" s="6">
        <v>5600.25</v>
      </c>
      <c r="N203" s="6">
        <v>705</v>
      </c>
      <c r="O203" s="6">
        <v>39000</v>
      </c>
      <c r="P203" s="6" t="s">
        <v>26</v>
      </c>
      <c r="Q203" s="6" t="s">
        <v>43</v>
      </c>
      <c r="R203" s="6">
        <v>0</v>
      </c>
      <c r="S203" s="6" t="s">
        <v>28</v>
      </c>
      <c r="T203" s="7">
        <f t="shared" si="15"/>
        <v>0.14359615384615385</v>
      </c>
      <c r="U203" s="6">
        <f t="shared" si="16"/>
        <v>1</v>
      </c>
      <c r="V203" s="5" t="str">
        <f t="shared" si="17"/>
        <v>GOOD</v>
      </c>
      <c r="W203" s="6" t="str">
        <f t="shared" si="18"/>
        <v>25-34</v>
      </c>
      <c r="X203" s="6" t="str">
        <f t="shared" si="19"/>
        <v>Low</v>
      </c>
    </row>
    <row r="204" spans="1:24">
      <c r="A204" s="6" t="s">
        <v>530</v>
      </c>
      <c r="B204" s="6" t="s">
        <v>707</v>
      </c>
      <c r="C204" s="6" t="s">
        <v>57</v>
      </c>
      <c r="D204" s="6" t="s">
        <v>219</v>
      </c>
      <c r="E204" s="6" t="s">
        <v>220</v>
      </c>
      <c r="F204" s="6">
        <v>34</v>
      </c>
      <c r="G204" s="6" t="s">
        <v>24</v>
      </c>
      <c r="H204" s="6" t="s">
        <v>708</v>
      </c>
      <c r="I204" s="6" t="s">
        <v>3701</v>
      </c>
      <c r="J204" s="8">
        <v>44538</v>
      </c>
      <c r="K204" s="8">
        <v>45303</v>
      </c>
      <c r="L204" s="6">
        <v>14500.6</v>
      </c>
      <c r="M204" s="6">
        <v>6200.8</v>
      </c>
      <c r="N204" s="6">
        <v>710</v>
      </c>
      <c r="O204" s="6">
        <v>55000</v>
      </c>
      <c r="P204" s="6" t="s">
        <v>36</v>
      </c>
      <c r="Q204" s="6" t="s">
        <v>27</v>
      </c>
      <c r="R204" s="6">
        <v>0</v>
      </c>
      <c r="S204" s="6" t="s">
        <v>28</v>
      </c>
      <c r="T204" s="7">
        <f t="shared" si="15"/>
        <v>0.11274181818181818</v>
      </c>
      <c r="U204" s="6">
        <f t="shared" si="16"/>
        <v>3</v>
      </c>
      <c r="V204" s="5" t="str">
        <f t="shared" si="17"/>
        <v>GOOD</v>
      </c>
      <c r="W204" s="6" t="str">
        <f t="shared" si="18"/>
        <v>25-34</v>
      </c>
      <c r="X204" s="6" t="str">
        <f t="shared" si="19"/>
        <v>Low</v>
      </c>
    </row>
    <row r="205" spans="1:24">
      <c r="A205" s="6" t="s">
        <v>533</v>
      </c>
      <c r="B205" s="6" t="s">
        <v>709</v>
      </c>
      <c r="C205" s="6" t="s">
        <v>52</v>
      </c>
      <c r="D205" s="6" t="s">
        <v>204</v>
      </c>
      <c r="E205" s="6" t="s">
        <v>205</v>
      </c>
      <c r="F205" s="6">
        <v>41</v>
      </c>
      <c r="G205" s="6" t="s">
        <v>34</v>
      </c>
      <c r="H205" s="6" t="s">
        <v>710</v>
      </c>
      <c r="I205" s="6" t="s">
        <v>3702</v>
      </c>
      <c r="J205" s="8">
        <v>43835</v>
      </c>
      <c r="K205" s="8">
        <v>45301</v>
      </c>
      <c r="L205" s="6">
        <v>45800.25</v>
      </c>
      <c r="M205" s="6">
        <v>18900.900000000001</v>
      </c>
      <c r="N205" s="6">
        <v>695</v>
      </c>
      <c r="O205" s="6">
        <v>90000</v>
      </c>
      <c r="P205" s="6" t="s">
        <v>26</v>
      </c>
      <c r="Q205" s="6" t="s">
        <v>27</v>
      </c>
      <c r="R205" s="6">
        <v>0</v>
      </c>
      <c r="S205" s="6" t="s">
        <v>28</v>
      </c>
      <c r="T205" s="7">
        <f t="shared" si="15"/>
        <v>0.21001000000000003</v>
      </c>
      <c r="U205" s="6">
        <f t="shared" si="16"/>
        <v>5</v>
      </c>
      <c r="V205" s="5" t="str">
        <f t="shared" si="17"/>
        <v>GOOD</v>
      </c>
      <c r="W205" s="6" t="str">
        <f t="shared" si="18"/>
        <v>35-44</v>
      </c>
      <c r="X205" s="6" t="str">
        <f t="shared" si="19"/>
        <v>Lower-Middle</v>
      </c>
    </row>
    <row r="206" spans="1:24">
      <c r="A206" s="6" t="s">
        <v>536</v>
      </c>
      <c r="B206" s="6" t="s">
        <v>711</v>
      </c>
      <c r="C206" s="6" t="s">
        <v>39</v>
      </c>
      <c r="D206" s="6" t="s">
        <v>195</v>
      </c>
      <c r="E206" s="6" t="s">
        <v>196</v>
      </c>
      <c r="F206" s="6">
        <v>49</v>
      </c>
      <c r="G206" s="6" t="s">
        <v>24</v>
      </c>
      <c r="H206" s="6" t="s">
        <v>712</v>
      </c>
      <c r="I206" s="6" t="s">
        <v>3703</v>
      </c>
      <c r="J206" s="8">
        <v>43299</v>
      </c>
      <c r="K206" s="8">
        <v>45300</v>
      </c>
      <c r="L206" s="6">
        <v>145800.4</v>
      </c>
      <c r="M206" s="6">
        <v>70000.600000000006</v>
      </c>
      <c r="N206" s="6">
        <v>670</v>
      </c>
      <c r="O206" s="6">
        <v>157000</v>
      </c>
      <c r="P206" s="6" t="s">
        <v>76</v>
      </c>
      <c r="Q206" s="6" t="s">
        <v>27</v>
      </c>
      <c r="R206" s="6">
        <v>0</v>
      </c>
      <c r="S206" s="6" t="s">
        <v>28</v>
      </c>
      <c r="T206" s="7">
        <f t="shared" si="15"/>
        <v>0.44586369426751599</v>
      </c>
      <c r="U206" s="6">
        <f t="shared" si="16"/>
        <v>6</v>
      </c>
      <c r="V206" s="5" t="str">
        <f t="shared" si="17"/>
        <v>GOOD</v>
      </c>
      <c r="W206" s="6" t="str">
        <f t="shared" si="18"/>
        <v>45-54</v>
      </c>
      <c r="X206" s="6" t="str">
        <f t="shared" si="19"/>
        <v>Upper-Middle</v>
      </c>
    </row>
    <row r="207" spans="1:24">
      <c r="A207" s="6" t="s">
        <v>539</v>
      </c>
      <c r="B207" s="6" t="s">
        <v>713</v>
      </c>
      <c r="C207" s="6" t="s">
        <v>21</v>
      </c>
      <c r="D207" s="6" t="s">
        <v>58</v>
      </c>
      <c r="E207" s="6" t="s">
        <v>59</v>
      </c>
      <c r="F207" s="6">
        <v>57</v>
      </c>
      <c r="G207" s="6" t="s">
        <v>34</v>
      </c>
      <c r="H207" s="6" t="s">
        <v>714</v>
      </c>
      <c r="I207" s="6" t="s">
        <v>3704</v>
      </c>
      <c r="J207" s="8">
        <v>42855</v>
      </c>
      <c r="K207" s="8">
        <v>45299</v>
      </c>
      <c r="L207" s="6">
        <v>312700.75</v>
      </c>
      <c r="M207" s="6">
        <v>87000.8</v>
      </c>
      <c r="N207" s="6">
        <v>835</v>
      </c>
      <c r="O207" s="6">
        <v>302000</v>
      </c>
      <c r="P207" s="6" t="s">
        <v>36</v>
      </c>
      <c r="Q207" s="6" t="s">
        <v>27</v>
      </c>
      <c r="R207" s="6">
        <v>0</v>
      </c>
      <c r="S207" s="6" t="s">
        <v>28</v>
      </c>
      <c r="T207" s="7">
        <f t="shared" si="15"/>
        <v>0.28808211920529803</v>
      </c>
      <c r="U207" s="6">
        <f t="shared" si="16"/>
        <v>7</v>
      </c>
      <c r="V207" s="5" t="str">
        <f t="shared" si="17"/>
        <v>EXCEPTIONAL</v>
      </c>
      <c r="W207" s="6" t="str">
        <f t="shared" si="18"/>
        <v>55+</v>
      </c>
      <c r="X207" s="6" t="str">
        <f t="shared" si="19"/>
        <v>High</v>
      </c>
    </row>
    <row r="208" spans="1:24">
      <c r="A208" s="6" t="s">
        <v>542</v>
      </c>
      <c r="B208" s="6" t="s">
        <v>715</v>
      </c>
      <c r="C208" s="6" t="s">
        <v>52</v>
      </c>
      <c r="D208" s="6" t="s">
        <v>68</v>
      </c>
      <c r="E208" s="6" t="s">
        <v>179</v>
      </c>
      <c r="F208" s="6">
        <v>44</v>
      </c>
      <c r="G208" s="6" t="s">
        <v>34</v>
      </c>
      <c r="H208" s="6" t="s">
        <v>716</v>
      </c>
      <c r="I208" s="6" t="s">
        <v>3681</v>
      </c>
      <c r="J208" s="8">
        <v>43821</v>
      </c>
      <c r="K208" s="8">
        <v>45302</v>
      </c>
      <c r="L208" s="6">
        <v>54500.6</v>
      </c>
      <c r="M208" s="6">
        <v>24500.25</v>
      </c>
      <c r="N208" s="6">
        <v>665</v>
      </c>
      <c r="O208" s="6">
        <v>110000</v>
      </c>
      <c r="P208" s="6" t="s">
        <v>26</v>
      </c>
      <c r="Q208" s="6" t="s">
        <v>27</v>
      </c>
      <c r="R208" s="6">
        <v>0</v>
      </c>
      <c r="S208" s="6" t="s">
        <v>28</v>
      </c>
      <c r="T208" s="7">
        <f t="shared" si="15"/>
        <v>0.22272954545454546</v>
      </c>
      <c r="U208" s="6">
        <f t="shared" si="16"/>
        <v>4</v>
      </c>
      <c r="V208" s="5" t="str">
        <f t="shared" si="17"/>
        <v>FAIR</v>
      </c>
      <c r="W208" s="6" t="str">
        <f t="shared" si="18"/>
        <v>35-44</v>
      </c>
      <c r="X208" s="6" t="str">
        <f t="shared" si="19"/>
        <v>Lower-Middle</v>
      </c>
    </row>
    <row r="209" spans="1:24">
      <c r="A209" s="6" t="s">
        <v>545</v>
      </c>
      <c r="B209" s="6" t="s">
        <v>717</v>
      </c>
      <c r="C209" s="6" t="s">
        <v>46</v>
      </c>
      <c r="D209" s="6" t="s">
        <v>241</v>
      </c>
      <c r="E209" s="6" t="s">
        <v>242</v>
      </c>
      <c r="F209" s="6">
        <v>36</v>
      </c>
      <c r="G209" s="6" t="s">
        <v>24</v>
      </c>
      <c r="H209" s="6" t="s">
        <v>718</v>
      </c>
      <c r="I209" s="6" t="s">
        <v>3705</v>
      </c>
      <c r="J209" s="8">
        <v>44467</v>
      </c>
      <c r="K209" s="8">
        <v>45303</v>
      </c>
      <c r="L209" s="6">
        <v>77800.800000000003</v>
      </c>
      <c r="M209" s="6">
        <v>32000.400000000001</v>
      </c>
      <c r="N209" s="6">
        <v>750</v>
      </c>
      <c r="O209" s="6">
        <v>136000</v>
      </c>
      <c r="P209" s="6" t="s">
        <v>26</v>
      </c>
      <c r="Q209" s="6" t="s">
        <v>27</v>
      </c>
      <c r="R209" s="6">
        <v>0</v>
      </c>
      <c r="S209" s="6" t="s">
        <v>28</v>
      </c>
      <c r="T209" s="7">
        <f t="shared" si="15"/>
        <v>0.23529705882352941</v>
      </c>
      <c r="U209" s="6">
        <f t="shared" si="16"/>
        <v>3</v>
      </c>
      <c r="V209" s="5" t="str">
        <f t="shared" si="17"/>
        <v>VERY GOOD</v>
      </c>
      <c r="W209" s="6" t="str">
        <f t="shared" si="18"/>
        <v>35-44</v>
      </c>
      <c r="X209" s="6" t="str">
        <f t="shared" si="19"/>
        <v>Upper-Middle</v>
      </c>
    </row>
    <row r="210" spans="1:24">
      <c r="A210" s="6" t="s">
        <v>548</v>
      </c>
      <c r="B210" s="6" t="s">
        <v>719</v>
      </c>
      <c r="C210" s="6" t="s">
        <v>57</v>
      </c>
      <c r="D210" s="6" t="s">
        <v>22</v>
      </c>
      <c r="E210" s="6" t="s">
        <v>282</v>
      </c>
      <c r="F210" s="6">
        <v>32</v>
      </c>
      <c r="G210" s="6" t="s">
        <v>34</v>
      </c>
      <c r="H210" s="6" t="s">
        <v>720</v>
      </c>
      <c r="I210" s="6" t="s">
        <v>3706</v>
      </c>
      <c r="J210" s="8">
        <v>44642</v>
      </c>
      <c r="K210" s="8">
        <v>45305</v>
      </c>
      <c r="L210" s="6">
        <v>16700.900000000001</v>
      </c>
      <c r="M210" s="6">
        <v>7200.75</v>
      </c>
      <c r="N210" s="6">
        <v>770</v>
      </c>
      <c r="O210" s="6">
        <v>67000</v>
      </c>
      <c r="P210" s="6" t="s">
        <v>36</v>
      </c>
      <c r="Q210" s="6" t="s">
        <v>27</v>
      </c>
      <c r="R210" s="6">
        <v>0</v>
      </c>
      <c r="S210" s="6" t="s">
        <v>28</v>
      </c>
      <c r="T210" s="7">
        <f t="shared" si="15"/>
        <v>0.10747388059701493</v>
      </c>
      <c r="U210" s="6">
        <f t="shared" si="16"/>
        <v>1</v>
      </c>
      <c r="V210" s="5" t="str">
        <f t="shared" si="17"/>
        <v>VERY GOOD</v>
      </c>
      <c r="W210" s="6" t="str">
        <f t="shared" si="18"/>
        <v>25-34</v>
      </c>
      <c r="X210" s="6" t="str">
        <f t="shared" si="19"/>
        <v>Low</v>
      </c>
    </row>
    <row r="211" spans="1:24">
      <c r="A211" s="6" t="s">
        <v>551</v>
      </c>
      <c r="B211" s="6" t="s">
        <v>721</v>
      </c>
      <c r="C211" s="6" t="s">
        <v>39</v>
      </c>
      <c r="D211" s="6" t="s">
        <v>313</v>
      </c>
      <c r="E211" s="6" t="s">
        <v>385</v>
      </c>
      <c r="F211" s="6">
        <v>55</v>
      </c>
      <c r="G211" s="6" t="s">
        <v>24</v>
      </c>
      <c r="H211" s="6" t="s">
        <v>722</v>
      </c>
      <c r="I211" s="6" t="s">
        <v>3707</v>
      </c>
      <c r="J211" s="8">
        <v>43023</v>
      </c>
      <c r="K211" s="8">
        <v>45299</v>
      </c>
      <c r="L211" s="6">
        <v>198900.25</v>
      </c>
      <c r="M211" s="6">
        <v>91000.8</v>
      </c>
      <c r="N211" s="6">
        <v>645</v>
      </c>
      <c r="O211" s="6">
        <v>207000</v>
      </c>
      <c r="P211" s="6" t="s">
        <v>76</v>
      </c>
      <c r="Q211" s="6" t="s">
        <v>27</v>
      </c>
      <c r="R211" s="6">
        <v>0</v>
      </c>
      <c r="S211" s="6" t="s">
        <v>28</v>
      </c>
      <c r="T211" s="7">
        <f t="shared" si="15"/>
        <v>0.43961739130434785</v>
      </c>
      <c r="U211" s="6">
        <f t="shared" si="16"/>
        <v>7</v>
      </c>
      <c r="V211" s="5" t="str">
        <f t="shared" si="17"/>
        <v>FAIR</v>
      </c>
      <c r="W211" s="6" t="str">
        <f t="shared" si="18"/>
        <v>55+</v>
      </c>
      <c r="X211" s="6" t="str">
        <f t="shared" si="19"/>
        <v>High</v>
      </c>
    </row>
    <row r="212" spans="1:24">
      <c r="A212" s="6" t="s">
        <v>554</v>
      </c>
      <c r="B212" s="6" t="s">
        <v>723</v>
      </c>
      <c r="C212" s="6" t="s">
        <v>31</v>
      </c>
      <c r="D212" s="6" t="s">
        <v>214</v>
      </c>
      <c r="E212" s="6" t="s">
        <v>724</v>
      </c>
      <c r="F212" s="6">
        <v>28</v>
      </c>
      <c r="G212" s="6" t="s">
        <v>34</v>
      </c>
      <c r="H212" s="6" t="s">
        <v>725</v>
      </c>
      <c r="I212" s="6" t="s">
        <v>3708</v>
      </c>
      <c r="J212" s="8">
        <v>45085</v>
      </c>
      <c r="K212" s="8">
        <v>45306</v>
      </c>
      <c r="L212" s="6">
        <v>12200.5</v>
      </c>
      <c r="M212" s="6">
        <v>6800.4</v>
      </c>
      <c r="N212" s="6">
        <v>720</v>
      </c>
      <c r="O212" s="6">
        <v>44000</v>
      </c>
      <c r="P212" s="6" t="s">
        <v>36</v>
      </c>
      <c r="Q212" s="6" t="s">
        <v>27</v>
      </c>
      <c r="R212" s="6">
        <v>0</v>
      </c>
      <c r="S212" s="6" t="s">
        <v>28</v>
      </c>
      <c r="T212" s="7">
        <f t="shared" si="15"/>
        <v>0.15455454545454544</v>
      </c>
      <c r="U212" s="6">
        <f t="shared" si="16"/>
        <v>0</v>
      </c>
      <c r="V212" s="5" t="str">
        <f t="shared" si="17"/>
        <v>GOOD</v>
      </c>
      <c r="W212" s="6" t="str">
        <f t="shared" si="18"/>
        <v>25-34</v>
      </c>
      <c r="X212" s="6" t="str">
        <f t="shared" si="19"/>
        <v>Low</v>
      </c>
    </row>
    <row r="213" spans="1:24">
      <c r="A213" s="6" t="s">
        <v>108</v>
      </c>
      <c r="B213" s="6" t="s">
        <v>726</v>
      </c>
      <c r="C213" s="6" t="s">
        <v>84</v>
      </c>
      <c r="D213" s="6" t="s">
        <v>32</v>
      </c>
      <c r="E213" s="6" t="s">
        <v>33</v>
      </c>
      <c r="F213" s="6">
        <v>24</v>
      </c>
      <c r="G213" s="6" t="s">
        <v>24</v>
      </c>
      <c r="H213" s="6" t="s">
        <v>727</v>
      </c>
      <c r="I213" s="6" t="s">
        <v>3688</v>
      </c>
      <c r="J213" s="8">
        <v>45242</v>
      </c>
      <c r="K213" s="8">
        <v>45304</v>
      </c>
      <c r="L213" s="6">
        <v>2050.8000000000002</v>
      </c>
      <c r="M213" s="6">
        <v>9000.25</v>
      </c>
      <c r="N213" s="6">
        <v>605</v>
      </c>
      <c r="O213" s="6">
        <v>20000</v>
      </c>
      <c r="P213" s="6" t="s">
        <v>76</v>
      </c>
      <c r="Q213" s="6" t="s">
        <v>43</v>
      </c>
      <c r="R213" s="6">
        <v>0</v>
      </c>
      <c r="S213" s="6" t="s">
        <v>28</v>
      </c>
      <c r="T213" s="7">
        <f t="shared" si="15"/>
        <v>0.45001249999999998</v>
      </c>
      <c r="U213" s="6">
        <f t="shared" si="16"/>
        <v>2</v>
      </c>
      <c r="V213" s="5" t="str">
        <f t="shared" si="17"/>
        <v>FAIR</v>
      </c>
      <c r="W213" s="6" t="str">
        <f t="shared" si="18"/>
        <v>18-24</v>
      </c>
      <c r="X213" s="6" t="str">
        <f t="shared" si="19"/>
        <v>Low</v>
      </c>
    </row>
    <row r="214" spans="1:24">
      <c r="A214" s="6" t="s">
        <v>559</v>
      </c>
      <c r="B214" s="6" t="s">
        <v>728</v>
      </c>
      <c r="C214" s="6" t="s">
        <v>46</v>
      </c>
      <c r="D214" s="6" t="s">
        <v>254</v>
      </c>
      <c r="E214" s="6" t="s">
        <v>255</v>
      </c>
      <c r="F214" s="6">
        <v>38</v>
      </c>
      <c r="G214" s="6" t="s">
        <v>34</v>
      </c>
      <c r="H214" s="6" t="s">
        <v>729</v>
      </c>
      <c r="I214" s="6" t="s">
        <v>3709</v>
      </c>
      <c r="J214" s="8">
        <v>44334</v>
      </c>
      <c r="K214" s="8">
        <v>45302</v>
      </c>
      <c r="L214" s="6">
        <v>64500.4</v>
      </c>
      <c r="M214" s="6">
        <v>26700.75</v>
      </c>
      <c r="N214" s="6">
        <v>710</v>
      </c>
      <c r="O214" s="6">
        <v>118000</v>
      </c>
      <c r="P214" s="6" t="s">
        <v>26</v>
      </c>
      <c r="Q214" s="6" t="s">
        <v>27</v>
      </c>
      <c r="R214" s="6">
        <v>0</v>
      </c>
      <c r="S214" s="6" t="s">
        <v>28</v>
      </c>
      <c r="T214" s="7">
        <f t="shared" si="15"/>
        <v>0.22627754237288136</v>
      </c>
      <c r="U214" s="6">
        <f t="shared" si="16"/>
        <v>4</v>
      </c>
      <c r="V214" s="5" t="str">
        <f t="shared" si="17"/>
        <v>GOOD</v>
      </c>
      <c r="W214" s="6" t="str">
        <f t="shared" si="18"/>
        <v>35-44</v>
      </c>
      <c r="X214" s="6" t="str">
        <f t="shared" si="19"/>
        <v>Lower-Middle</v>
      </c>
    </row>
    <row r="215" spans="1:24">
      <c r="A215" s="6" t="s">
        <v>562</v>
      </c>
      <c r="B215" s="6" t="s">
        <v>730</v>
      </c>
      <c r="C215" s="6" t="s">
        <v>39</v>
      </c>
      <c r="D215" s="6" t="s">
        <v>47</v>
      </c>
      <c r="E215" s="6" t="s">
        <v>48</v>
      </c>
      <c r="F215" s="6">
        <v>52</v>
      </c>
      <c r="G215" s="6" t="s">
        <v>24</v>
      </c>
      <c r="H215" s="6" t="s">
        <v>731</v>
      </c>
      <c r="I215" s="6" t="s">
        <v>3710</v>
      </c>
      <c r="J215" s="8">
        <v>43195</v>
      </c>
      <c r="K215" s="8">
        <v>45300</v>
      </c>
      <c r="L215" s="6">
        <v>179100.6</v>
      </c>
      <c r="M215" s="6">
        <v>84000.25</v>
      </c>
      <c r="N215" s="6">
        <v>675</v>
      </c>
      <c r="O215" s="6">
        <v>187000</v>
      </c>
      <c r="P215" s="6" t="s">
        <v>76</v>
      </c>
      <c r="Q215" s="6" t="s">
        <v>27</v>
      </c>
      <c r="R215" s="6">
        <v>0</v>
      </c>
      <c r="S215" s="6" t="s">
        <v>28</v>
      </c>
      <c r="T215" s="7">
        <f t="shared" si="15"/>
        <v>0.44919919786096257</v>
      </c>
      <c r="U215" s="6">
        <f t="shared" si="16"/>
        <v>6</v>
      </c>
      <c r="V215" s="5" t="str">
        <f t="shared" si="17"/>
        <v>GOOD</v>
      </c>
      <c r="W215" s="6" t="str">
        <f t="shared" si="18"/>
        <v>45-54</v>
      </c>
      <c r="X215" s="6" t="str">
        <f t="shared" si="19"/>
        <v>Upper-Middle</v>
      </c>
    </row>
    <row r="216" spans="1:24">
      <c r="A216" s="6" t="s">
        <v>565</v>
      </c>
      <c r="B216" s="6" t="s">
        <v>732</v>
      </c>
      <c r="C216" s="6" t="s">
        <v>52</v>
      </c>
      <c r="D216" s="6" t="s">
        <v>233</v>
      </c>
      <c r="E216" s="6" t="s">
        <v>234</v>
      </c>
      <c r="F216" s="6">
        <v>37</v>
      </c>
      <c r="G216" s="6" t="s">
        <v>34</v>
      </c>
      <c r="H216" s="6" t="s">
        <v>733</v>
      </c>
      <c r="I216" s="6" t="s">
        <v>3711</v>
      </c>
      <c r="J216" s="8">
        <v>44119</v>
      </c>
      <c r="K216" s="8">
        <v>45301</v>
      </c>
      <c r="L216" s="6">
        <v>40900.75</v>
      </c>
      <c r="M216" s="6">
        <v>17800.8</v>
      </c>
      <c r="N216" s="6">
        <v>725</v>
      </c>
      <c r="O216" s="6">
        <v>84000</v>
      </c>
      <c r="P216" s="6" t="s">
        <v>26</v>
      </c>
      <c r="Q216" s="6" t="s">
        <v>27</v>
      </c>
      <c r="R216" s="6">
        <v>0</v>
      </c>
      <c r="S216" s="6" t="s">
        <v>28</v>
      </c>
      <c r="T216" s="7">
        <f t="shared" si="15"/>
        <v>0.21191428571428569</v>
      </c>
      <c r="U216" s="6">
        <f t="shared" si="16"/>
        <v>5</v>
      </c>
      <c r="V216" s="5" t="str">
        <f t="shared" si="17"/>
        <v>GOOD</v>
      </c>
      <c r="W216" s="6" t="str">
        <f t="shared" si="18"/>
        <v>35-44</v>
      </c>
      <c r="X216" s="6" t="str">
        <f t="shared" si="19"/>
        <v>Lower-Middle</v>
      </c>
    </row>
    <row r="217" spans="1:24">
      <c r="A217" s="6" t="s">
        <v>568</v>
      </c>
      <c r="B217" s="6" t="s">
        <v>734</v>
      </c>
      <c r="C217" s="6" t="s">
        <v>57</v>
      </c>
      <c r="D217" s="6" t="s">
        <v>79</v>
      </c>
      <c r="E217" s="6" t="s">
        <v>80</v>
      </c>
      <c r="F217" s="6">
        <v>35</v>
      </c>
      <c r="G217" s="6" t="s">
        <v>24</v>
      </c>
      <c r="H217" s="6" t="s">
        <v>735</v>
      </c>
      <c r="I217" s="6" t="s">
        <v>3712</v>
      </c>
      <c r="J217" s="8">
        <v>44573</v>
      </c>
      <c r="K217" s="8">
        <v>45303</v>
      </c>
      <c r="L217" s="6">
        <v>18900.400000000001</v>
      </c>
      <c r="M217" s="6">
        <v>8000.9</v>
      </c>
      <c r="N217" s="6">
        <v>740</v>
      </c>
      <c r="O217" s="6">
        <v>70000</v>
      </c>
      <c r="P217" s="6" t="s">
        <v>36</v>
      </c>
      <c r="Q217" s="6" t="s">
        <v>27</v>
      </c>
      <c r="R217" s="6">
        <v>0</v>
      </c>
      <c r="S217" s="6" t="s">
        <v>28</v>
      </c>
      <c r="T217" s="7">
        <f t="shared" si="15"/>
        <v>0.11429857142857143</v>
      </c>
      <c r="U217" s="6">
        <f t="shared" si="16"/>
        <v>3</v>
      </c>
      <c r="V217" s="5" t="str">
        <f t="shared" si="17"/>
        <v>GOOD</v>
      </c>
      <c r="W217" s="6" t="str">
        <f t="shared" si="18"/>
        <v>35-44</v>
      </c>
      <c r="X217" s="6" t="str">
        <f t="shared" si="19"/>
        <v>Low</v>
      </c>
    </row>
    <row r="218" spans="1:24">
      <c r="A218" s="6" t="s">
        <v>571</v>
      </c>
      <c r="B218" s="6" t="s">
        <v>736</v>
      </c>
      <c r="C218" s="6" t="s">
        <v>21</v>
      </c>
      <c r="D218" s="6" t="s">
        <v>63</v>
      </c>
      <c r="E218" s="6" t="s">
        <v>3514</v>
      </c>
      <c r="F218" s="6">
        <v>58</v>
      </c>
      <c r="G218" s="6" t="s">
        <v>34</v>
      </c>
      <c r="H218" s="6" t="s">
        <v>737</v>
      </c>
      <c r="I218" s="6" t="s">
        <v>3713</v>
      </c>
      <c r="J218" s="8">
        <v>42726</v>
      </c>
      <c r="K218" s="8">
        <v>45299</v>
      </c>
      <c r="L218" s="6">
        <v>268000.90000000002</v>
      </c>
      <c r="M218" s="6">
        <v>74000.600000000006</v>
      </c>
      <c r="N218" s="6">
        <v>830</v>
      </c>
      <c r="O218" s="6">
        <v>282000</v>
      </c>
      <c r="P218" s="6" t="s">
        <v>36</v>
      </c>
      <c r="Q218" s="6" t="s">
        <v>27</v>
      </c>
      <c r="R218" s="6">
        <v>0</v>
      </c>
      <c r="S218" s="6" t="s">
        <v>28</v>
      </c>
      <c r="T218" s="7">
        <f t="shared" si="15"/>
        <v>0.26241347517730501</v>
      </c>
      <c r="U218" s="6">
        <f t="shared" si="16"/>
        <v>7</v>
      </c>
      <c r="V218" s="5" t="str">
        <f t="shared" si="17"/>
        <v>EXCEPTIONAL</v>
      </c>
      <c r="W218" s="6" t="str">
        <f t="shared" si="18"/>
        <v>55+</v>
      </c>
      <c r="X218" s="6" t="str">
        <f t="shared" si="19"/>
        <v>High</v>
      </c>
    </row>
    <row r="219" spans="1:24">
      <c r="A219" s="6" t="s">
        <v>574</v>
      </c>
      <c r="B219" s="6" t="s">
        <v>738</v>
      </c>
      <c r="C219" s="6" t="s">
        <v>39</v>
      </c>
      <c r="D219" s="6" t="s">
        <v>68</v>
      </c>
      <c r="E219" s="6" t="s">
        <v>114</v>
      </c>
      <c r="F219" s="6">
        <v>50</v>
      </c>
      <c r="G219" s="6" t="s">
        <v>24</v>
      </c>
      <c r="H219" s="6" t="s">
        <v>739</v>
      </c>
      <c r="I219" s="6" t="s">
        <v>3714</v>
      </c>
      <c r="J219" s="8">
        <v>43351</v>
      </c>
      <c r="K219" s="8">
        <v>45300</v>
      </c>
      <c r="L219" s="6">
        <v>156900.25</v>
      </c>
      <c r="M219" s="6">
        <v>76000.399999999994</v>
      </c>
      <c r="N219" s="6">
        <v>655</v>
      </c>
      <c r="O219" s="6">
        <v>172000</v>
      </c>
      <c r="P219" s="6" t="s">
        <v>76</v>
      </c>
      <c r="Q219" s="6" t="s">
        <v>27</v>
      </c>
      <c r="R219" s="6">
        <v>0</v>
      </c>
      <c r="S219" s="6" t="s">
        <v>28</v>
      </c>
      <c r="T219" s="7">
        <f t="shared" si="15"/>
        <v>0.44186279069767437</v>
      </c>
      <c r="U219" s="6">
        <f t="shared" si="16"/>
        <v>6</v>
      </c>
      <c r="V219" s="5" t="str">
        <f t="shared" si="17"/>
        <v>FAIR</v>
      </c>
      <c r="W219" s="6" t="str">
        <f t="shared" si="18"/>
        <v>45-54</v>
      </c>
      <c r="X219" s="6" t="str">
        <f t="shared" si="19"/>
        <v>Upper-Middle</v>
      </c>
    </row>
    <row r="220" spans="1:24">
      <c r="A220" s="6" t="s">
        <v>577</v>
      </c>
      <c r="B220" s="6" t="s">
        <v>740</v>
      </c>
      <c r="C220" s="6" t="s">
        <v>46</v>
      </c>
      <c r="D220" s="6" t="s">
        <v>85</v>
      </c>
      <c r="E220" s="6" t="s">
        <v>86</v>
      </c>
      <c r="F220" s="6">
        <v>39</v>
      </c>
      <c r="G220" s="6" t="s">
        <v>34</v>
      </c>
      <c r="H220" s="6" t="s">
        <v>741</v>
      </c>
      <c r="I220" s="6" t="s">
        <v>3715</v>
      </c>
      <c r="J220" s="8">
        <v>44255</v>
      </c>
      <c r="K220" s="8">
        <v>45302</v>
      </c>
      <c r="L220" s="6">
        <v>83400.600000000006</v>
      </c>
      <c r="M220" s="6">
        <v>34700.75</v>
      </c>
      <c r="N220" s="6">
        <v>760</v>
      </c>
      <c r="O220" s="6">
        <v>141000</v>
      </c>
      <c r="P220" s="6" t="s">
        <v>26</v>
      </c>
      <c r="Q220" s="6" t="s">
        <v>27</v>
      </c>
      <c r="R220" s="6">
        <v>0</v>
      </c>
      <c r="S220" s="6" t="s">
        <v>28</v>
      </c>
      <c r="T220" s="7">
        <f t="shared" si="15"/>
        <v>0.24610460992907801</v>
      </c>
      <c r="U220" s="6">
        <f t="shared" si="16"/>
        <v>4</v>
      </c>
      <c r="V220" s="5" t="str">
        <f t="shared" si="17"/>
        <v>VERY GOOD</v>
      </c>
      <c r="W220" s="6" t="str">
        <f t="shared" si="18"/>
        <v>35-44</v>
      </c>
      <c r="X220" s="6" t="str">
        <f t="shared" si="19"/>
        <v>Upper-Middle</v>
      </c>
    </row>
    <row r="221" spans="1:24">
      <c r="A221" s="6" t="s">
        <v>458</v>
      </c>
      <c r="B221" s="6" t="s">
        <v>742</v>
      </c>
      <c r="C221" s="6" t="s">
        <v>31</v>
      </c>
      <c r="D221" s="6" t="s">
        <v>460</v>
      </c>
      <c r="E221" s="6" t="s">
        <v>743</v>
      </c>
      <c r="F221" s="6">
        <v>30</v>
      </c>
      <c r="G221" s="6" t="s">
        <v>24</v>
      </c>
      <c r="H221" s="6" t="s">
        <v>744</v>
      </c>
      <c r="I221" s="6" t="s">
        <v>3716</v>
      </c>
      <c r="J221" s="8">
        <v>45044</v>
      </c>
      <c r="K221" s="8">
        <v>45306</v>
      </c>
      <c r="L221" s="6">
        <v>9400.25</v>
      </c>
      <c r="M221" s="6">
        <v>5500.8</v>
      </c>
      <c r="N221" s="6">
        <v>695</v>
      </c>
      <c r="O221" s="6">
        <v>41000</v>
      </c>
      <c r="P221" s="6" t="s">
        <v>26</v>
      </c>
      <c r="Q221" s="6" t="s">
        <v>43</v>
      </c>
      <c r="R221" s="6">
        <v>0</v>
      </c>
      <c r="S221" s="6" t="s">
        <v>28</v>
      </c>
      <c r="T221" s="7">
        <f t="shared" si="15"/>
        <v>0.13416585365853659</v>
      </c>
      <c r="U221" s="6">
        <f t="shared" si="16"/>
        <v>0</v>
      </c>
      <c r="V221" s="5" t="str">
        <f t="shared" si="17"/>
        <v>GOOD</v>
      </c>
      <c r="W221" s="6" t="str">
        <f t="shared" si="18"/>
        <v>25-34</v>
      </c>
      <c r="X221" s="6" t="str">
        <f t="shared" si="19"/>
        <v>Low</v>
      </c>
    </row>
    <row r="222" spans="1:24">
      <c r="A222" s="6" t="s">
        <v>582</v>
      </c>
      <c r="B222" s="6" t="s">
        <v>745</v>
      </c>
      <c r="C222" s="6" t="s">
        <v>57</v>
      </c>
      <c r="D222" s="6" t="s">
        <v>22</v>
      </c>
      <c r="E222" s="6" t="s">
        <v>23</v>
      </c>
      <c r="F222" s="6">
        <v>33</v>
      </c>
      <c r="G222" s="6" t="s">
        <v>34</v>
      </c>
      <c r="H222" s="6" t="s">
        <v>746</v>
      </c>
      <c r="I222" s="6" t="s">
        <v>3717</v>
      </c>
      <c r="J222" s="8">
        <v>44508</v>
      </c>
      <c r="K222" s="8">
        <v>45303</v>
      </c>
      <c r="L222" s="6">
        <v>17800.900000000001</v>
      </c>
      <c r="M222" s="6">
        <v>7600.25</v>
      </c>
      <c r="N222" s="6">
        <v>755</v>
      </c>
      <c r="O222" s="6">
        <v>63000</v>
      </c>
      <c r="P222" s="6" t="s">
        <v>36</v>
      </c>
      <c r="Q222" s="6" t="s">
        <v>27</v>
      </c>
      <c r="R222" s="6">
        <v>0</v>
      </c>
      <c r="S222" s="6" t="s">
        <v>28</v>
      </c>
      <c r="T222" s="7">
        <f t="shared" si="15"/>
        <v>0.12063888888888889</v>
      </c>
      <c r="U222" s="6">
        <f t="shared" si="16"/>
        <v>3</v>
      </c>
      <c r="V222" s="5" t="str">
        <f t="shared" si="17"/>
        <v>VERY GOOD</v>
      </c>
      <c r="W222" s="6" t="str">
        <f t="shared" si="18"/>
        <v>25-34</v>
      </c>
      <c r="X222" s="6" t="str">
        <f t="shared" si="19"/>
        <v>Low</v>
      </c>
    </row>
    <row r="223" spans="1:24">
      <c r="A223" s="6" t="s">
        <v>55</v>
      </c>
      <c r="B223" s="6" t="s">
        <v>747</v>
      </c>
      <c r="C223" s="6" t="s">
        <v>39</v>
      </c>
      <c r="D223" s="6" t="s">
        <v>58</v>
      </c>
      <c r="E223" s="6" t="s">
        <v>122</v>
      </c>
      <c r="F223" s="6">
        <v>51</v>
      </c>
      <c r="G223" s="6" t="s">
        <v>24</v>
      </c>
      <c r="H223" s="6" t="s">
        <v>748</v>
      </c>
      <c r="I223" s="6" t="s">
        <v>3718</v>
      </c>
      <c r="J223" s="8">
        <v>43263</v>
      </c>
      <c r="K223" s="8">
        <v>45300</v>
      </c>
      <c r="L223" s="6">
        <v>189800.4</v>
      </c>
      <c r="M223" s="6">
        <v>89000.75</v>
      </c>
      <c r="N223" s="6">
        <v>685</v>
      </c>
      <c r="O223" s="6">
        <v>197000</v>
      </c>
      <c r="P223" s="6" t="s">
        <v>76</v>
      </c>
      <c r="Q223" s="6" t="s">
        <v>27</v>
      </c>
      <c r="R223" s="6">
        <v>0</v>
      </c>
      <c r="S223" s="6" t="s">
        <v>28</v>
      </c>
      <c r="T223" s="7">
        <f t="shared" si="15"/>
        <v>0.45178045685279189</v>
      </c>
      <c r="U223" s="6">
        <f t="shared" si="16"/>
        <v>6</v>
      </c>
      <c r="V223" s="5" t="str">
        <f t="shared" si="17"/>
        <v>GOOD</v>
      </c>
      <c r="W223" s="6" t="str">
        <f t="shared" si="18"/>
        <v>45-54</v>
      </c>
      <c r="X223" s="6" t="str">
        <f t="shared" si="19"/>
        <v>High</v>
      </c>
    </row>
    <row r="224" spans="1:24">
      <c r="A224" s="6" t="s">
        <v>469</v>
      </c>
      <c r="B224" s="6" t="s">
        <v>749</v>
      </c>
      <c r="C224" s="6" t="s">
        <v>52</v>
      </c>
      <c r="D224" s="6" t="s">
        <v>471</v>
      </c>
      <c r="E224" s="6" t="s">
        <v>472</v>
      </c>
      <c r="F224" s="6">
        <v>42</v>
      </c>
      <c r="G224" s="6" t="s">
        <v>34</v>
      </c>
      <c r="H224" s="6" t="s">
        <v>750</v>
      </c>
      <c r="I224" s="6" t="s">
        <v>3719</v>
      </c>
      <c r="J224" s="8">
        <v>43902</v>
      </c>
      <c r="K224" s="8">
        <v>45301</v>
      </c>
      <c r="L224" s="6">
        <v>47800.800000000003</v>
      </c>
      <c r="M224" s="6">
        <v>20900.599999999999</v>
      </c>
      <c r="N224" s="6">
        <v>715</v>
      </c>
      <c r="O224" s="6">
        <v>96000</v>
      </c>
      <c r="P224" s="6" t="s">
        <v>26</v>
      </c>
      <c r="Q224" s="6" t="s">
        <v>27</v>
      </c>
      <c r="R224" s="6">
        <v>0</v>
      </c>
      <c r="S224" s="6" t="s">
        <v>28</v>
      </c>
      <c r="T224" s="7">
        <f t="shared" si="15"/>
        <v>0.21771458333333332</v>
      </c>
      <c r="U224" s="6">
        <f t="shared" si="16"/>
        <v>5</v>
      </c>
      <c r="V224" s="5" t="str">
        <f t="shared" si="17"/>
        <v>GOOD</v>
      </c>
      <c r="W224" s="6" t="str">
        <f t="shared" si="18"/>
        <v>35-44</v>
      </c>
      <c r="X224" s="6" t="str">
        <f t="shared" si="19"/>
        <v>Lower-Middle</v>
      </c>
    </row>
    <row r="225" spans="1:24">
      <c r="A225" s="6" t="s">
        <v>474</v>
      </c>
      <c r="B225" s="6" t="s">
        <v>751</v>
      </c>
      <c r="C225" s="6" t="s">
        <v>46</v>
      </c>
      <c r="D225" s="6" t="s">
        <v>345</v>
      </c>
      <c r="E225" s="6" t="s">
        <v>346</v>
      </c>
      <c r="F225" s="6">
        <v>45</v>
      </c>
      <c r="G225" s="6" t="s">
        <v>24</v>
      </c>
      <c r="H225" s="6" t="s">
        <v>752</v>
      </c>
      <c r="I225" s="6" t="s">
        <v>3720</v>
      </c>
      <c r="J225" s="8">
        <v>43804</v>
      </c>
      <c r="K225" s="8">
        <v>45302</v>
      </c>
      <c r="L225" s="6">
        <v>75600.25</v>
      </c>
      <c r="M225" s="6">
        <v>30900.400000000001</v>
      </c>
      <c r="N225" s="6">
        <v>680</v>
      </c>
      <c r="O225" s="6">
        <v>125000</v>
      </c>
      <c r="P225" s="6" t="s">
        <v>26</v>
      </c>
      <c r="Q225" s="6" t="s">
        <v>27</v>
      </c>
      <c r="R225" s="6">
        <v>0</v>
      </c>
      <c r="S225" s="6" t="s">
        <v>28</v>
      </c>
      <c r="T225" s="7">
        <f t="shared" si="15"/>
        <v>0.24720320000000001</v>
      </c>
      <c r="U225" s="6">
        <f t="shared" si="16"/>
        <v>4</v>
      </c>
      <c r="V225" s="5" t="str">
        <f t="shared" si="17"/>
        <v>GOOD</v>
      </c>
      <c r="W225" s="6" t="str">
        <f t="shared" si="18"/>
        <v>45-54</v>
      </c>
      <c r="X225" s="6" t="str">
        <f t="shared" si="19"/>
        <v>Lower-Middle</v>
      </c>
    </row>
    <row r="226" spans="1:24">
      <c r="A226" s="6" t="s">
        <v>592</v>
      </c>
      <c r="B226" s="6" t="s">
        <v>753</v>
      </c>
      <c r="C226" s="6" t="s">
        <v>84</v>
      </c>
      <c r="D226" s="6" t="s">
        <v>32</v>
      </c>
      <c r="E226" s="6" t="s">
        <v>90</v>
      </c>
      <c r="F226" s="6">
        <v>25</v>
      </c>
      <c r="G226" s="6" t="s">
        <v>34</v>
      </c>
      <c r="H226" s="6" t="s">
        <v>754</v>
      </c>
      <c r="I226" s="6" t="s">
        <v>3721</v>
      </c>
      <c r="J226" s="8">
        <v>45204</v>
      </c>
      <c r="K226" s="8">
        <v>45304</v>
      </c>
      <c r="L226" s="6">
        <v>2150.4</v>
      </c>
      <c r="M226" s="6">
        <v>9600.75</v>
      </c>
      <c r="N226" s="6">
        <v>610</v>
      </c>
      <c r="O226" s="6">
        <v>21000</v>
      </c>
      <c r="P226" s="6" t="s">
        <v>76</v>
      </c>
      <c r="Q226" s="6" t="s">
        <v>43</v>
      </c>
      <c r="R226" s="6">
        <v>0</v>
      </c>
      <c r="S226" s="6" t="s">
        <v>28</v>
      </c>
      <c r="T226" s="7">
        <f t="shared" si="15"/>
        <v>0.45717857142857143</v>
      </c>
      <c r="U226" s="6">
        <f t="shared" si="16"/>
        <v>2</v>
      </c>
      <c r="V226" s="5" t="str">
        <f t="shared" si="17"/>
        <v>FAIR</v>
      </c>
      <c r="W226" s="6" t="str">
        <f t="shared" si="18"/>
        <v>25-34</v>
      </c>
      <c r="X226" s="6" t="str">
        <f t="shared" si="19"/>
        <v>Low</v>
      </c>
    </row>
    <row r="227" spans="1:24">
      <c r="A227" s="6" t="s">
        <v>595</v>
      </c>
      <c r="B227" s="6" t="s">
        <v>755</v>
      </c>
      <c r="C227" s="6" t="s">
        <v>21</v>
      </c>
      <c r="D227" s="6" t="s">
        <v>209</v>
      </c>
      <c r="E227" s="6" t="s">
        <v>210</v>
      </c>
      <c r="F227" s="6">
        <v>57</v>
      </c>
      <c r="G227" s="6" t="s">
        <v>24</v>
      </c>
      <c r="H227" s="6" t="s">
        <v>756</v>
      </c>
      <c r="I227" s="6" t="s">
        <v>3722</v>
      </c>
      <c r="J227" s="8">
        <v>42965</v>
      </c>
      <c r="K227" s="8">
        <v>45299</v>
      </c>
      <c r="L227" s="6">
        <v>287800.8</v>
      </c>
      <c r="M227" s="6">
        <v>80000.25</v>
      </c>
      <c r="N227" s="6">
        <v>825</v>
      </c>
      <c r="O227" s="6">
        <v>277000</v>
      </c>
      <c r="P227" s="6" t="s">
        <v>36</v>
      </c>
      <c r="Q227" s="6" t="s">
        <v>27</v>
      </c>
      <c r="R227" s="6">
        <v>0</v>
      </c>
      <c r="S227" s="6" t="s">
        <v>28</v>
      </c>
      <c r="T227" s="7">
        <f t="shared" si="15"/>
        <v>0.28880956678700359</v>
      </c>
      <c r="U227" s="6">
        <f t="shared" si="16"/>
        <v>7</v>
      </c>
      <c r="V227" s="5" t="str">
        <f t="shared" si="17"/>
        <v>EXCEPTIONAL</v>
      </c>
      <c r="W227" s="6" t="str">
        <f t="shared" si="18"/>
        <v>55+</v>
      </c>
      <c r="X227" s="6" t="str">
        <f t="shared" si="19"/>
        <v>High</v>
      </c>
    </row>
    <row r="228" spans="1:24">
      <c r="A228" s="6" t="s">
        <v>226</v>
      </c>
      <c r="B228" s="6" t="s">
        <v>757</v>
      </c>
      <c r="C228" s="6" t="s">
        <v>57</v>
      </c>
      <c r="D228" s="6" t="s">
        <v>228</v>
      </c>
      <c r="E228" s="6" t="s">
        <v>229</v>
      </c>
      <c r="F228" s="6">
        <v>32</v>
      </c>
      <c r="G228" s="6" t="s">
        <v>34</v>
      </c>
      <c r="H228" s="6" t="s">
        <v>758</v>
      </c>
      <c r="I228" s="6" t="s">
        <v>3723</v>
      </c>
      <c r="J228" s="8">
        <v>44703</v>
      </c>
      <c r="K228" s="8">
        <v>45305</v>
      </c>
      <c r="L228" s="6">
        <v>14500.75</v>
      </c>
      <c r="M228" s="6">
        <v>6000.4</v>
      </c>
      <c r="N228" s="6">
        <v>725</v>
      </c>
      <c r="O228" s="6">
        <v>53000</v>
      </c>
      <c r="P228" s="6" t="s">
        <v>36</v>
      </c>
      <c r="Q228" s="6" t="s">
        <v>27</v>
      </c>
      <c r="R228" s="6">
        <v>0</v>
      </c>
      <c r="S228" s="6" t="s">
        <v>28</v>
      </c>
      <c r="T228" s="7">
        <f t="shared" si="15"/>
        <v>0.11321509433962264</v>
      </c>
      <c r="U228" s="6">
        <f t="shared" si="16"/>
        <v>1</v>
      </c>
      <c r="V228" s="5" t="str">
        <f t="shared" si="17"/>
        <v>GOOD</v>
      </c>
      <c r="W228" s="6" t="str">
        <f t="shared" si="18"/>
        <v>25-34</v>
      </c>
      <c r="X228" s="6" t="str">
        <f t="shared" si="19"/>
        <v>Low</v>
      </c>
    </row>
    <row r="229" spans="1:24">
      <c r="A229" s="6" t="s">
        <v>488</v>
      </c>
      <c r="B229" s="6" t="s">
        <v>759</v>
      </c>
      <c r="C229" s="6" t="s">
        <v>39</v>
      </c>
      <c r="D229" s="6" t="s">
        <v>304</v>
      </c>
      <c r="E229" s="6" t="s">
        <v>304</v>
      </c>
      <c r="F229" s="6">
        <v>49</v>
      </c>
      <c r="G229" s="6" t="s">
        <v>24</v>
      </c>
      <c r="H229" s="6" t="s">
        <v>760</v>
      </c>
      <c r="I229" s="6" t="s">
        <v>3724</v>
      </c>
      <c r="J229" s="8">
        <v>43452</v>
      </c>
      <c r="K229" s="8">
        <v>45300</v>
      </c>
      <c r="L229" s="6">
        <v>168000.6</v>
      </c>
      <c r="M229" s="6">
        <v>80000.899999999994</v>
      </c>
      <c r="N229" s="6">
        <v>675</v>
      </c>
      <c r="O229" s="6">
        <v>177000</v>
      </c>
      <c r="P229" s="6" t="s">
        <v>76</v>
      </c>
      <c r="Q229" s="6" t="s">
        <v>27</v>
      </c>
      <c r="R229" s="6">
        <v>0</v>
      </c>
      <c r="S229" s="6" t="s">
        <v>28</v>
      </c>
      <c r="T229" s="7">
        <f t="shared" si="15"/>
        <v>0.45198248587570616</v>
      </c>
      <c r="U229" s="6">
        <f t="shared" si="16"/>
        <v>6</v>
      </c>
      <c r="V229" s="5" t="str">
        <f t="shared" si="17"/>
        <v>GOOD</v>
      </c>
      <c r="W229" s="6" t="str">
        <f t="shared" si="18"/>
        <v>45-54</v>
      </c>
      <c r="X229" s="6" t="str">
        <f t="shared" si="19"/>
        <v>Upper-Middle</v>
      </c>
    </row>
    <row r="230" spans="1:24">
      <c r="A230" s="6" t="s">
        <v>491</v>
      </c>
      <c r="B230" s="6" t="s">
        <v>761</v>
      </c>
      <c r="C230" s="6" t="s">
        <v>52</v>
      </c>
      <c r="D230" s="6" t="s">
        <v>493</v>
      </c>
      <c r="E230" s="6" t="s">
        <v>494</v>
      </c>
      <c r="F230" s="6">
        <v>40</v>
      </c>
      <c r="G230" s="6" t="s">
        <v>34</v>
      </c>
      <c r="H230" s="6" t="s">
        <v>762</v>
      </c>
      <c r="I230" s="6" t="s">
        <v>3725</v>
      </c>
      <c r="J230" s="8">
        <v>44204</v>
      </c>
      <c r="K230" s="8">
        <v>45302</v>
      </c>
      <c r="L230" s="6">
        <v>42000.4</v>
      </c>
      <c r="M230" s="6">
        <v>16700.25</v>
      </c>
      <c r="N230" s="6">
        <v>705</v>
      </c>
      <c r="O230" s="6">
        <v>85000</v>
      </c>
      <c r="P230" s="6" t="s">
        <v>26</v>
      </c>
      <c r="Q230" s="6" t="s">
        <v>27</v>
      </c>
      <c r="R230" s="6">
        <v>0</v>
      </c>
      <c r="S230" s="6" t="s">
        <v>28</v>
      </c>
      <c r="T230" s="7">
        <f t="shared" si="15"/>
        <v>0.19647352941176471</v>
      </c>
      <c r="U230" s="6">
        <f t="shared" si="16"/>
        <v>4</v>
      </c>
      <c r="V230" s="5" t="str">
        <f t="shared" si="17"/>
        <v>GOOD</v>
      </c>
      <c r="W230" s="6" t="str">
        <f t="shared" si="18"/>
        <v>35-44</v>
      </c>
      <c r="X230" s="6" t="str">
        <f t="shared" si="19"/>
        <v>Lower-Middle</v>
      </c>
    </row>
    <row r="231" spans="1:24">
      <c r="A231" s="6" t="s">
        <v>496</v>
      </c>
      <c r="B231" s="6" t="s">
        <v>763</v>
      </c>
      <c r="C231" s="6" t="s">
        <v>46</v>
      </c>
      <c r="D231" s="6" t="s">
        <v>321</v>
      </c>
      <c r="E231" s="6" t="s">
        <v>322</v>
      </c>
      <c r="F231" s="6">
        <v>43</v>
      </c>
      <c r="G231" s="6" t="s">
        <v>24</v>
      </c>
      <c r="H231" s="6" t="s">
        <v>764</v>
      </c>
      <c r="I231" s="6" t="s">
        <v>3726</v>
      </c>
      <c r="J231" s="8">
        <v>43699</v>
      </c>
      <c r="K231" s="8">
        <v>45301</v>
      </c>
      <c r="L231" s="6">
        <v>88900.75</v>
      </c>
      <c r="M231" s="6">
        <v>37800.800000000003</v>
      </c>
      <c r="N231" s="6">
        <v>730</v>
      </c>
      <c r="O231" s="6">
        <v>151000</v>
      </c>
      <c r="P231" s="6" t="s">
        <v>26</v>
      </c>
      <c r="Q231" s="6" t="s">
        <v>27</v>
      </c>
      <c r="R231" s="6">
        <v>0</v>
      </c>
      <c r="S231" s="6" t="s">
        <v>28</v>
      </c>
      <c r="T231" s="7">
        <f t="shared" si="15"/>
        <v>0.25033642384105964</v>
      </c>
      <c r="U231" s="6">
        <f t="shared" si="16"/>
        <v>5</v>
      </c>
      <c r="V231" s="5" t="str">
        <f t="shared" si="17"/>
        <v>GOOD</v>
      </c>
      <c r="W231" s="6" t="str">
        <f t="shared" si="18"/>
        <v>35-44</v>
      </c>
      <c r="X231" s="6" t="str">
        <f t="shared" si="19"/>
        <v>Upper-Middle</v>
      </c>
    </row>
    <row r="232" spans="1:24">
      <c r="A232" s="6" t="s">
        <v>324</v>
      </c>
      <c r="B232" s="6" t="s">
        <v>765</v>
      </c>
      <c r="C232" s="6" t="s">
        <v>31</v>
      </c>
      <c r="D232" s="6" t="s">
        <v>313</v>
      </c>
      <c r="E232" s="6" t="s">
        <v>501</v>
      </c>
      <c r="F232" s="6">
        <v>28</v>
      </c>
      <c r="G232" s="6" t="s">
        <v>34</v>
      </c>
      <c r="H232" s="6" t="s">
        <v>766</v>
      </c>
      <c r="I232" s="6" t="s">
        <v>3727</v>
      </c>
      <c r="J232" s="8">
        <v>45064</v>
      </c>
      <c r="K232" s="8">
        <v>45306</v>
      </c>
      <c r="L232" s="6">
        <v>8600.9</v>
      </c>
      <c r="M232" s="6">
        <v>5100.75</v>
      </c>
      <c r="N232" s="6">
        <v>685</v>
      </c>
      <c r="O232" s="6">
        <v>38000</v>
      </c>
      <c r="P232" s="6" t="s">
        <v>26</v>
      </c>
      <c r="Q232" s="6" t="s">
        <v>43</v>
      </c>
      <c r="R232" s="6">
        <v>0</v>
      </c>
      <c r="S232" s="6" t="s">
        <v>28</v>
      </c>
      <c r="T232" s="7">
        <f t="shared" si="15"/>
        <v>0.13423026315789474</v>
      </c>
      <c r="U232" s="6">
        <f t="shared" si="16"/>
        <v>0</v>
      </c>
      <c r="V232" s="5" t="str">
        <f t="shared" si="17"/>
        <v>GOOD</v>
      </c>
      <c r="W232" s="6" t="str">
        <f t="shared" si="18"/>
        <v>25-34</v>
      </c>
      <c r="X232" s="6" t="str">
        <f t="shared" si="19"/>
        <v>Low</v>
      </c>
    </row>
    <row r="233" spans="1:24">
      <c r="A233" s="6" t="s">
        <v>503</v>
      </c>
      <c r="B233" s="6" t="s">
        <v>767</v>
      </c>
      <c r="C233" s="6" t="s">
        <v>21</v>
      </c>
      <c r="D233" s="6" t="s">
        <v>32</v>
      </c>
      <c r="E233" s="6" t="s">
        <v>33</v>
      </c>
      <c r="F233" s="6">
        <v>60</v>
      </c>
      <c r="G233" s="6" t="s">
        <v>24</v>
      </c>
      <c r="H233" s="6" t="s">
        <v>768</v>
      </c>
      <c r="I233" s="6" t="s">
        <v>3728</v>
      </c>
      <c r="J233" s="8">
        <v>42686</v>
      </c>
      <c r="K233" s="8">
        <v>45299</v>
      </c>
      <c r="L233" s="6">
        <v>298700.25</v>
      </c>
      <c r="M233" s="6">
        <v>84000.4</v>
      </c>
      <c r="N233" s="6">
        <v>840</v>
      </c>
      <c r="O233" s="6">
        <v>292000</v>
      </c>
      <c r="P233" s="6" t="s">
        <v>36</v>
      </c>
      <c r="Q233" s="6" t="s">
        <v>27</v>
      </c>
      <c r="R233" s="6">
        <v>0</v>
      </c>
      <c r="S233" s="6" t="s">
        <v>28</v>
      </c>
      <c r="T233" s="7">
        <f t="shared" si="15"/>
        <v>0.287672602739726</v>
      </c>
      <c r="U233" s="6">
        <f t="shared" si="16"/>
        <v>7</v>
      </c>
      <c r="V233" s="5" t="str">
        <f t="shared" si="17"/>
        <v>EXCEPTIONAL</v>
      </c>
      <c r="W233" s="6" t="str">
        <f t="shared" si="18"/>
        <v>55+</v>
      </c>
      <c r="X233" s="6" t="str">
        <f t="shared" si="19"/>
        <v>High</v>
      </c>
    </row>
    <row r="234" spans="1:24">
      <c r="A234" s="6" t="s">
        <v>506</v>
      </c>
      <c r="B234" s="6" t="s">
        <v>769</v>
      </c>
      <c r="C234" s="6" t="s">
        <v>39</v>
      </c>
      <c r="D234" s="6" t="s">
        <v>68</v>
      </c>
      <c r="E234" s="6" t="s">
        <v>69</v>
      </c>
      <c r="F234" s="6">
        <v>52</v>
      </c>
      <c r="G234" s="6" t="s">
        <v>34</v>
      </c>
      <c r="H234" s="6" t="s">
        <v>770</v>
      </c>
      <c r="I234" s="6" t="s">
        <v>3681</v>
      </c>
      <c r="J234" s="8">
        <v>43205</v>
      </c>
      <c r="K234" s="8">
        <v>45300</v>
      </c>
      <c r="L234" s="6">
        <v>179100.4</v>
      </c>
      <c r="M234" s="6">
        <v>84000.75</v>
      </c>
      <c r="N234" s="6">
        <v>650</v>
      </c>
      <c r="O234" s="6">
        <v>187000</v>
      </c>
      <c r="P234" s="6" t="s">
        <v>76</v>
      </c>
      <c r="Q234" s="6" t="s">
        <v>27</v>
      </c>
      <c r="R234" s="6">
        <v>0</v>
      </c>
      <c r="S234" s="6" t="s">
        <v>28</v>
      </c>
      <c r="T234" s="7">
        <f t="shared" si="15"/>
        <v>0.44920187165775399</v>
      </c>
      <c r="U234" s="6">
        <f t="shared" si="16"/>
        <v>6</v>
      </c>
      <c r="V234" s="5" t="str">
        <f t="shared" si="17"/>
        <v>FAIR</v>
      </c>
      <c r="W234" s="6" t="str">
        <f t="shared" si="18"/>
        <v>45-54</v>
      </c>
      <c r="X234" s="6" t="str">
        <f t="shared" si="19"/>
        <v>Upper-Middle</v>
      </c>
    </row>
    <row r="235" spans="1:24">
      <c r="A235" s="6" t="s">
        <v>509</v>
      </c>
      <c r="B235" s="6" t="s">
        <v>771</v>
      </c>
      <c r="C235" s="6" t="s">
        <v>46</v>
      </c>
      <c r="D235" s="6" t="s">
        <v>73</v>
      </c>
      <c r="E235" s="6" t="s">
        <v>158</v>
      </c>
      <c r="F235" s="6">
        <v>39</v>
      </c>
      <c r="G235" s="6" t="s">
        <v>24</v>
      </c>
      <c r="H235" s="6" t="s">
        <v>772</v>
      </c>
      <c r="I235" s="6" t="s">
        <v>3729</v>
      </c>
      <c r="J235" s="8">
        <v>44430</v>
      </c>
      <c r="K235" s="8">
        <v>45303</v>
      </c>
      <c r="L235" s="6">
        <v>76700.399999999994</v>
      </c>
      <c r="M235" s="6">
        <v>32000.25</v>
      </c>
      <c r="N235" s="6">
        <v>745</v>
      </c>
      <c r="O235" s="6">
        <v>131000</v>
      </c>
      <c r="P235" s="6" t="s">
        <v>26</v>
      </c>
      <c r="Q235" s="6" t="s">
        <v>27</v>
      </c>
      <c r="R235" s="6">
        <v>0</v>
      </c>
      <c r="S235" s="6" t="s">
        <v>28</v>
      </c>
      <c r="T235" s="7">
        <f t="shared" si="15"/>
        <v>0.24427671755725192</v>
      </c>
      <c r="U235" s="6">
        <f t="shared" si="16"/>
        <v>3</v>
      </c>
      <c r="V235" s="5" t="str">
        <f t="shared" si="17"/>
        <v>GOOD</v>
      </c>
      <c r="W235" s="6" t="str">
        <f t="shared" si="18"/>
        <v>35-44</v>
      </c>
      <c r="X235" s="6" t="str">
        <f t="shared" si="19"/>
        <v>Upper-Middle</v>
      </c>
    </row>
    <row r="236" spans="1:24">
      <c r="A236" s="6" t="s">
        <v>513</v>
      </c>
      <c r="B236" s="6" t="s">
        <v>773</v>
      </c>
      <c r="C236" s="6" t="s">
        <v>57</v>
      </c>
      <c r="D236" s="6" t="s">
        <v>58</v>
      </c>
      <c r="E236" s="6" t="s">
        <v>59</v>
      </c>
      <c r="F236" s="6">
        <v>34</v>
      </c>
      <c r="G236" s="6" t="s">
        <v>34</v>
      </c>
      <c r="H236" s="6" t="s">
        <v>774</v>
      </c>
      <c r="I236" s="6" t="s">
        <v>3730</v>
      </c>
      <c r="J236" s="8">
        <v>44620</v>
      </c>
      <c r="K236" s="8">
        <v>45302</v>
      </c>
      <c r="L236" s="6">
        <v>16700.8</v>
      </c>
      <c r="M236" s="6">
        <v>7200.9</v>
      </c>
      <c r="N236" s="6">
        <v>765</v>
      </c>
      <c r="O236" s="6">
        <v>63000</v>
      </c>
      <c r="P236" s="6" t="s">
        <v>36</v>
      </c>
      <c r="Q236" s="6" t="s">
        <v>27</v>
      </c>
      <c r="R236" s="6">
        <v>0</v>
      </c>
      <c r="S236" s="6" t="s">
        <v>28</v>
      </c>
      <c r="T236" s="7">
        <f t="shared" si="15"/>
        <v>0.1143</v>
      </c>
      <c r="U236" s="6">
        <f t="shared" si="16"/>
        <v>4</v>
      </c>
      <c r="V236" s="5" t="str">
        <f t="shared" si="17"/>
        <v>VERY GOOD</v>
      </c>
      <c r="W236" s="6" t="str">
        <f t="shared" si="18"/>
        <v>25-34</v>
      </c>
      <c r="X236" s="6" t="str">
        <f t="shared" si="19"/>
        <v>Low</v>
      </c>
    </row>
    <row r="237" spans="1:24">
      <c r="A237" s="6" t="s">
        <v>516</v>
      </c>
      <c r="B237" s="6" t="s">
        <v>775</v>
      </c>
      <c r="C237" s="6" t="s">
        <v>52</v>
      </c>
      <c r="D237" s="6" t="s">
        <v>277</v>
      </c>
      <c r="E237" s="6" t="s">
        <v>404</v>
      </c>
      <c r="F237" s="6">
        <v>47</v>
      </c>
      <c r="G237" s="6" t="s">
        <v>24</v>
      </c>
      <c r="H237" s="6" t="s">
        <v>776</v>
      </c>
      <c r="I237" s="6" t="s">
        <v>3731</v>
      </c>
      <c r="J237" s="8">
        <v>43848</v>
      </c>
      <c r="K237" s="8">
        <v>45301</v>
      </c>
      <c r="L237" s="6">
        <v>50000.75</v>
      </c>
      <c r="M237" s="6">
        <v>23100.400000000001</v>
      </c>
      <c r="N237" s="6">
        <v>675</v>
      </c>
      <c r="O237" s="6">
        <v>103000</v>
      </c>
      <c r="P237" s="6" t="s">
        <v>26</v>
      </c>
      <c r="Q237" s="6" t="s">
        <v>27</v>
      </c>
      <c r="R237" s="6">
        <v>0</v>
      </c>
      <c r="S237" s="6" t="s">
        <v>28</v>
      </c>
      <c r="T237" s="7">
        <f t="shared" si="15"/>
        <v>0.22427572815533983</v>
      </c>
      <c r="U237" s="6">
        <f t="shared" si="16"/>
        <v>5</v>
      </c>
      <c r="V237" s="5" t="str">
        <f t="shared" si="17"/>
        <v>GOOD</v>
      </c>
      <c r="W237" s="6" t="str">
        <f t="shared" si="18"/>
        <v>45-54</v>
      </c>
      <c r="X237" s="6" t="str">
        <f t="shared" si="19"/>
        <v>Lower-Middle</v>
      </c>
    </row>
    <row r="238" spans="1:24">
      <c r="A238" s="6" t="s">
        <v>519</v>
      </c>
      <c r="B238" s="6" t="s">
        <v>777</v>
      </c>
      <c r="C238" s="6" t="s">
        <v>84</v>
      </c>
      <c r="D238" s="6" t="s">
        <v>183</v>
      </c>
      <c r="E238" s="6" t="s">
        <v>184</v>
      </c>
      <c r="F238" s="6">
        <v>26</v>
      </c>
      <c r="G238" s="6" t="s">
        <v>34</v>
      </c>
      <c r="H238" s="6" t="s">
        <v>778</v>
      </c>
      <c r="I238" s="6" t="s">
        <v>3732</v>
      </c>
      <c r="J238" s="8">
        <v>45211</v>
      </c>
      <c r="K238" s="8">
        <v>45304</v>
      </c>
      <c r="L238" s="6">
        <v>2400.25</v>
      </c>
      <c r="M238" s="6">
        <v>10800.6</v>
      </c>
      <c r="N238" s="6">
        <v>615</v>
      </c>
      <c r="O238" s="6">
        <v>23000</v>
      </c>
      <c r="P238" s="6" t="s">
        <v>76</v>
      </c>
      <c r="Q238" s="6" t="s">
        <v>43</v>
      </c>
      <c r="R238" s="6">
        <v>0</v>
      </c>
      <c r="S238" s="6" t="s">
        <v>28</v>
      </c>
      <c r="T238" s="7">
        <f t="shared" si="15"/>
        <v>0.46959130434782609</v>
      </c>
      <c r="U238" s="6">
        <f t="shared" si="16"/>
        <v>2</v>
      </c>
      <c r="V238" s="5" t="str">
        <f t="shared" si="17"/>
        <v>FAIR</v>
      </c>
      <c r="W238" s="6" t="str">
        <f t="shared" si="18"/>
        <v>25-34</v>
      </c>
      <c r="X238" s="6" t="str">
        <f t="shared" si="19"/>
        <v>Low</v>
      </c>
    </row>
    <row r="239" spans="1:24">
      <c r="A239" s="6" t="s">
        <v>522</v>
      </c>
      <c r="B239" s="6" t="s">
        <v>779</v>
      </c>
      <c r="C239" s="6" t="s">
        <v>39</v>
      </c>
      <c r="D239" s="6" t="s">
        <v>40</v>
      </c>
      <c r="E239" s="6" t="s">
        <v>41</v>
      </c>
      <c r="F239" s="6">
        <v>54</v>
      </c>
      <c r="G239" s="6" t="s">
        <v>24</v>
      </c>
      <c r="H239" s="6" t="s">
        <v>780</v>
      </c>
      <c r="I239" s="6" t="s">
        <v>3510</v>
      </c>
      <c r="J239" s="8">
        <v>43167</v>
      </c>
      <c r="K239" s="8">
        <v>45299</v>
      </c>
      <c r="L239" s="6">
        <v>213700.8</v>
      </c>
      <c r="M239" s="6">
        <v>97000.25</v>
      </c>
      <c r="N239" s="6">
        <v>660</v>
      </c>
      <c r="O239" s="6">
        <v>222000</v>
      </c>
      <c r="P239" s="6" t="s">
        <v>76</v>
      </c>
      <c r="Q239" s="6" t="s">
        <v>27</v>
      </c>
      <c r="R239" s="6">
        <v>0</v>
      </c>
      <c r="S239" s="6" t="s">
        <v>28</v>
      </c>
      <c r="T239" s="7">
        <f t="shared" si="15"/>
        <v>0.43693806306306304</v>
      </c>
      <c r="U239" s="6">
        <f t="shared" si="16"/>
        <v>7</v>
      </c>
      <c r="V239" s="5" t="str">
        <f t="shared" si="17"/>
        <v>FAIR</v>
      </c>
      <c r="W239" s="6" t="str">
        <f t="shared" si="18"/>
        <v>45-54</v>
      </c>
      <c r="X239" s="6" t="str">
        <f t="shared" si="19"/>
        <v>High</v>
      </c>
    </row>
    <row r="240" spans="1:24">
      <c r="A240" s="6" t="s">
        <v>306</v>
      </c>
      <c r="B240" s="6" t="s">
        <v>781</v>
      </c>
      <c r="C240" s="6" t="s">
        <v>46</v>
      </c>
      <c r="D240" s="6" t="s">
        <v>209</v>
      </c>
      <c r="E240" s="6" t="s">
        <v>210</v>
      </c>
      <c r="F240" s="6">
        <v>41</v>
      </c>
      <c r="G240" s="6" t="s">
        <v>34</v>
      </c>
      <c r="H240" s="6" t="s">
        <v>782</v>
      </c>
      <c r="I240" s="6" t="s">
        <v>3733</v>
      </c>
      <c r="J240" s="8">
        <v>44027</v>
      </c>
      <c r="K240" s="8">
        <v>45302</v>
      </c>
      <c r="L240" s="6">
        <v>71100.899999999994</v>
      </c>
      <c r="M240" s="6">
        <v>28900.75</v>
      </c>
      <c r="N240" s="6">
        <v>730</v>
      </c>
      <c r="O240" s="6">
        <v>126000</v>
      </c>
      <c r="P240" s="6" t="s">
        <v>26</v>
      </c>
      <c r="Q240" s="6" t="s">
        <v>27</v>
      </c>
      <c r="R240" s="6">
        <v>0</v>
      </c>
      <c r="S240" s="6" t="s">
        <v>28</v>
      </c>
      <c r="T240" s="7">
        <f t="shared" si="15"/>
        <v>0.22937103174603174</v>
      </c>
      <c r="U240" s="6">
        <f t="shared" si="16"/>
        <v>4</v>
      </c>
      <c r="V240" s="5" t="str">
        <f t="shared" si="17"/>
        <v>GOOD</v>
      </c>
      <c r="W240" s="6" t="str">
        <f t="shared" si="18"/>
        <v>35-44</v>
      </c>
      <c r="X240" s="6" t="str">
        <f t="shared" si="19"/>
        <v>Lower-Middle</v>
      </c>
    </row>
    <row r="241" spans="1:24">
      <c r="A241" s="6" t="s">
        <v>527</v>
      </c>
      <c r="B241" s="6" t="s">
        <v>783</v>
      </c>
      <c r="C241" s="6" t="s">
        <v>31</v>
      </c>
      <c r="D241" s="6" t="s">
        <v>32</v>
      </c>
      <c r="E241" s="6" t="s">
        <v>90</v>
      </c>
      <c r="F241" s="6">
        <v>30</v>
      </c>
      <c r="G241" s="6" t="s">
        <v>34</v>
      </c>
      <c r="H241" s="6" t="s">
        <v>784</v>
      </c>
      <c r="I241" s="6" t="s">
        <v>3644</v>
      </c>
      <c r="J241" s="8">
        <v>45099</v>
      </c>
      <c r="K241" s="8">
        <v>45305</v>
      </c>
      <c r="L241" s="6">
        <v>9800.4</v>
      </c>
      <c r="M241" s="6">
        <v>5800.25</v>
      </c>
      <c r="N241" s="6">
        <v>705</v>
      </c>
      <c r="O241" s="6">
        <v>40000</v>
      </c>
      <c r="P241" s="6" t="s">
        <v>26</v>
      </c>
      <c r="Q241" s="6" t="s">
        <v>43</v>
      </c>
      <c r="R241" s="6">
        <v>0</v>
      </c>
      <c r="S241" s="6" t="s">
        <v>28</v>
      </c>
      <c r="T241" s="7">
        <f t="shared" si="15"/>
        <v>0.14500625</v>
      </c>
      <c r="U241" s="6">
        <f t="shared" si="16"/>
        <v>1</v>
      </c>
      <c r="V241" s="5" t="str">
        <f t="shared" si="17"/>
        <v>GOOD</v>
      </c>
      <c r="W241" s="6" t="str">
        <f t="shared" si="18"/>
        <v>25-34</v>
      </c>
      <c r="X241" s="6" t="str">
        <f t="shared" si="19"/>
        <v>Low</v>
      </c>
    </row>
    <row r="242" spans="1:24">
      <c r="A242" s="6" t="s">
        <v>530</v>
      </c>
      <c r="B242" s="6" t="s">
        <v>785</v>
      </c>
      <c r="C242" s="6" t="s">
        <v>57</v>
      </c>
      <c r="D242" s="6" t="s">
        <v>219</v>
      </c>
      <c r="E242" s="6" t="s">
        <v>220</v>
      </c>
      <c r="F242" s="6">
        <v>35</v>
      </c>
      <c r="G242" s="6" t="s">
        <v>24</v>
      </c>
      <c r="H242" s="6" t="s">
        <v>786</v>
      </c>
      <c r="I242" s="6" t="s">
        <v>3734</v>
      </c>
      <c r="J242" s="8">
        <v>44566</v>
      </c>
      <c r="K242" s="8">
        <v>45303</v>
      </c>
      <c r="L242" s="6">
        <v>15600.6</v>
      </c>
      <c r="M242" s="6">
        <v>6600.8</v>
      </c>
      <c r="N242" s="6">
        <v>710</v>
      </c>
      <c r="O242" s="6">
        <v>56000</v>
      </c>
      <c r="P242" s="6" t="s">
        <v>36</v>
      </c>
      <c r="Q242" s="6" t="s">
        <v>27</v>
      </c>
      <c r="R242" s="6">
        <v>0</v>
      </c>
      <c r="S242" s="6" t="s">
        <v>28</v>
      </c>
      <c r="T242" s="7">
        <f t="shared" si="15"/>
        <v>0.11787142857142857</v>
      </c>
      <c r="U242" s="6">
        <f t="shared" si="16"/>
        <v>3</v>
      </c>
      <c r="V242" s="5" t="str">
        <f t="shared" si="17"/>
        <v>GOOD</v>
      </c>
      <c r="W242" s="6" t="str">
        <f t="shared" si="18"/>
        <v>35-44</v>
      </c>
      <c r="X242" s="6" t="str">
        <f t="shared" si="19"/>
        <v>Low</v>
      </c>
    </row>
    <row r="243" spans="1:24">
      <c r="A243" s="6" t="s">
        <v>533</v>
      </c>
      <c r="B243" s="6" t="s">
        <v>787</v>
      </c>
      <c r="C243" s="6" t="s">
        <v>52</v>
      </c>
      <c r="D243" s="6" t="s">
        <v>204</v>
      </c>
      <c r="E243" s="6" t="s">
        <v>259</v>
      </c>
      <c r="F243" s="6">
        <v>42</v>
      </c>
      <c r="G243" s="6" t="s">
        <v>34</v>
      </c>
      <c r="H243" s="6" t="s">
        <v>788</v>
      </c>
      <c r="I243" s="6" t="s">
        <v>3735</v>
      </c>
      <c r="J243" s="8">
        <v>43873</v>
      </c>
      <c r="K243" s="8">
        <v>45301</v>
      </c>
      <c r="L243" s="6">
        <v>46900.25</v>
      </c>
      <c r="M243" s="6">
        <v>20000.900000000001</v>
      </c>
      <c r="N243" s="6">
        <v>695</v>
      </c>
      <c r="O243" s="6">
        <v>91000</v>
      </c>
      <c r="P243" s="6" t="s">
        <v>26</v>
      </c>
      <c r="Q243" s="6" t="s">
        <v>27</v>
      </c>
      <c r="R243" s="6">
        <v>0</v>
      </c>
      <c r="S243" s="6" t="s">
        <v>28</v>
      </c>
      <c r="T243" s="7">
        <f t="shared" si="15"/>
        <v>0.21979010989010991</v>
      </c>
      <c r="U243" s="6">
        <f t="shared" si="16"/>
        <v>5</v>
      </c>
      <c r="V243" s="5" t="str">
        <f t="shared" si="17"/>
        <v>GOOD</v>
      </c>
      <c r="W243" s="6" t="str">
        <f t="shared" si="18"/>
        <v>35-44</v>
      </c>
      <c r="X243" s="6" t="str">
        <f t="shared" si="19"/>
        <v>Lower-Middle</v>
      </c>
    </row>
    <row r="244" spans="1:24">
      <c r="A244" s="6" t="s">
        <v>536</v>
      </c>
      <c r="B244" s="6" t="s">
        <v>789</v>
      </c>
      <c r="C244" s="6" t="s">
        <v>39</v>
      </c>
      <c r="D244" s="6" t="s">
        <v>195</v>
      </c>
      <c r="E244" s="6" t="s">
        <v>196</v>
      </c>
      <c r="F244" s="6">
        <v>50</v>
      </c>
      <c r="G244" s="6" t="s">
        <v>24</v>
      </c>
      <c r="H244" s="6" t="s">
        <v>790</v>
      </c>
      <c r="I244" s="6" t="s">
        <v>3736</v>
      </c>
      <c r="J244" s="8">
        <v>43340</v>
      </c>
      <c r="K244" s="8">
        <v>45300</v>
      </c>
      <c r="L244" s="6">
        <v>145900.4</v>
      </c>
      <c r="M244" s="6">
        <v>71000.600000000006</v>
      </c>
      <c r="N244" s="6">
        <v>670</v>
      </c>
      <c r="O244" s="6">
        <v>158000</v>
      </c>
      <c r="P244" s="6" t="s">
        <v>76</v>
      </c>
      <c r="Q244" s="6" t="s">
        <v>27</v>
      </c>
      <c r="R244" s="6">
        <v>0</v>
      </c>
      <c r="S244" s="6" t="s">
        <v>28</v>
      </c>
      <c r="T244" s="7">
        <f t="shared" si="15"/>
        <v>0.44937088607594938</v>
      </c>
      <c r="U244" s="6">
        <f t="shared" si="16"/>
        <v>6</v>
      </c>
      <c r="V244" s="5" t="str">
        <f t="shared" si="17"/>
        <v>GOOD</v>
      </c>
      <c r="W244" s="6" t="str">
        <f t="shared" si="18"/>
        <v>45-54</v>
      </c>
      <c r="X244" s="6" t="str">
        <f t="shared" si="19"/>
        <v>Upper-Middle</v>
      </c>
    </row>
    <row r="245" spans="1:24">
      <c r="A245" s="6" t="s">
        <v>539</v>
      </c>
      <c r="B245" s="6" t="s">
        <v>791</v>
      </c>
      <c r="C245" s="6" t="s">
        <v>21</v>
      </c>
      <c r="D245" s="6" t="s">
        <v>58</v>
      </c>
      <c r="E245" s="6" t="s">
        <v>122</v>
      </c>
      <c r="F245" s="6">
        <v>58</v>
      </c>
      <c r="G245" s="6" t="s">
        <v>34</v>
      </c>
      <c r="H245" s="6" t="s">
        <v>792</v>
      </c>
      <c r="I245" s="6" t="s">
        <v>3737</v>
      </c>
      <c r="J245" s="8">
        <v>42891</v>
      </c>
      <c r="K245" s="8">
        <v>45299</v>
      </c>
      <c r="L245" s="6">
        <v>312800.75</v>
      </c>
      <c r="M245" s="6">
        <v>88000.8</v>
      </c>
      <c r="N245" s="6">
        <v>835</v>
      </c>
      <c r="O245" s="6">
        <v>303000</v>
      </c>
      <c r="P245" s="6" t="s">
        <v>36</v>
      </c>
      <c r="Q245" s="6" t="s">
        <v>27</v>
      </c>
      <c r="R245" s="6">
        <v>0</v>
      </c>
      <c r="S245" s="6" t="s">
        <v>28</v>
      </c>
      <c r="T245" s="7">
        <f t="shared" si="15"/>
        <v>0.29043168316831686</v>
      </c>
      <c r="U245" s="6">
        <f t="shared" si="16"/>
        <v>7</v>
      </c>
      <c r="V245" s="5" t="str">
        <f t="shared" si="17"/>
        <v>EXCEPTIONAL</v>
      </c>
      <c r="W245" s="6" t="str">
        <f t="shared" si="18"/>
        <v>55+</v>
      </c>
      <c r="X245" s="6" t="str">
        <f t="shared" si="19"/>
        <v>High</v>
      </c>
    </row>
    <row r="246" spans="1:24">
      <c r="A246" s="6" t="s">
        <v>542</v>
      </c>
      <c r="B246" s="6" t="s">
        <v>793</v>
      </c>
      <c r="C246" s="6" t="s">
        <v>52</v>
      </c>
      <c r="D246" s="6" t="s">
        <v>68</v>
      </c>
      <c r="E246" s="6" t="s">
        <v>69</v>
      </c>
      <c r="F246" s="6">
        <v>45</v>
      </c>
      <c r="G246" s="6" t="s">
        <v>34</v>
      </c>
      <c r="H246" s="6" t="s">
        <v>794</v>
      </c>
      <c r="I246" s="6" t="s">
        <v>3714</v>
      </c>
      <c r="J246" s="8">
        <v>43852</v>
      </c>
      <c r="K246" s="8">
        <v>45302</v>
      </c>
      <c r="L246" s="6">
        <v>55600.6</v>
      </c>
      <c r="M246" s="6">
        <v>25600.25</v>
      </c>
      <c r="N246" s="6">
        <v>665</v>
      </c>
      <c r="O246" s="6">
        <v>111000</v>
      </c>
      <c r="P246" s="6" t="s">
        <v>26</v>
      </c>
      <c r="Q246" s="6" t="s">
        <v>27</v>
      </c>
      <c r="R246" s="6">
        <v>0</v>
      </c>
      <c r="S246" s="6" t="s">
        <v>28</v>
      </c>
      <c r="T246" s="7">
        <f t="shared" si="15"/>
        <v>0.23063288288288289</v>
      </c>
      <c r="U246" s="6">
        <f t="shared" si="16"/>
        <v>4</v>
      </c>
      <c r="V246" s="5" t="str">
        <f t="shared" si="17"/>
        <v>FAIR</v>
      </c>
      <c r="W246" s="6" t="str">
        <f t="shared" si="18"/>
        <v>45-54</v>
      </c>
      <c r="X246" s="6" t="str">
        <f t="shared" si="19"/>
        <v>Lower-Middle</v>
      </c>
    </row>
    <row r="247" spans="1:24">
      <c r="A247" s="6" t="s">
        <v>545</v>
      </c>
      <c r="B247" s="6" t="s">
        <v>795</v>
      </c>
      <c r="C247" s="6" t="s">
        <v>46</v>
      </c>
      <c r="D247" s="6" t="s">
        <v>241</v>
      </c>
      <c r="E247" s="6" t="s">
        <v>389</v>
      </c>
      <c r="F247" s="6">
        <v>37</v>
      </c>
      <c r="G247" s="6" t="s">
        <v>24</v>
      </c>
      <c r="H247" s="6" t="s">
        <v>796</v>
      </c>
      <c r="I247" s="6" t="s">
        <v>3738</v>
      </c>
      <c r="J247" s="8">
        <v>44484</v>
      </c>
      <c r="K247" s="8">
        <v>45303</v>
      </c>
      <c r="L247" s="6">
        <v>78900.800000000003</v>
      </c>
      <c r="M247" s="6">
        <v>33100.400000000001</v>
      </c>
      <c r="N247" s="6">
        <v>750</v>
      </c>
      <c r="O247" s="6">
        <v>137000</v>
      </c>
      <c r="P247" s="6" t="s">
        <v>26</v>
      </c>
      <c r="Q247" s="6" t="s">
        <v>27</v>
      </c>
      <c r="R247" s="6">
        <v>0</v>
      </c>
      <c r="S247" s="6" t="s">
        <v>28</v>
      </c>
      <c r="T247" s="7">
        <f t="shared" si="15"/>
        <v>0.24160875912408761</v>
      </c>
      <c r="U247" s="6">
        <f t="shared" si="16"/>
        <v>3</v>
      </c>
      <c r="V247" s="5" t="str">
        <f t="shared" si="17"/>
        <v>VERY GOOD</v>
      </c>
      <c r="W247" s="6" t="str">
        <f t="shared" si="18"/>
        <v>35-44</v>
      </c>
      <c r="X247" s="6" t="str">
        <f t="shared" si="19"/>
        <v>Upper-Middle</v>
      </c>
    </row>
    <row r="248" spans="1:24">
      <c r="A248" s="6" t="s">
        <v>548</v>
      </c>
      <c r="B248" s="6" t="s">
        <v>797</v>
      </c>
      <c r="C248" s="6" t="s">
        <v>57</v>
      </c>
      <c r="D248" s="6" t="s">
        <v>22</v>
      </c>
      <c r="E248" s="6" t="s">
        <v>118</v>
      </c>
      <c r="F248" s="6">
        <v>33</v>
      </c>
      <c r="G248" s="6" t="s">
        <v>34</v>
      </c>
      <c r="H248" s="6" t="s">
        <v>798</v>
      </c>
      <c r="I248" s="6" t="s">
        <v>3739</v>
      </c>
      <c r="J248" s="8">
        <v>44669</v>
      </c>
      <c r="K248" s="8">
        <v>45305</v>
      </c>
      <c r="L248" s="6">
        <v>17800.900000000001</v>
      </c>
      <c r="M248" s="6">
        <v>7600.75</v>
      </c>
      <c r="N248" s="6">
        <v>770</v>
      </c>
      <c r="O248" s="6">
        <v>68000</v>
      </c>
      <c r="P248" s="6" t="s">
        <v>36</v>
      </c>
      <c r="Q248" s="6" t="s">
        <v>27</v>
      </c>
      <c r="R248" s="6">
        <v>0</v>
      </c>
      <c r="S248" s="6" t="s">
        <v>28</v>
      </c>
      <c r="T248" s="7">
        <f t="shared" si="15"/>
        <v>0.11177573529411765</v>
      </c>
      <c r="U248" s="6">
        <f t="shared" si="16"/>
        <v>1</v>
      </c>
      <c r="V248" s="5" t="str">
        <f t="shared" si="17"/>
        <v>VERY GOOD</v>
      </c>
      <c r="W248" s="6" t="str">
        <f t="shared" si="18"/>
        <v>25-34</v>
      </c>
      <c r="X248" s="6" t="str">
        <f t="shared" si="19"/>
        <v>Low</v>
      </c>
    </row>
    <row r="249" spans="1:24">
      <c r="A249" s="6" t="s">
        <v>551</v>
      </c>
      <c r="B249" s="6" t="s">
        <v>799</v>
      </c>
      <c r="C249" s="6" t="s">
        <v>39</v>
      </c>
      <c r="D249" s="6" t="s">
        <v>313</v>
      </c>
      <c r="E249" s="6" t="s">
        <v>314</v>
      </c>
      <c r="F249" s="6">
        <v>56</v>
      </c>
      <c r="G249" s="6" t="s">
        <v>24</v>
      </c>
      <c r="H249" s="6" t="s">
        <v>800</v>
      </c>
      <c r="I249" s="6" t="s">
        <v>3740</v>
      </c>
      <c r="J249" s="8">
        <v>43061</v>
      </c>
      <c r="K249" s="8">
        <v>45299</v>
      </c>
      <c r="L249" s="6">
        <v>199000.25</v>
      </c>
      <c r="M249" s="6">
        <v>92000.8</v>
      </c>
      <c r="N249" s="6">
        <v>645</v>
      </c>
      <c r="O249" s="6">
        <v>208000</v>
      </c>
      <c r="P249" s="6" t="s">
        <v>76</v>
      </c>
      <c r="Q249" s="6" t="s">
        <v>27</v>
      </c>
      <c r="R249" s="6">
        <v>0</v>
      </c>
      <c r="S249" s="6" t="s">
        <v>28</v>
      </c>
      <c r="T249" s="7">
        <f t="shared" si="15"/>
        <v>0.44231153846153848</v>
      </c>
      <c r="U249" s="6">
        <f t="shared" si="16"/>
        <v>7</v>
      </c>
      <c r="V249" s="5" t="str">
        <f t="shared" si="17"/>
        <v>FAIR</v>
      </c>
      <c r="W249" s="6" t="str">
        <f t="shared" si="18"/>
        <v>55+</v>
      </c>
      <c r="X249" s="6" t="str">
        <f t="shared" si="19"/>
        <v>High</v>
      </c>
    </row>
    <row r="250" spans="1:24">
      <c r="A250" s="6" t="s">
        <v>554</v>
      </c>
      <c r="B250" s="6" t="s">
        <v>801</v>
      </c>
      <c r="C250" s="6" t="s">
        <v>31</v>
      </c>
      <c r="D250" s="6" t="s">
        <v>214</v>
      </c>
      <c r="E250" s="6" t="s">
        <v>215</v>
      </c>
      <c r="F250" s="6">
        <v>29</v>
      </c>
      <c r="G250" s="6" t="s">
        <v>34</v>
      </c>
      <c r="H250" s="6" t="s">
        <v>802</v>
      </c>
      <c r="I250" s="6" t="s">
        <v>3741</v>
      </c>
      <c r="J250" s="8">
        <v>45112</v>
      </c>
      <c r="K250" s="8">
        <v>45306</v>
      </c>
      <c r="L250" s="6">
        <v>13200.5</v>
      </c>
      <c r="M250" s="6">
        <v>7200.4</v>
      </c>
      <c r="N250" s="6">
        <v>720</v>
      </c>
      <c r="O250" s="6">
        <v>45000</v>
      </c>
      <c r="P250" s="6" t="s">
        <v>36</v>
      </c>
      <c r="Q250" s="6" t="s">
        <v>27</v>
      </c>
      <c r="R250" s="6">
        <v>0</v>
      </c>
      <c r="S250" s="6" t="s">
        <v>28</v>
      </c>
      <c r="T250" s="7">
        <f t="shared" si="15"/>
        <v>0.16000888888888887</v>
      </c>
      <c r="U250" s="6">
        <f t="shared" si="16"/>
        <v>0</v>
      </c>
      <c r="V250" s="5" t="str">
        <f t="shared" si="17"/>
        <v>GOOD</v>
      </c>
      <c r="W250" s="6" t="str">
        <f t="shared" si="18"/>
        <v>25-34</v>
      </c>
      <c r="X250" s="6" t="str">
        <f t="shared" si="19"/>
        <v>Low</v>
      </c>
    </row>
    <row r="251" spans="1:24">
      <c r="A251" s="6" t="s">
        <v>108</v>
      </c>
      <c r="B251" s="6" t="s">
        <v>803</v>
      </c>
      <c r="C251" s="6" t="s">
        <v>84</v>
      </c>
      <c r="D251" s="6" t="s">
        <v>32</v>
      </c>
      <c r="E251" s="6" t="s">
        <v>33</v>
      </c>
      <c r="F251" s="6">
        <v>25</v>
      </c>
      <c r="G251" s="6" t="s">
        <v>24</v>
      </c>
      <c r="H251" s="6" t="s">
        <v>804</v>
      </c>
      <c r="I251" s="6" t="s">
        <v>3721</v>
      </c>
      <c r="J251" s="8">
        <v>45258</v>
      </c>
      <c r="K251" s="8">
        <v>45304</v>
      </c>
      <c r="L251" s="6">
        <v>2150.8000000000002</v>
      </c>
      <c r="M251" s="6">
        <v>9200.25</v>
      </c>
      <c r="N251" s="6">
        <v>605</v>
      </c>
      <c r="O251" s="6">
        <v>21000</v>
      </c>
      <c r="P251" s="6" t="s">
        <v>76</v>
      </c>
      <c r="Q251" s="6" t="s">
        <v>43</v>
      </c>
      <c r="R251" s="6">
        <v>0</v>
      </c>
      <c r="S251" s="6" t="s">
        <v>28</v>
      </c>
      <c r="T251" s="7">
        <f t="shared" si="15"/>
        <v>0.43810714285714286</v>
      </c>
      <c r="U251" s="6">
        <f t="shared" si="16"/>
        <v>2</v>
      </c>
      <c r="V251" s="5" t="str">
        <f t="shared" si="17"/>
        <v>FAIR</v>
      </c>
      <c r="W251" s="6" t="str">
        <f t="shared" si="18"/>
        <v>25-34</v>
      </c>
      <c r="X251" s="6" t="str">
        <f t="shared" si="19"/>
        <v>Low</v>
      </c>
    </row>
    <row r="252" spans="1:24">
      <c r="A252" s="6" t="s">
        <v>559</v>
      </c>
      <c r="B252" s="6" t="s">
        <v>805</v>
      </c>
      <c r="C252" s="6" t="s">
        <v>46</v>
      </c>
      <c r="D252" s="6" t="s">
        <v>254</v>
      </c>
      <c r="E252" s="6" t="s">
        <v>255</v>
      </c>
      <c r="F252" s="6">
        <v>39</v>
      </c>
      <c r="G252" s="6" t="s">
        <v>34</v>
      </c>
      <c r="H252" s="6" t="s">
        <v>806</v>
      </c>
      <c r="I252" s="6" t="s">
        <v>3742</v>
      </c>
      <c r="J252" s="8">
        <v>44359</v>
      </c>
      <c r="K252" s="8">
        <v>45302</v>
      </c>
      <c r="L252" s="6">
        <v>65600.399999999994</v>
      </c>
      <c r="M252" s="6">
        <v>27800.75</v>
      </c>
      <c r="N252" s="6">
        <v>710</v>
      </c>
      <c r="O252" s="6">
        <v>119000</v>
      </c>
      <c r="P252" s="6" t="s">
        <v>26</v>
      </c>
      <c r="Q252" s="6" t="s">
        <v>27</v>
      </c>
      <c r="R252" s="6">
        <v>0</v>
      </c>
      <c r="S252" s="6" t="s">
        <v>28</v>
      </c>
      <c r="T252" s="7">
        <f t="shared" si="15"/>
        <v>0.23361974789915965</v>
      </c>
      <c r="U252" s="6">
        <f t="shared" si="16"/>
        <v>4</v>
      </c>
      <c r="V252" s="5" t="str">
        <f t="shared" si="17"/>
        <v>GOOD</v>
      </c>
      <c r="W252" s="6" t="str">
        <f t="shared" si="18"/>
        <v>35-44</v>
      </c>
      <c r="X252" s="6" t="str">
        <f t="shared" si="19"/>
        <v>Lower-Middle</v>
      </c>
    </row>
    <row r="253" spans="1:24">
      <c r="A253" s="6" t="s">
        <v>562</v>
      </c>
      <c r="B253" s="6" t="s">
        <v>807</v>
      </c>
      <c r="C253" s="6" t="s">
        <v>39</v>
      </c>
      <c r="D253" s="6" t="s">
        <v>47</v>
      </c>
      <c r="E253" s="6" t="s">
        <v>48</v>
      </c>
      <c r="F253" s="6">
        <v>53</v>
      </c>
      <c r="G253" s="6" t="s">
        <v>24</v>
      </c>
      <c r="H253" s="6" t="s">
        <v>808</v>
      </c>
      <c r="I253" s="6" t="s">
        <v>3743</v>
      </c>
      <c r="J253" s="8">
        <v>43228</v>
      </c>
      <c r="K253" s="8">
        <v>45300</v>
      </c>
      <c r="L253" s="6">
        <v>179200.6</v>
      </c>
      <c r="M253" s="6">
        <v>85000.25</v>
      </c>
      <c r="N253" s="6">
        <v>675</v>
      </c>
      <c r="O253" s="6">
        <v>188000</v>
      </c>
      <c r="P253" s="6" t="s">
        <v>76</v>
      </c>
      <c r="Q253" s="6" t="s">
        <v>27</v>
      </c>
      <c r="R253" s="6">
        <v>0</v>
      </c>
      <c r="S253" s="6" t="s">
        <v>28</v>
      </c>
      <c r="T253" s="7">
        <f t="shared" si="15"/>
        <v>0.45212898936170215</v>
      </c>
      <c r="U253" s="6">
        <f t="shared" si="16"/>
        <v>6</v>
      </c>
      <c r="V253" s="5" t="str">
        <f t="shared" si="17"/>
        <v>GOOD</v>
      </c>
      <c r="W253" s="6" t="str">
        <f t="shared" si="18"/>
        <v>45-54</v>
      </c>
      <c r="X253" s="6" t="str">
        <f t="shared" si="19"/>
        <v>Upper-Middle</v>
      </c>
    </row>
    <row r="254" spans="1:24">
      <c r="A254" s="6" t="s">
        <v>565</v>
      </c>
      <c r="B254" s="6" t="s">
        <v>809</v>
      </c>
      <c r="C254" s="6" t="s">
        <v>52</v>
      </c>
      <c r="D254" s="6" t="s">
        <v>233</v>
      </c>
      <c r="E254" s="6" t="s">
        <v>234</v>
      </c>
      <c r="F254" s="6">
        <v>38</v>
      </c>
      <c r="G254" s="6" t="s">
        <v>34</v>
      </c>
      <c r="H254" s="6" t="s">
        <v>810</v>
      </c>
      <c r="I254" s="6" t="s">
        <v>3744</v>
      </c>
      <c r="J254" s="8">
        <v>44157</v>
      </c>
      <c r="K254" s="8">
        <v>45301</v>
      </c>
      <c r="L254" s="6">
        <v>42000.75</v>
      </c>
      <c r="M254" s="6">
        <v>18900.8</v>
      </c>
      <c r="N254" s="6">
        <v>725</v>
      </c>
      <c r="O254" s="6">
        <v>85000</v>
      </c>
      <c r="P254" s="6" t="s">
        <v>26</v>
      </c>
      <c r="Q254" s="6" t="s">
        <v>27</v>
      </c>
      <c r="R254" s="6">
        <v>0</v>
      </c>
      <c r="S254" s="6" t="s">
        <v>28</v>
      </c>
      <c r="T254" s="7">
        <f t="shared" si="15"/>
        <v>0.22236235294117646</v>
      </c>
      <c r="U254" s="6">
        <f t="shared" si="16"/>
        <v>5</v>
      </c>
      <c r="V254" s="5" t="str">
        <f t="shared" si="17"/>
        <v>GOOD</v>
      </c>
      <c r="W254" s="6" t="str">
        <f t="shared" si="18"/>
        <v>35-44</v>
      </c>
      <c r="X254" s="6" t="str">
        <f t="shared" si="19"/>
        <v>Lower-Middle</v>
      </c>
    </row>
    <row r="255" spans="1:24">
      <c r="A255" s="6" t="s">
        <v>568</v>
      </c>
      <c r="B255" s="6" t="s">
        <v>811</v>
      </c>
      <c r="C255" s="6" t="s">
        <v>57</v>
      </c>
      <c r="D255" s="6" t="s">
        <v>79</v>
      </c>
      <c r="E255" s="6" t="s">
        <v>102</v>
      </c>
      <c r="F255" s="6">
        <v>36</v>
      </c>
      <c r="G255" s="6" t="s">
        <v>24</v>
      </c>
      <c r="H255" s="6" t="s">
        <v>812</v>
      </c>
      <c r="I255" s="6" t="s">
        <v>3745</v>
      </c>
      <c r="J255" s="8">
        <v>44607</v>
      </c>
      <c r="K255" s="8">
        <v>45303</v>
      </c>
      <c r="L255" s="6">
        <v>20000.400000000001</v>
      </c>
      <c r="M255" s="6">
        <v>8400.9</v>
      </c>
      <c r="N255" s="6">
        <v>740</v>
      </c>
      <c r="O255" s="6">
        <v>71000</v>
      </c>
      <c r="P255" s="6" t="s">
        <v>36</v>
      </c>
      <c r="Q255" s="6" t="s">
        <v>27</v>
      </c>
      <c r="R255" s="6">
        <v>0</v>
      </c>
      <c r="S255" s="6" t="s">
        <v>28</v>
      </c>
      <c r="T255" s="7">
        <f t="shared" si="15"/>
        <v>0.11832253521126761</v>
      </c>
      <c r="U255" s="6">
        <f t="shared" si="16"/>
        <v>3</v>
      </c>
      <c r="V255" s="5" t="str">
        <f t="shared" si="17"/>
        <v>GOOD</v>
      </c>
      <c r="W255" s="6" t="str">
        <f t="shared" si="18"/>
        <v>35-44</v>
      </c>
      <c r="X255" s="6" t="str">
        <f t="shared" si="19"/>
        <v>Low</v>
      </c>
    </row>
    <row r="256" spans="1:24">
      <c r="A256" s="6" t="s">
        <v>571</v>
      </c>
      <c r="B256" s="6" t="s">
        <v>813</v>
      </c>
      <c r="C256" s="6" t="s">
        <v>21</v>
      </c>
      <c r="D256" s="6" t="s">
        <v>63</v>
      </c>
      <c r="E256" s="6" t="s">
        <v>3514</v>
      </c>
      <c r="F256" s="6">
        <v>59</v>
      </c>
      <c r="G256" s="6" t="s">
        <v>34</v>
      </c>
      <c r="H256" s="6" t="s">
        <v>814</v>
      </c>
      <c r="I256" s="6" t="s">
        <v>3746</v>
      </c>
      <c r="J256" s="8">
        <v>42763</v>
      </c>
      <c r="K256" s="8">
        <v>45299</v>
      </c>
      <c r="L256" s="6">
        <v>268100.90000000002</v>
      </c>
      <c r="M256" s="6">
        <v>75000.600000000006</v>
      </c>
      <c r="N256" s="6">
        <v>830</v>
      </c>
      <c r="O256" s="6">
        <v>283000</v>
      </c>
      <c r="P256" s="6" t="s">
        <v>36</v>
      </c>
      <c r="Q256" s="6" t="s">
        <v>27</v>
      </c>
      <c r="R256" s="6">
        <v>0</v>
      </c>
      <c r="S256" s="6" t="s">
        <v>28</v>
      </c>
      <c r="T256" s="7">
        <f t="shared" si="15"/>
        <v>0.26501978798586573</v>
      </c>
      <c r="U256" s="6">
        <f t="shared" si="16"/>
        <v>7</v>
      </c>
      <c r="V256" s="5" t="str">
        <f t="shared" si="17"/>
        <v>EXCEPTIONAL</v>
      </c>
      <c r="W256" s="6" t="str">
        <f t="shared" si="18"/>
        <v>55+</v>
      </c>
      <c r="X256" s="6" t="str">
        <f t="shared" si="19"/>
        <v>High</v>
      </c>
    </row>
    <row r="257" spans="1:24">
      <c r="A257" s="6" t="s">
        <v>574</v>
      </c>
      <c r="B257" s="6" t="s">
        <v>815</v>
      </c>
      <c r="C257" s="6" t="s">
        <v>39</v>
      </c>
      <c r="D257" s="6" t="s">
        <v>68</v>
      </c>
      <c r="E257" s="6" t="s">
        <v>179</v>
      </c>
      <c r="F257" s="6">
        <v>51</v>
      </c>
      <c r="G257" s="6" t="s">
        <v>24</v>
      </c>
      <c r="H257" s="6" t="s">
        <v>816</v>
      </c>
      <c r="I257" s="6" t="s">
        <v>3747</v>
      </c>
      <c r="J257" s="8">
        <v>43385</v>
      </c>
      <c r="K257" s="8">
        <v>45300</v>
      </c>
      <c r="L257" s="6">
        <v>157000.25</v>
      </c>
      <c r="M257" s="6">
        <v>77000.399999999994</v>
      </c>
      <c r="N257" s="6">
        <v>655</v>
      </c>
      <c r="O257" s="6">
        <v>173000</v>
      </c>
      <c r="P257" s="6" t="s">
        <v>76</v>
      </c>
      <c r="Q257" s="6" t="s">
        <v>27</v>
      </c>
      <c r="R257" s="6">
        <v>0</v>
      </c>
      <c r="S257" s="6" t="s">
        <v>28</v>
      </c>
      <c r="T257" s="7">
        <f t="shared" si="15"/>
        <v>0.44508901734104045</v>
      </c>
      <c r="U257" s="6">
        <f t="shared" si="16"/>
        <v>6</v>
      </c>
      <c r="V257" s="5" t="str">
        <f t="shared" si="17"/>
        <v>FAIR</v>
      </c>
      <c r="W257" s="6" t="str">
        <f t="shared" si="18"/>
        <v>45-54</v>
      </c>
      <c r="X257" s="6" t="str">
        <f t="shared" si="19"/>
        <v>Upper-Middle</v>
      </c>
    </row>
    <row r="258" spans="1:24">
      <c r="A258" s="6" t="s">
        <v>577</v>
      </c>
      <c r="B258" s="6" t="s">
        <v>817</v>
      </c>
      <c r="C258" s="6" t="s">
        <v>46</v>
      </c>
      <c r="D258" s="6" t="s">
        <v>85</v>
      </c>
      <c r="E258" s="6" t="s">
        <v>162</v>
      </c>
      <c r="F258" s="6">
        <v>40</v>
      </c>
      <c r="G258" s="6" t="s">
        <v>34</v>
      </c>
      <c r="H258" s="6" t="s">
        <v>818</v>
      </c>
      <c r="I258" s="6" t="s">
        <v>3748</v>
      </c>
      <c r="J258" s="8">
        <v>44277</v>
      </c>
      <c r="K258" s="8">
        <v>45302</v>
      </c>
      <c r="L258" s="6">
        <v>84500.6</v>
      </c>
      <c r="M258" s="6">
        <v>35800.75</v>
      </c>
      <c r="N258" s="6">
        <v>760</v>
      </c>
      <c r="O258" s="6">
        <v>142000</v>
      </c>
      <c r="P258" s="6" t="s">
        <v>26</v>
      </c>
      <c r="Q258" s="6" t="s">
        <v>27</v>
      </c>
      <c r="R258" s="6">
        <v>0</v>
      </c>
      <c r="S258" s="6" t="s">
        <v>28</v>
      </c>
      <c r="T258" s="7">
        <f t="shared" ref="T258:T321" si="20">IFERROR(M258/O258,"")</f>
        <v>0.25211795774647888</v>
      </c>
      <c r="U258" s="6">
        <f t="shared" ref="U258:U321" si="21">MAX($K$2:$K$1599)-K258</f>
        <v>4</v>
      </c>
      <c r="V258" s="5" t="str">
        <f t="shared" ref="V258:V321" si="22">IF(N258&lt;670,"FAIR", IF(N258&lt;750,"GOOD",IF(N258&lt;800,"VERY GOOD","EXCEPTIONAL")))</f>
        <v>VERY GOOD</v>
      </c>
      <c r="W258" s="6" t="str">
        <f t="shared" ref="W258:W321" si="23">IF(F258&lt;25,"18-24",IF(F258&lt;35,"25-34",IF(F258&lt;45,"35-44",IF(F258&lt;55,"45-54","55+"))))</f>
        <v>35-44</v>
      </c>
      <c r="X258" s="6" t="str">
        <f t="shared" ref="X258:X321" si="24">IF(O258&lt;=_xlfn.QUARTILE.INC($O$2:$O$1599,1),"Low",IF(O258&lt;=_xlfn.QUARTILE.INC($O$2:$O$1599,2),"Lower-Middle",IF(O258&lt;=_xlfn.QUARTILE.INC($O$2:$O$1599,3),"Upper-Middle","High")))</f>
        <v>Upper-Middle</v>
      </c>
    </row>
    <row r="259" spans="1:24">
      <c r="A259" s="6" t="s">
        <v>458</v>
      </c>
      <c r="B259" s="6" t="s">
        <v>819</v>
      </c>
      <c r="C259" s="6" t="s">
        <v>31</v>
      </c>
      <c r="D259" s="6" t="s">
        <v>460</v>
      </c>
      <c r="E259" s="6" t="s">
        <v>461</v>
      </c>
      <c r="F259" s="6">
        <v>31</v>
      </c>
      <c r="G259" s="6" t="s">
        <v>24</v>
      </c>
      <c r="H259" s="6" t="s">
        <v>820</v>
      </c>
      <c r="I259" s="6" t="s">
        <v>3749</v>
      </c>
      <c r="J259" s="8">
        <v>45061</v>
      </c>
      <c r="K259" s="8">
        <v>45306</v>
      </c>
      <c r="L259" s="6">
        <v>9900.25</v>
      </c>
      <c r="M259" s="6">
        <v>5800.8</v>
      </c>
      <c r="N259" s="6">
        <v>695</v>
      </c>
      <c r="O259" s="6">
        <v>42000</v>
      </c>
      <c r="P259" s="6" t="s">
        <v>26</v>
      </c>
      <c r="Q259" s="6" t="s">
        <v>43</v>
      </c>
      <c r="R259" s="6">
        <v>0</v>
      </c>
      <c r="S259" s="6" t="s">
        <v>28</v>
      </c>
      <c r="T259" s="7">
        <f t="shared" si="20"/>
        <v>0.13811428571428572</v>
      </c>
      <c r="U259" s="6">
        <f t="shared" si="21"/>
        <v>0</v>
      </c>
      <c r="V259" s="5" t="str">
        <f t="shared" si="22"/>
        <v>GOOD</v>
      </c>
      <c r="W259" s="6" t="str">
        <f t="shared" si="23"/>
        <v>25-34</v>
      </c>
      <c r="X259" s="6" t="str">
        <f t="shared" si="24"/>
        <v>Low</v>
      </c>
    </row>
    <row r="260" spans="1:24">
      <c r="A260" s="6" t="s">
        <v>582</v>
      </c>
      <c r="B260" s="6" t="s">
        <v>821</v>
      </c>
      <c r="C260" s="6" t="s">
        <v>57</v>
      </c>
      <c r="D260" s="6" t="s">
        <v>22</v>
      </c>
      <c r="E260" s="6" t="s">
        <v>53</v>
      </c>
      <c r="F260" s="6">
        <v>34</v>
      </c>
      <c r="G260" s="6" t="s">
        <v>34</v>
      </c>
      <c r="H260" s="6" t="s">
        <v>822</v>
      </c>
      <c r="I260" s="6" t="s">
        <v>3750</v>
      </c>
      <c r="J260" s="8">
        <v>44535</v>
      </c>
      <c r="K260" s="8">
        <v>45303</v>
      </c>
      <c r="L260" s="6">
        <v>18900.900000000001</v>
      </c>
      <c r="M260" s="6">
        <v>8000.25</v>
      </c>
      <c r="N260" s="6">
        <v>755</v>
      </c>
      <c r="O260" s="6">
        <v>64000</v>
      </c>
      <c r="P260" s="6" t="s">
        <v>36</v>
      </c>
      <c r="Q260" s="6" t="s">
        <v>27</v>
      </c>
      <c r="R260" s="6">
        <v>0</v>
      </c>
      <c r="S260" s="6" t="s">
        <v>28</v>
      </c>
      <c r="T260" s="7">
        <f t="shared" si="20"/>
        <v>0.12500390624999999</v>
      </c>
      <c r="U260" s="6">
        <f t="shared" si="21"/>
        <v>3</v>
      </c>
      <c r="V260" s="5" t="str">
        <f t="shared" si="22"/>
        <v>VERY GOOD</v>
      </c>
      <c r="W260" s="6" t="str">
        <f t="shared" si="23"/>
        <v>25-34</v>
      </c>
      <c r="X260" s="6" t="str">
        <f t="shared" si="24"/>
        <v>Low</v>
      </c>
    </row>
    <row r="261" spans="1:24">
      <c r="A261" s="6" t="s">
        <v>55</v>
      </c>
      <c r="B261" s="6" t="s">
        <v>823</v>
      </c>
      <c r="C261" s="6" t="s">
        <v>39</v>
      </c>
      <c r="D261" s="6" t="s">
        <v>58</v>
      </c>
      <c r="E261" s="6" t="s">
        <v>59</v>
      </c>
      <c r="F261" s="6">
        <v>52</v>
      </c>
      <c r="G261" s="6" t="s">
        <v>24</v>
      </c>
      <c r="H261" s="6" t="s">
        <v>824</v>
      </c>
      <c r="I261" s="6" t="s">
        <v>3751</v>
      </c>
      <c r="J261" s="8">
        <v>43299</v>
      </c>
      <c r="K261" s="8">
        <v>45300</v>
      </c>
      <c r="L261" s="6">
        <v>189900.4</v>
      </c>
      <c r="M261" s="6">
        <v>90000.75</v>
      </c>
      <c r="N261" s="6">
        <v>685</v>
      </c>
      <c r="O261" s="6">
        <v>198000</v>
      </c>
      <c r="P261" s="6" t="s">
        <v>76</v>
      </c>
      <c r="Q261" s="6" t="s">
        <v>27</v>
      </c>
      <c r="R261" s="6">
        <v>0</v>
      </c>
      <c r="S261" s="6" t="s">
        <v>28</v>
      </c>
      <c r="T261" s="7">
        <f t="shared" si="20"/>
        <v>0.45454924242424244</v>
      </c>
      <c r="U261" s="6">
        <f t="shared" si="21"/>
        <v>6</v>
      </c>
      <c r="V261" s="5" t="str">
        <f t="shared" si="22"/>
        <v>GOOD</v>
      </c>
      <c r="W261" s="6" t="str">
        <f t="shared" si="23"/>
        <v>45-54</v>
      </c>
      <c r="X261" s="6" t="str">
        <f t="shared" si="24"/>
        <v>High</v>
      </c>
    </row>
    <row r="262" spans="1:24">
      <c r="A262" s="6" t="s">
        <v>469</v>
      </c>
      <c r="B262" s="6" t="s">
        <v>825</v>
      </c>
      <c r="C262" s="6" t="s">
        <v>52</v>
      </c>
      <c r="D262" s="6" t="s">
        <v>471</v>
      </c>
      <c r="E262" s="6" t="s">
        <v>472</v>
      </c>
      <c r="F262" s="6">
        <v>43</v>
      </c>
      <c r="G262" s="6" t="s">
        <v>34</v>
      </c>
      <c r="H262" s="6" t="s">
        <v>826</v>
      </c>
      <c r="I262" s="6" t="s">
        <v>3752</v>
      </c>
      <c r="J262" s="8">
        <v>43929</v>
      </c>
      <c r="K262" s="8">
        <v>45301</v>
      </c>
      <c r="L262" s="6">
        <v>48900.800000000003</v>
      </c>
      <c r="M262" s="6">
        <v>22000.6</v>
      </c>
      <c r="N262" s="6">
        <v>715</v>
      </c>
      <c r="O262" s="6">
        <v>97000</v>
      </c>
      <c r="P262" s="6" t="s">
        <v>26</v>
      </c>
      <c r="Q262" s="6" t="s">
        <v>27</v>
      </c>
      <c r="R262" s="6">
        <v>0</v>
      </c>
      <c r="S262" s="6" t="s">
        <v>28</v>
      </c>
      <c r="T262" s="7">
        <f t="shared" si="20"/>
        <v>0.2268103092783505</v>
      </c>
      <c r="U262" s="6">
        <f t="shared" si="21"/>
        <v>5</v>
      </c>
      <c r="V262" s="5" t="str">
        <f t="shared" si="22"/>
        <v>GOOD</v>
      </c>
      <c r="W262" s="6" t="str">
        <f t="shared" si="23"/>
        <v>35-44</v>
      </c>
      <c r="X262" s="6" t="str">
        <f t="shared" si="24"/>
        <v>Lower-Middle</v>
      </c>
    </row>
    <row r="263" spans="1:24">
      <c r="A263" s="6" t="s">
        <v>474</v>
      </c>
      <c r="B263" s="6" t="s">
        <v>827</v>
      </c>
      <c r="C263" s="6" t="s">
        <v>46</v>
      </c>
      <c r="D263" s="6" t="s">
        <v>345</v>
      </c>
      <c r="E263" s="6" t="s">
        <v>476</v>
      </c>
      <c r="F263" s="6">
        <v>46</v>
      </c>
      <c r="G263" s="6" t="s">
        <v>24</v>
      </c>
      <c r="H263" s="6" t="s">
        <v>828</v>
      </c>
      <c r="I263" s="6" t="s">
        <v>3753</v>
      </c>
      <c r="J263" s="8">
        <v>43842</v>
      </c>
      <c r="K263" s="8">
        <v>45302</v>
      </c>
      <c r="L263" s="6">
        <v>76700.25</v>
      </c>
      <c r="M263" s="6">
        <v>32000.400000000001</v>
      </c>
      <c r="N263" s="6">
        <v>680</v>
      </c>
      <c r="O263" s="6">
        <v>126000</v>
      </c>
      <c r="P263" s="6" t="s">
        <v>26</v>
      </c>
      <c r="Q263" s="6" t="s">
        <v>27</v>
      </c>
      <c r="R263" s="6">
        <v>0</v>
      </c>
      <c r="S263" s="6" t="s">
        <v>28</v>
      </c>
      <c r="T263" s="7">
        <f t="shared" si="20"/>
        <v>0.25397142857142857</v>
      </c>
      <c r="U263" s="6">
        <f t="shared" si="21"/>
        <v>4</v>
      </c>
      <c r="V263" s="5" t="str">
        <f t="shared" si="22"/>
        <v>GOOD</v>
      </c>
      <c r="W263" s="6" t="str">
        <f t="shared" si="23"/>
        <v>45-54</v>
      </c>
      <c r="X263" s="6" t="str">
        <f t="shared" si="24"/>
        <v>Lower-Middle</v>
      </c>
    </row>
    <row r="264" spans="1:24">
      <c r="A264" s="6" t="s">
        <v>592</v>
      </c>
      <c r="B264" s="6" t="s">
        <v>829</v>
      </c>
      <c r="C264" s="6" t="s">
        <v>84</v>
      </c>
      <c r="D264" s="6" t="s">
        <v>32</v>
      </c>
      <c r="E264" s="6" t="s">
        <v>90</v>
      </c>
      <c r="F264" s="6">
        <v>26</v>
      </c>
      <c r="G264" s="6" t="s">
        <v>34</v>
      </c>
      <c r="H264" s="6" t="s">
        <v>830</v>
      </c>
      <c r="I264" s="6" t="s">
        <v>3620</v>
      </c>
      <c r="J264" s="8">
        <v>45221</v>
      </c>
      <c r="K264" s="8">
        <v>45304</v>
      </c>
      <c r="L264" s="6">
        <v>2250.4</v>
      </c>
      <c r="M264" s="6">
        <v>9800.75</v>
      </c>
      <c r="N264" s="6">
        <v>610</v>
      </c>
      <c r="O264" s="6">
        <v>22000</v>
      </c>
      <c r="P264" s="6" t="s">
        <v>76</v>
      </c>
      <c r="Q264" s="6" t="s">
        <v>43</v>
      </c>
      <c r="R264" s="6">
        <v>0</v>
      </c>
      <c r="S264" s="6" t="s">
        <v>28</v>
      </c>
      <c r="T264" s="7">
        <f t="shared" si="20"/>
        <v>0.44548863636363634</v>
      </c>
      <c r="U264" s="6">
        <f t="shared" si="21"/>
        <v>2</v>
      </c>
      <c r="V264" s="5" t="str">
        <f t="shared" si="22"/>
        <v>FAIR</v>
      </c>
      <c r="W264" s="6" t="str">
        <f t="shared" si="23"/>
        <v>25-34</v>
      </c>
      <c r="X264" s="6" t="str">
        <f t="shared" si="24"/>
        <v>Low</v>
      </c>
    </row>
    <row r="265" spans="1:24">
      <c r="A265" s="6" t="s">
        <v>595</v>
      </c>
      <c r="B265" s="6" t="s">
        <v>831</v>
      </c>
      <c r="C265" s="6" t="s">
        <v>21</v>
      </c>
      <c r="D265" s="6" t="s">
        <v>209</v>
      </c>
      <c r="E265" s="6" t="s">
        <v>210</v>
      </c>
      <c r="F265" s="6">
        <v>58</v>
      </c>
      <c r="G265" s="6" t="s">
        <v>24</v>
      </c>
      <c r="H265" s="6" t="s">
        <v>832</v>
      </c>
      <c r="I265" s="6" t="s">
        <v>3733</v>
      </c>
      <c r="J265" s="8">
        <v>42986</v>
      </c>
      <c r="K265" s="8">
        <v>45299</v>
      </c>
      <c r="L265" s="6">
        <v>287900.79999999999</v>
      </c>
      <c r="M265" s="6">
        <v>81000.25</v>
      </c>
      <c r="N265" s="6">
        <v>825</v>
      </c>
      <c r="O265" s="6">
        <v>278000</v>
      </c>
      <c r="P265" s="6" t="s">
        <v>36</v>
      </c>
      <c r="Q265" s="6" t="s">
        <v>27</v>
      </c>
      <c r="R265" s="6">
        <v>0</v>
      </c>
      <c r="S265" s="6" t="s">
        <v>28</v>
      </c>
      <c r="T265" s="7">
        <f t="shared" si="20"/>
        <v>0.29136780575539567</v>
      </c>
      <c r="U265" s="6">
        <f t="shared" si="21"/>
        <v>7</v>
      </c>
      <c r="V265" s="5" t="str">
        <f t="shared" si="22"/>
        <v>EXCEPTIONAL</v>
      </c>
      <c r="W265" s="6" t="str">
        <f t="shared" si="23"/>
        <v>55+</v>
      </c>
      <c r="X265" s="6" t="str">
        <f t="shared" si="24"/>
        <v>High</v>
      </c>
    </row>
    <row r="266" spans="1:24">
      <c r="A266" s="6" t="s">
        <v>226</v>
      </c>
      <c r="B266" s="6" t="s">
        <v>833</v>
      </c>
      <c r="C266" s="6" t="s">
        <v>57</v>
      </c>
      <c r="D266" s="6" t="s">
        <v>228</v>
      </c>
      <c r="E266" s="6" t="s">
        <v>229</v>
      </c>
      <c r="F266" s="6">
        <v>33</v>
      </c>
      <c r="G266" s="6" t="s">
        <v>34</v>
      </c>
      <c r="H266" s="6" t="s">
        <v>834</v>
      </c>
      <c r="I266" s="6" t="s">
        <v>3754</v>
      </c>
      <c r="J266" s="8">
        <v>44740</v>
      </c>
      <c r="K266" s="8">
        <v>45305</v>
      </c>
      <c r="L266" s="6">
        <v>15600.75</v>
      </c>
      <c r="M266" s="6">
        <v>6400.4</v>
      </c>
      <c r="N266" s="6">
        <v>725</v>
      </c>
      <c r="O266" s="6">
        <v>54000</v>
      </c>
      <c r="P266" s="6" t="s">
        <v>36</v>
      </c>
      <c r="Q266" s="6" t="s">
        <v>27</v>
      </c>
      <c r="R266" s="6">
        <v>0</v>
      </c>
      <c r="S266" s="6" t="s">
        <v>28</v>
      </c>
      <c r="T266" s="7">
        <f t="shared" si="20"/>
        <v>0.11852592592592592</v>
      </c>
      <c r="U266" s="6">
        <f t="shared" si="21"/>
        <v>1</v>
      </c>
      <c r="V266" s="5" t="str">
        <f t="shared" si="22"/>
        <v>GOOD</v>
      </c>
      <c r="W266" s="6" t="str">
        <f t="shared" si="23"/>
        <v>25-34</v>
      </c>
      <c r="X266" s="6" t="str">
        <f t="shared" si="24"/>
        <v>Low</v>
      </c>
    </row>
    <row r="267" spans="1:24">
      <c r="A267" s="6" t="s">
        <v>488</v>
      </c>
      <c r="B267" s="6" t="s">
        <v>835</v>
      </c>
      <c r="C267" s="6" t="s">
        <v>39</v>
      </c>
      <c r="D267" s="6" t="s">
        <v>304</v>
      </c>
      <c r="E267" s="6" t="s">
        <v>304</v>
      </c>
      <c r="F267" s="6">
        <v>50</v>
      </c>
      <c r="G267" s="6" t="s">
        <v>24</v>
      </c>
      <c r="H267" s="6" t="s">
        <v>836</v>
      </c>
      <c r="I267" s="6" t="s">
        <v>3755</v>
      </c>
      <c r="J267" s="8">
        <v>43487</v>
      </c>
      <c r="K267" s="8">
        <v>45300</v>
      </c>
      <c r="L267" s="6">
        <v>168100.6</v>
      </c>
      <c r="M267" s="6">
        <v>81000.899999999994</v>
      </c>
      <c r="N267" s="6">
        <v>675</v>
      </c>
      <c r="O267" s="6">
        <v>178000</v>
      </c>
      <c r="P267" s="6" t="s">
        <v>76</v>
      </c>
      <c r="Q267" s="6" t="s">
        <v>27</v>
      </c>
      <c r="R267" s="6">
        <v>0</v>
      </c>
      <c r="S267" s="6" t="s">
        <v>28</v>
      </c>
      <c r="T267" s="7">
        <f t="shared" si="20"/>
        <v>0.45506123595505615</v>
      </c>
      <c r="U267" s="6">
        <f t="shared" si="21"/>
        <v>6</v>
      </c>
      <c r="V267" s="5" t="str">
        <f t="shared" si="22"/>
        <v>GOOD</v>
      </c>
      <c r="W267" s="6" t="str">
        <f t="shared" si="23"/>
        <v>45-54</v>
      </c>
      <c r="X267" s="6" t="str">
        <f t="shared" si="24"/>
        <v>Upper-Middle</v>
      </c>
    </row>
    <row r="268" spans="1:24">
      <c r="A268" s="6" t="s">
        <v>491</v>
      </c>
      <c r="B268" s="6" t="s">
        <v>837</v>
      </c>
      <c r="C268" s="6" t="s">
        <v>52</v>
      </c>
      <c r="D268" s="6" t="s">
        <v>493</v>
      </c>
      <c r="E268" s="6" t="s">
        <v>494</v>
      </c>
      <c r="F268" s="6">
        <v>41</v>
      </c>
      <c r="G268" s="6" t="s">
        <v>34</v>
      </c>
      <c r="H268" s="6" t="s">
        <v>838</v>
      </c>
      <c r="I268" s="6" t="s">
        <v>3756</v>
      </c>
      <c r="J268" s="8">
        <v>44242</v>
      </c>
      <c r="K268" s="8">
        <v>45302</v>
      </c>
      <c r="L268" s="6">
        <v>43100.4</v>
      </c>
      <c r="M268" s="6">
        <v>17800.25</v>
      </c>
      <c r="N268" s="6">
        <v>705</v>
      </c>
      <c r="O268" s="6">
        <v>86000</v>
      </c>
      <c r="P268" s="6" t="s">
        <v>26</v>
      </c>
      <c r="Q268" s="6" t="s">
        <v>27</v>
      </c>
      <c r="R268" s="6">
        <v>0</v>
      </c>
      <c r="S268" s="6" t="s">
        <v>28</v>
      </c>
      <c r="T268" s="7">
        <f t="shared" si="20"/>
        <v>0.20697965116279068</v>
      </c>
      <c r="U268" s="6">
        <f t="shared" si="21"/>
        <v>4</v>
      </c>
      <c r="V268" s="5" t="str">
        <f t="shared" si="22"/>
        <v>GOOD</v>
      </c>
      <c r="W268" s="6" t="str">
        <f t="shared" si="23"/>
        <v>35-44</v>
      </c>
      <c r="X268" s="6" t="str">
        <f t="shared" si="24"/>
        <v>Lower-Middle</v>
      </c>
    </row>
    <row r="269" spans="1:24">
      <c r="A269" s="6" t="s">
        <v>496</v>
      </c>
      <c r="B269" s="6" t="s">
        <v>839</v>
      </c>
      <c r="C269" s="6" t="s">
        <v>46</v>
      </c>
      <c r="D269" s="6" t="s">
        <v>321</v>
      </c>
      <c r="E269" s="6" t="s">
        <v>498</v>
      </c>
      <c r="F269" s="6">
        <v>44</v>
      </c>
      <c r="G269" s="6" t="s">
        <v>24</v>
      </c>
      <c r="H269" s="6" t="s">
        <v>840</v>
      </c>
      <c r="I269" s="6" t="s">
        <v>3757</v>
      </c>
      <c r="J269" s="8">
        <v>43720</v>
      </c>
      <c r="K269" s="8">
        <v>45301</v>
      </c>
      <c r="L269" s="6">
        <v>90000.75</v>
      </c>
      <c r="M269" s="6">
        <v>38900.800000000003</v>
      </c>
      <c r="N269" s="6">
        <v>730</v>
      </c>
      <c r="O269" s="6">
        <v>152000</v>
      </c>
      <c r="P269" s="6" t="s">
        <v>26</v>
      </c>
      <c r="Q269" s="6" t="s">
        <v>27</v>
      </c>
      <c r="R269" s="6">
        <v>0</v>
      </c>
      <c r="S269" s="6" t="s">
        <v>28</v>
      </c>
      <c r="T269" s="7">
        <f t="shared" si="20"/>
        <v>0.25592631578947372</v>
      </c>
      <c r="U269" s="6">
        <f t="shared" si="21"/>
        <v>5</v>
      </c>
      <c r="V269" s="5" t="str">
        <f t="shared" si="22"/>
        <v>GOOD</v>
      </c>
      <c r="W269" s="6" t="str">
        <f t="shared" si="23"/>
        <v>35-44</v>
      </c>
      <c r="X269" s="6" t="str">
        <f t="shared" si="24"/>
        <v>Upper-Middle</v>
      </c>
    </row>
    <row r="270" spans="1:24">
      <c r="A270" s="6" t="s">
        <v>324</v>
      </c>
      <c r="B270" s="6" t="s">
        <v>841</v>
      </c>
      <c r="C270" s="6" t="s">
        <v>31</v>
      </c>
      <c r="D270" s="6" t="s">
        <v>313</v>
      </c>
      <c r="E270" s="6" t="s">
        <v>385</v>
      </c>
      <c r="F270" s="6">
        <v>29</v>
      </c>
      <c r="G270" s="6" t="s">
        <v>34</v>
      </c>
      <c r="H270" s="6" t="s">
        <v>842</v>
      </c>
      <c r="I270" s="6" t="s">
        <v>3758</v>
      </c>
      <c r="J270" s="8">
        <v>45099</v>
      </c>
      <c r="K270" s="8">
        <v>45306</v>
      </c>
      <c r="L270" s="6">
        <v>9000.9</v>
      </c>
      <c r="M270" s="6">
        <v>5400.75</v>
      </c>
      <c r="N270" s="6">
        <v>685</v>
      </c>
      <c r="O270" s="6">
        <v>39000</v>
      </c>
      <c r="P270" s="6" t="s">
        <v>26</v>
      </c>
      <c r="Q270" s="6" t="s">
        <v>43</v>
      </c>
      <c r="R270" s="6">
        <v>0</v>
      </c>
      <c r="S270" s="6" t="s">
        <v>28</v>
      </c>
      <c r="T270" s="7">
        <f t="shared" si="20"/>
        <v>0.13848076923076924</v>
      </c>
      <c r="U270" s="6">
        <f t="shared" si="21"/>
        <v>0</v>
      </c>
      <c r="V270" s="5" t="str">
        <f t="shared" si="22"/>
        <v>GOOD</v>
      </c>
      <c r="W270" s="6" t="str">
        <f t="shared" si="23"/>
        <v>25-34</v>
      </c>
      <c r="X270" s="6" t="str">
        <f t="shared" si="24"/>
        <v>Low</v>
      </c>
    </row>
    <row r="271" spans="1:24">
      <c r="A271" s="6" t="s">
        <v>503</v>
      </c>
      <c r="B271" s="6" t="s">
        <v>843</v>
      </c>
      <c r="C271" s="6" t="s">
        <v>21</v>
      </c>
      <c r="D271" s="6" t="s">
        <v>32</v>
      </c>
      <c r="E271" s="6" t="s">
        <v>33</v>
      </c>
      <c r="F271" s="6">
        <v>61</v>
      </c>
      <c r="G271" s="6" t="s">
        <v>24</v>
      </c>
      <c r="H271" s="6" t="s">
        <v>844</v>
      </c>
      <c r="I271" s="6" t="s">
        <v>3587</v>
      </c>
      <c r="J271" s="8">
        <v>42719</v>
      </c>
      <c r="K271" s="8">
        <v>45299</v>
      </c>
      <c r="L271" s="6">
        <v>298800.25</v>
      </c>
      <c r="M271" s="6">
        <v>85000.4</v>
      </c>
      <c r="N271" s="6">
        <v>840</v>
      </c>
      <c r="O271" s="6">
        <v>293000</v>
      </c>
      <c r="P271" s="6" t="s">
        <v>36</v>
      </c>
      <c r="Q271" s="6" t="s">
        <v>27</v>
      </c>
      <c r="R271" s="6">
        <v>0</v>
      </c>
      <c r="S271" s="6" t="s">
        <v>28</v>
      </c>
      <c r="T271" s="7">
        <f t="shared" si="20"/>
        <v>0.2901037542662116</v>
      </c>
      <c r="U271" s="6">
        <f t="shared" si="21"/>
        <v>7</v>
      </c>
      <c r="V271" s="5" t="str">
        <f t="shared" si="22"/>
        <v>EXCEPTIONAL</v>
      </c>
      <c r="W271" s="6" t="str">
        <f t="shared" si="23"/>
        <v>55+</v>
      </c>
      <c r="X271" s="6" t="str">
        <f t="shared" si="24"/>
        <v>High</v>
      </c>
    </row>
    <row r="272" spans="1:24">
      <c r="A272" s="6" t="s">
        <v>506</v>
      </c>
      <c r="B272" s="6" t="s">
        <v>845</v>
      </c>
      <c r="C272" s="6" t="s">
        <v>39</v>
      </c>
      <c r="D272" s="6" t="s">
        <v>68</v>
      </c>
      <c r="E272" s="6" t="s">
        <v>69</v>
      </c>
      <c r="F272" s="6">
        <v>53</v>
      </c>
      <c r="G272" s="6" t="s">
        <v>34</v>
      </c>
      <c r="H272" s="6" t="s">
        <v>846</v>
      </c>
      <c r="I272" s="6" t="s">
        <v>3714</v>
      </c>
      <c r="J272" s="8">
        <v>43242</v>
      </c>
      <c r="K272" s="8">
        <v>45300</v>
      </c>
      <c r="L272" s="6">
        <v>179200.4</v>
      </c>
      <c r="M272" s="6">
        <v>85000.75</v>
      </c>
      <c r="N272" s="6">
        <v>650</v>
      </c>
      <c r="O272" s="6">
        <v>188000</v>
      </c>
      <c r="P272" s="6" t="s">
        <v>76</v>
      </c>
      <c r="Q272" s="6" t="s">
        <v>27</v>
      </c>
      <c r="R272" s="6">
        <v>0</v>
      </c>
      <c r="S272" s="6" t="s">
        <v>28</v>
      </c>
      <c r="T272" s="7">
        <f t="shared" si="20"/>
        <v>0.45213164893617019</v>
      </c>
      <c r="U272" s="6">
        <f t="shared" si="21"/>
        <v>6</v>
      </c>
      <c r="V272" s="5" t="str">
        <f t="shared" si="22"/>
        <v>FAIR</v>
      </c>
      <c r="W272" s="6" t="str">
        <f t="shared" si="23"/>
        <v>45-54</v>
      </c>
      <c r="X272" s="6" t="str">
        <f t="shared" si="24"/>
        <v>Upper-Middle</v>
      </c>
    </row>
    <row r="273" spans="1:24">
      <c r="A273" s="6" t="s">
        <v>509</v>
      </c>
      <c r="B273" s="6" t="s">
        <v>847</v>
      </c>
      <c r="C273" s="6" t="s">
        <v>46</v>
      </c>
      <c r="D273" s="6" t="s">
        <v>73</v>
      </c>
      <c r="E273" s="6" t="s">
        <v>74</v>
      </c>
      <c r="F273" s="6">
        <v>40</v>
      </c>
      <c r="G273" s="6" t="s">
        <v>24</v>
      </c>
      <c r="H273" s="6" t="s">
        <v>848</v>
      </c>
      <c r="I273" s="6" t="s">
        <v>3759</v>
      </c>
      <c r="J273" s="8">
        <v>44467</v>
      </c>
      <c r="K273" s="8">
        <v>45303</v>
      </c>
      <c r="L273" s="6">
        <v>77800.399999999994</v>
      </c>
      <c r="M273" s="6">
        <v>33100.25</v>
      </c>
      <c r="N273" s="6">
        <v>745</v>
      </c>
      <c r="O273" s="6">
        <v>132000</v>
      </c>
      <c r="P273" s="6" t="s">
        <v>26</v>
      </c>
      <c r="Q273" s="6" t="s">
        <v>27</v>
      </c>
      <c r="R273" s="6">
        <v>0</v>
      </c>
      <c r="S273" s="6" t="s">
        <v>28</v>
      </c>
      <c r="T273" s="7">
        <f t="shared" si="20"/>
        <v>0.25075946969696972</v>
      </c>
      <c r="U273" s="6">
        <f t="shared" si="21"/>
        <v>3</v>
      </c>
      <c r="V273" s="5" t="str">
        <f t="shared" si="22"/>
        <v>GOOD</v>
      </c>
      <c r="W273" s="6" t="str">
        <f t="shared" si="23"/>
        <v>35-44</v>
      </c>
      <c r="X273" s="6" t="str">
        <f t="shared" si="24"/>
        <v>Upper-Middle</v>
      </c>
    </row>
    <row r="274" spans="1:24">
      <c r="A274" s="6" t="s">
        <v>513</v>
      </c>
      <c r="B274" s="6" t="s">
        <v>849</v>
      </c>
      <c r="C274" s="6" t="s">
        <v>57</v>
      </c>
      <c r="D274" s="6" t="s">
        <v>58</v>
      </c>
      <c r="E274" s="6" t="s">
        <v>122</v>
      </c>
      <c r="F274" s="6">
        <v>35</v>
      </c>
      <c r="G274" s="6" t="s">
        <v>34</v>
      </c>
      <c r="H274" s="6" t="s">
        <v>850</v>
      </c>
      <c r="I274" s="6" t="s">
        <v>3760</v>
      </c>
      <c r="J274" s="8">
        <v>44642</v>
      </c>
      <c r="K274" s="8">
        <v>45302</v>
      </c>
      <c r="L274" s="6">
        <v>17800.8</v>
      </c>
      <c r="M274" s="6">
        <v>7600.9</v>
      </c>
      <c r="N274" s="6">
        <v>765</v>
      </c>
      <c r="O274" s="6">
        <v>64000</v>
      </c>
      <c r="P274" s="6" t="s">
        <v>36</v>
      </c>
      <c r="Q274" s="6" t="s">
        <v>27</v>
      </c>
      <c r="R274" s="6">
        <v>0</v>
      </c>
      <c r="S274" s="6" t="s">
        <v>28</v>
      </c>
      <c r="T274" s="7">
        <f t="shared" si="20"/>
        <v>0.11876406249999999</v>
      </c>
      <c r="U274" s="6">
        <f t="shared" si="21"/>
        <v>4</v>
      </c>
      <c r="V274" s="5" t="str">
        <f t="shared" si="22"/>
        <v>VERY GOOD</v>
      </c>
      <c r="W274" s="6" t="str">
        <f t="shared" si="23"/>
        <v>35-44</v>
      </c>
      <c r="X274" s="6" t="str">
        <f t="shared" si="24"/>
        <v>Low</v>
      </c>
    </row>
    <row r="275" spans="1:24">
      <c r="A275" s="6" t="s">
        <v>516</v>
      </c>
      <c r="B275" s="6" t="s">
        <v>851</v>
      </c>
      <c r="C275" s="6" t="s">
        <v>52</v>
      </c>
      <c r="D275" s="6" t="s">
        <v>277</v>
      </c>
      <c r="E275" s="6" t="s">
        <v>278</v>
      </c>
      <c r="F275" s="6">
        <v>48</v>
      </c>
      <c r="G275" s="6" t="s">
        <v>24</v>
      </c>
      <c r="H275" s="6" t="s">
        <v>852</v>
      </c>
      <c r="I275" s="6" t="s">
        <v>3761</v>
      </c>
      <c r="J275" s="8">
        <v>43889</v>
      </c>
      <c r="K275" s="8">
        <v>45301</v>
      </c>
      <c r="L275" s="6">
        <v>51100.75</v>
      </c>
      <c r="M275" s="6">
        <v>24200.400000000001</v>
      </c>
      <c r="N275" s="6">
        <v>675</v>
      </c>
      <c r="O275" s="6">
        <v>104000</v>
      </c>
      <c r="P275" s="6" t="s">
        <v>26</v>
      </c>
      <c r="Q275" s="6" t="s">
        <v>27</v>
      </c>
      <c r="R275" s="6">
        <v>0</v>
      </c>
      <c r="S275" s="6" t="s">
        <v>28</v>
      </c>
      <c r="T275" s="7">
        <f t="shared" si="20"/>
        <v>0.23269615384615386</v>
      </c>
      <c r="U275" s="6">
        <f t="shared" si="21"/>
        <v>5</v>
      </c>
      <c r="V275" s="5" t="str">
        <f t="shared" si="22"/>
        <v>GOOD</v>
      </c>
      <c r="W275" s="6" t="str">
        <f t="shared" si="23"/>
        <v>45-54</v>
      </c>
      <c r="X275" s="6" t="str">
        <f t="shared" si="24"/>
        <v>Lower-Middle</v>
      </c>
    </row>
    <row r="276" spans="1:24">
      <c r="A276" s="6" t="s">
        <v>519</v>
      </c>
      <c r="B276" s="6" t="s">
        <v>853</v>
      </c>
      <c r="C276" s="6" t="s">
        <v>84</v>
      </c>
      <c r="D276" s="6" t="s">
        <v>183</v>
      </c>
      <c r="E276" s="6" t="s">
        <v>184</v>
      </c>
      <c r="F276" s="6">
        <v>27</v>
      </c>
      <c r="G276" s="6" t="s">
        <v>34</v>
      </c>
      <c r="H276" s="6" t="s">
        <v>854</v>
      </c>
      <c r="I276" s="6" t="s">
        <v>3762</v>
      </c>
      <c r="J276" s="8">
        <v>45238</v>
      </c>
      <c r="K276" s="8">
        <v>45304</v>
      </c>
      <c r="L276" s="6">
        <v>2500.25</v>
      </c>
      <c r="M276" s="6">
        <v>11000.6</v>
      </c>
      <c r="N276" s="6">
        <v>615</v>
      </c>
      <c r="O276" s="6">
        <v>24000</v>
      </c>
      <c r="P276" s="6" t="s">
        <v>76</v>
      </c>
      <c r="Q276" s="6" t="s">
        <v>43</v>
      </c>
      <c r="R276" s="6">
        <v>0</v>
      </c>
      <c r="S276" s="6" t="s">
        <v>28</v>
      </c>
      <c r="T276" s="7">
        <f t="shared" si="20"/>
        <v>0.45835833333333337</v>
      </c>
      <c r="U276" s="6">
        <f t="shared" si="21"/>
        <v>2</v>
      </c>
      <c r="V276" s="5" t="str">
        <f t="shared" si="22"/>
        <v>FAIR</v>
      </c>
      <c r="W276" s="6" t="str">
        <f t="shared" si="23"/>
        <v>25-34</v>
      </c>
      <c r="X276" s="6" t="str">
        <f t="shared" si="24"/>
        <v>Low</v>
      </c>
    </row>
    <row r="277" spans="1:24">
      <c r="A277" s="6" t="s">
        <v>522</v>
      </c>
      <c r="B277" s="6" t="s">
        <v>855</v>
      </c>
      <c r="C277" s="6" t="s">
        <v>39</v>
      </c>
      <c r="D277" s="6" t="s">
        <v>40</v>
      </c>
      <c r="E277" s="6" t="s">
        <v>94</v>
      </c>
      <c r="F277" s="6">
        <v>55</v>
      </c>
      <c r="G277" s="6" t="s">
        <v>24</v>
      </c>
      <c r="H277" s="6" t="s">
        <v>856</v>
      </c>
      <c r="I277" s="6" t="s">
        <v>3510</v>
      </c>
      <c r="J277" s="8">
        <v>43208</v>
      </c>
      <c r="K277" s="8">
        <v>45299</v>
      </c>
      <c r="L277" s="6">
        <v>213800.8</v>
      </c>
      <c r="M277" s="6">
        <v>98000.25</v>
      </c>
      <c r="N277" s="6">
        <v>660</v>
      </c>
      <c r="O277" s="6">
        <v>223000</v>
      </c>
      <c r="P277" s="6" t="s">
        <v>76</v>
      </c>
      <c r="Q277" s="6" t="s">
        <v>27</v>
      </c>
      <c r="R277" s="6">
        <v>0</v>
      </c>
      <c r="S277" s="6" t="s">
        <v>28</v>
      </c>
      <c r="T277" s="7">
        <f t="shared" si="20"/>
        <v>0.43946300448430492</v>
      </c>
      <c r="U277" s="6">
        <f t="shared" si="21"/>
        <v>7</v>
      </c>
      <c r="V277" s="5" t="str">
        <f t="shared" si="22"/>
        <v>FAIR</v>
      </c>
      <c r="W277" s="6" t="str">
        <f t="shared" si="23"/>
        <v>55+</v>
      </c>
      <c r="X277" s="6" t="str">
        <f t="shared" si="24"/>
        <v>High</v>
      </c>
    </row>
    <row r="278" spans="1:24">
      <c r="A278" s="6" t="s">
        <v>306</v>
      </c>
      <c r="B278" s="6" t="s">
        <v>857</v>
      </c>
      <c r="C278" s="6" t="s">
        <v>46</v>
      </c>
      <c r="D278" s="6" t="s">
        <v>209</v>
      </c>
      <c r="E278" s="6" t="s">
        <v>447</v>
      </c>
      <c r="F278" s="6">
        <v>42</v>
      </c>
      <c r="G278" s="6" t="s">
        <v>34</v>
      </c>
      <c r="H278" s="6" t="s">
        <v>858</v>
      </c>
      <c r="I278" s="6" t="s">
        <v>3763</v>
      </c>
      <c r="J278" s="8">
        <v>44065</v>
      </c>
      <c r="K278" s="8">
        <v>45302</v>
      </c>
      <c r="L278" s="6">
        <v>72200.899999999994</v>
      </c>
      <c r="M278" s="6">
        <v>30000.75</v>
      </c>
      <c r="N278" s="6">
        <v>730</v>
      </c>
      <c r="O278" s="6">
        <v>127000</v>
      </c>
      <c r="P278" s="6" t="s">
        <v>26</v>
      </c>
      <c r="Q278" s="6" t="s">
        <v>27</v>
      </c>
      <c r="R278" s="6">
        <v>0</v>
      </c>
      <c r="S278" s="6" t="s">
        <v>28</v>
      </c>
      <c r="T278" s="7">
        <f t="shared" si="20"/>
        <v>0.23622637795275592</v>
      </c>
      <c r="U278" s="6">
        <f t="shared" si="21"/>
        <v>4</v>
      </c>
      <c r="V278" s="5" t="str">
        <f t="shared" si="22"/>
        <v>GOOD</v>
      </c>
      <c r="W278" s="6" t="str">
        <f t="shared" si="23"/>
        <v>35-44</v>
      </c>
      <c r="X278" s="6" t="str">
        <f t="shared" si="24"/>
        <v>Upper-Middle</v>
      </c>
    </row>
    <row r="279" spans="1:24">
      <c r="A279" s="6" t="s">
        <v>527</v>
      </c>
      <c r="B279" s="6" t="s">
        <v>859</v>
      </c>
      <c r="C279" s="6" t="s">
        <v>31</v>
      </c>
      <c r="D279" s="6" t="s">
        <v>32</v>
      </c>
      <c r="E279" s="6" t="s">
        <v>90</v>
      </c>
      <c r="F279" s="6">
        <v>31</v>
      </c>
      <c r="G279" s="6" t="s">
        <v>34</v>
      </c>
      <c r="H279" s="6" t="s">
        <v>860</v>
      </c>
      <c r="I279" s="6" t="s">
        <v>3544</v>
      </c>
      <c r="J279" s="8">
        <v>45119</v>
      </c>
      <c r="K279" s="8">
        <v>45305</v>
      </c>
      <c r="L279" s="6">
        <v>10100.4</v>
      </c>
      <c r="M279" s="6">
        <v>6000.25</v>
      </c>
      <c r="N279" s="6">
        <v>705</v>
      </c>
      <c r="O279" s="6">
        <v>41000</v>
      </c>
      <c r="P279" s="6" t="s">
        <v>26</v>
      </c>
      <c r="Q279" s="6" t="s">
        <v>43</v>
      </c>
      <c r="R279" s="6">
        <v>0</v>
      </c>
      <c r="S279" s="6" t="s">
        <v>28</v>
      </c>
      <c r="T279" s="7">
        <f t="shared" si="20"/>
        <v>0.14634756097560975</v>
      </c>
      <c r="U279" s="6">
        <f t="shared" si="21"/>
        <v>1</v>
      </c>
      <c r="V279" s="5" t="str">
        <f t="shared" si="22"/>
        <v>GOOD</v>
      </c>
      <c r="W279" s="6" t="str">
        <f t="shared" si="23"/>
        <v>25-34</v>
      </c>
      <c r="X279" s="6" t="str">
        <f t="shared" si="24"/>
        <v>Low</v>
      </c>
    </row>
    <row r="280" spans="1:24">
      <c r="A280" s="6" t="s">
        <v>530</v>
      </c>
      <c r="B280" s="6" t="s">
        <v>861</v>
      </c>
      <c r="C280" s="6" t="s">
        <v>57</v>
      </c>
      <c r="D280" s="6" t="s">
        <v>219</v>
      </c>
      <c r="E280" s="6" t="s">
        <v>220</v>
      </c>
      <c r="F280" s="6">
        <v>36</v>
      </c>
      <c r="G280" s="6" t="s">
        <v>24</v>
      </c>
      <c r="H280" s="6" t="s">
        <v>862</v>
      </c>
      <c r="I280" s="6" t="s">
        <v>3764</v>
      </c>
      <c r="J280" s="8">
        <v>44604</v>
      </c>
      <c r="K280" s="8">
        <v>45303</v>
      </c>
      <c r="L280" s="6">
        <v>16700.599999999999</v>
      </c>
      <c r="M280" s="6">
        <v>7000.8</v>
      </c>
      <c r="N280" s="6">
        <v>710</v>
      </c>
      <c r="O280" s="6">
        <v>57000</v>
      </c>
      <c r="P280" s="6" t="s">
        <v>36</v>
      </c>
      <c r="Q280" s="6" t="s">
        <v>27</v>
      </c>
      <c r="R280" s="6">
        <v>0</v>
      </c>
      <c r="S280" s="6" t="s">
        <v>28</v>
      </c>
      <c r="T280" s="7">
        <f t="shared" si="20"/>
        <v>0.12282105263157896</v>
      </c>
      <c r="U280" s="6">
        <f t="shared" si="21"/>
        <v>3</v>
      </c>
      <c r="V280" s="5" t="str">
        <f t="shared" si="22"/>
        <v>GOOD</v>
      </c>
      <c r="W280" s="6" t="str">
        <f t="shared" si="23"/>
        <v>35-44</v>
      </c>
      <c r="X280" s="6" t="str">
        <f t="shared" si="24"/>
        <v>Low</v>
      </c>
    </row>
    <row r="281" spans="1:24">
      <c r="A281" s="6" t="s">
        <v>533</v>
      </c>
      <c r="B281" s="6" t="s">
        <v>863</v>
      </c>
      <c r="C281" s="6" t="s">
        <v>52</v>
      </c>
      <c r="D281" s="6" t="s">
        <v>204</v>
      </c>
      <c r="E281" s="6" t="s">
        <v>205</v>
      </c>
      <c r="F281" s="6">
        <v>43</v>
      </c>
      <c r="G281" s="6" t="s">
        <v>34</v>
      </c>
      <c r="H281" s="6" t="s">
        <v>864</v>
      </c>
      <c r="I281" s="6" t="s">
        <v>3765</v>
      </c>
      <c r="J281" s="8">
        <v>43912</v>
      </c>
      <c r="K281" s="8">
        <v>45301</v>
      </c>
      <c r="L281" s="6">
        <v>48000.25</v>
      </c>
      <c r="M281" s="6">
        <v>21100.9</v>
      </c>
      <c r="N281" s="6">
        <v>695</v>
      </c>
      <c r="O281" s="6">
        <v>92000</v>
      </c>
      <c r="P281" s="6" t="s">
        <v>26</v>
      </c>
      <c r="Q281" s="6" t="s">
        <v>27</v>
      </c>
      <c r="R281" s="6">
        <v>0</v>
      </c>
      <c r="S281" s="6" t="s">
        <v>28</v>
      </c>
      <c r="T281" s="7">
        <f t="shared" si="20"/>
        <v>0.22935760869565219</v>
      </c>
      <c r="U281" s="6">
        <f t="shared" si="21"/>
        <v>5</v>
      </c>
      <c r="V281" s="5" t="str">
        <f t="shared" si="22"/>
        <v>GOOD</v>
      </c>
      <c r="W281" s="6" t="str">
        <f t="shared" si="23"/>
        <v>35-44</v>
      </c>
      <c r="X281" s="6" t="str">
        <f t="shared" si="24"/>
        <v>Lower-Middle</v>
      </c>
    </row>
    <row r="282" spans="1:24">
      <c r="A282" s="6" t="s">
        <v>536</v>
      </c>
      <c r="B282" s="6" t="s">
        <v>865</v>
      </c>
      <c r="C282" s="6" t="s">
        <v>39</v>
      </c>
      <c r="D282" s="6" t="s">
        <v>195</v>
      </c>
      <c r="E282" s="6" t="s">
        <v>300</v>
      </c>
      <c r="F282" s="6">
        <v>51</v>
      </c>
      <c r="G282" s="6" t="s">
        <v>24</v>
      </c>
      <c r="H282" s="6" t="s">
        <v>866</v>
      </c>
      <c r="I282" s="6" t="s">
        <v>3766</v>
      </c>
      <c r="J282" s="8">
        <v>43358</v>
      </c>
      <c r="K282" s="8">
        <v>45300</v>
      </c>
      <c r="L282" s="6">
        <v>146000.4</v>
      </c>
      <c r="M282" s="6">
        <v>72000.600000000006</v>
      </c>
      <c r="N282" s="6">
        <v>670</v>
      </c>
      <c r="O282" s="6">
        <v>159000</v>
      </c>
      <c r="P282" s="6" t="s">
        <v>76</v>
      </c>
      <c r="Q282" s="6" t="s">
        <v>27</v>
      </c>
      <c r="R282" s="6">
        <v>0</v>
      </c>
      <c r="S282" s="6" t="s">
        <v>28</v>
      </c>
      <c r="T282" s="7">
        <f t="shared" si="20"/>
        <v>0.45283396226415096</v>
      </c>
      <c r="U282" s="6">
        <f t="shared" si="21"/>
        <v>6</v>
      </c>
      <c r="V282" s="5" t="str">
        <f t="shared" si="22"/>
        <v>GOOD</v>
      </c>
      <c r="W282" s="6" t="str">
        <f t="shared" si="23"/>
        <v>45-54</v>
      </c>
      <c r="X282" s="6" t="str">
        <f t="shared" si="24"/>
        <v>Upper-Middle</v>
      </c>
    </row>
    <row r="283" spans="1:24">
      <c r="A283" s="6" t="s">
        <v>539</v>
      </c>
      <c r="B283" s="6" t="s">
        <v>867</v>
      </c>
      <c r="C283" s="6" t="s">
        <v>21</v>
      </c>
      <c r="D283" s="6" t="s">
        <v>58</v>
      </c>
      <c r="E283" s="6" t="s">
        <v>59</v>
      </c>
      <c r="F283" s="6">
        <v>59</v>
      </c>
      <c r="G283" s="6" t="s">
        <v>34</v>
      </c>
      <c r="H283" s="6" t="s">
        <v>868</v>
      </c>
      <c r="I283" s="6" t="s">
        <v>3767</v>
      </c>
      <c r="J283" s="8">
        <v>42928</v>
      </c>
      <c r="K283" s="8">
        <v>45299</v>
      </c>
      <c r="L283" s="6">
        <v>312900.75</v>
      </c>
      <c r="M283" s="6">
        <v>89000.8</v>
      </c>
      <c r="N283" s="6">
        <v>835</v>
      </c>
      <c r="O283" s="6">
        <v>304000</v>
      </c>
      <c r="P283" s="6" t="s">
        <v>36</v>
      </c>
      <c r="Q283" s="6" t="s">
        <v>27</v>
      </c>
      <c r="R283" s="6">
        <v>0</v>
      </c>
      <c r="S283" s="6" t="s">
        <v>28</v>
      </c>
      <c r="T283" s="7">
        <f t="shared" si="20"/>
        <v>0.2927657894736842</v>
      </c>
      <c r="U283" s="6">
        <f t="shared" si="21"/>
        <v>7</v>
      </c>
      <c r="V283" s="5" t="str">
        <f t="shared" si="22"/>
        <v>EXCEPTIONAL</v>
      </c>
      <c r="W283" s="6" t="str">
        <f t="shared" si="23"/>
        <v>55+</v>
      </c>
      <c r="X283" s="6" t="str">
        <f t="shared" si="24"/>
        <v>High</v>
      </c>
    </row>
    <row r="284" spans="1:24">
      <c r="A284" s="6" t="s">
        <v>542</v>
      </c>
      <c r="B284" s="6" t="s">
        <v>869</v>
      </c>
      <c r="C284" s="6" t="s">
        <v>52</v>
      </c>
      <c r="D284" s="6" t="s">
        <v>68</v>
      </c>
      <c r="E284" s="6" t="s">
        <v>114</v>
      </c>
      <c r="F284" s="6">
        <v>46</v>
      </c>
      <c r="G284" s="6" t="s">
        <v>34</v>
      </c>
      <c r="H284" s="6" t="s">
        <v>870</v>
      </c>
      <c r="I284" s="6" t="s">
        <v>3747</v>
      </c>
      <c r="J284" s="8">
        <v>43876</v>
      </c>
      <c r="K284" s="8">
        <v>45302</v>
      </c>
      <c r="L284" s="6">
        <v>56700.6</v>
      </c>
      <c r="M284" s="6">
        <v>26700.25</v>
      </c>
      <c r="N284" s="6">
        <v>665</v>
      </c>
      <c r="O284" s="6">
        <v>112000</v>
      </c>
      <c r="P284" s="6" t="s">
        <v>26</v>
      </c>
      <c r="Q284" s="6" t="s">
        <v>27</v>
      </c>
      <c r="R284" s="6">
        <v>0</v>
      </c>
      <c r="S284" s="6" t="s">
        <v>28</v>
      </c>
      <c r="T284" s="7">
        <f t="shared" si="20"/>
        <v>0.23839508928571429</v>
      </c>
      <c r="U284" s="6">
        <f t="shared" si="21"/>
        <v>4</v>
      </c>
      <c r="V284" s="5" t="str">
        <f t="shared" si="22"/>
        <v>FAIR</v>
      </c>
      <c r="W284" s="6" t="str">
        <f t="shared" si="23"/>
        <v>45-54</v>
      </c>
      <c r="X284" s="6" t="str">
        <f t="shared" si="24"/>
        <v>Lower-Middle</v>
      </c>
    </row>
    <row r="285" spans="1:24">
      <c r="A285" s="6" t="s">
        <v>545</v>
      </c>
      <c r="B285" s="6" t="s">
        <v>871</v>
      </c>
      <c r="C285" s="6" t="s">
        <v>46</v>
      </c>
      <c r="D285" s="6" t="s">
        <v>241</v>
      </c>
      <c r="E285" s="6" t="s">
        <v>242</v>
      </c>
      <c r="F285" s="6">
        <v>38</v>
      </c>
      <c r="G285" s="6" t="s">
        <v>24</v>
      </c>
      <c r="H285" s="6" t="s">
        <v>872</v>
      </c>
      <c r="I285" s="6" t="s">
        <v>3768</v>
      </c>
      <c r="J285" s="8">
        <v>44508</v>
      </c>
      <c r="K285" s="8">
        <v>45303</v>
      </c>
      <c r="L285" s="6">
        <v>80000.800000000003</v>
      </c>
      <c r="M285" s="6">
        <v>34200.400000000001</v>
      </c>
      <c r="N285" s="6">
        <v>750</v>
      </c>
      <c r="O285" s="6">
        <v>138000</v>
      </c>
      <c r="P285" s="6" t="s">
        <v>26</v>
      </c>
      <c r="Q285" s="6" t="s">
        <v>27</v>
      </c>
      <c r="R285" s="6">
        <v>0</v>
      </c>
      <c r="S285" s="6" t="s">
        <v>28</v>
      </c>
      <c r="T285" s="7">
        <f t="shared" si="20"/>
        <v>0.24782898550724639</v>
      </c>
      <c r="U285" s="6">
        <f t="shared" si="21"/>
        <v>3</v>
      </c>
      <c r="V285" s="5" t="str">
        <f t="shared" si="22"/>
        <v>VERY GOOD</v>
      </c>
      <c r="W285" s="6" t="str">
        <f t="shared" si="23"/>
        <v>35-44</v>
      </c>
      <c r="X285" s="6" t="str">
        <f t="shared" si="24"/>
        <v>Upper-Middle</v>
      </c>
    </row>
    <row r="286" spans="1:24">
      <c r="A286" s="6" t="s">
        <v>548</v>
      </c>
      <c r="B286" s="6" t="s">
        <v>873</v>
      </c>
      <c r="C286" s="6" t="s">
        <v>57</v>
      </c>
      <c r="D286" s="6" t="s">
        <v>22</v>
      </c>
      <c r="E286" s="6" t="s">
        <v>381</v>
      </c>
      <c r="F286" s="6">
        <v>34</v>
      </c>
      <c r="G286" s="6" t="s">
        <v>34</v>
      </c>
      <c r="H286" s="6" t="s">
        <v>874</v>
      </c>
      <c r="I286" s="6" t="s">
        <v>3769</v>
      </c>
      <c r="J286" s="8">
        <v>44703</v>
      </c>
      <c r="K286" s="8">
        <v>45305</v>
      </c>
      <c r="L286" s="6">
        <v>18900.900000000001</v>
      </c>
      <c r="M286" s="6">
        <v>8000.75</v>
      </c>
      <c r="N286" s="6">
        <v>770</v>
      </c>
      <c r="O286" s="6">
        <v>69000</v>
      </c>
      <c r="P286" s="6" t="s">
        <v>36</v>
      </c>
      <c r="Q286" s="6" t="s">
        <v>27</v>
      </c>
      <c r="R286" s="6">
        <v>0</v>
      </c>
      <c r="S286" s="6" t="s">
        <v>28</v>
      </c>
      <c r="T286" s="7">
        <f t="shared" si="20"/>
        <v>0.11595289855072463</v>
      </c>
      <c r="U286" s="6">
        <f t="shared" si="21"/>
        <v>1</v>
      </c>
      <c r="V286" s="5" t="str">
        <f t="shared" si="22"/>
        <v>VERY GOOD</v>
      </c>
      <c r="W286" s="6" t="str">
        <f t="shared" si="23"/>
        <v>25-34</v>
      </c>
      <c r="X286" s="6" t="str">
        <f t="shared" si="24"/>
        <v>Low</v>
      </c>
    </row>
    <row r="287" spans="1:24">
      <c r="A287" s="6" t="s">
        <v>551</v>
      </c>
      <c r="B287" s="6" t="s">
        <v>875</v>
      </c>
      <c r="C287" s="6" t="s">
        <v>39</v>
      </c>
      <c r="D287" s="6" t="s">
        <v>313</v>
      </c>
      <c r="E287" s="6" t="s">
        <v>501</v>
      </c>
      <c r="F287" s="6">
        <v>57</v>
      </c>
      <c r="G287" s="6" t="s">
        <v>24</v>
      </c>
      <c r="H287" s="6" t="s">
        <v>876</v>
      </c>
      <c r="I287" s="6" t="s">
        <v>3770</v>
      </c>
      <c r="J287" s="8">
        <v>43097</v>
      </c>
      <c r="K287" s="8">
        <v>45299</v>
      </c>
      <c r="L287" s="6">
        <v>199100.25</v>
      </c>
      <c r="M287" s="6">
        <v>93000.8</v>
      </c>
      <c r="N287" s="6">
        <v>645</v>
      </c>
      <c r="O287" s="6">
        <v>209000</v>
      </c>
      <c r="P287" s="6" t="s">
        <v>76</v>
      </c>
      <c r="Q287" s="6" t="s">
        <v>27</v>
      </c>
      <c r="R287" s="6">
        <v>0</v>
      </c>
      <c r="S287" s="6" t="s">
        <v>28</v>
      </c>
      <c r="T287" s="7">
        <f t="shared" si="20"/>
        <v>0.44497990430622009</v>
      </c>
      <c r="U287" s="6">
        <f t="shared" si="21"/>
        <v>7</v>
      </c>
      <c r="V287" s="5" t="str">
        <f t="shared" si="22"/>
        <v>FAIR</v>
      </c>
      <c r="W287" s="6" t="str">
        <f t="shared" si="23"/>
        <v>55+</v>
      </c>
      <c r="X287" s="6" t="str">
        <f t="shared" si="24"/>
        <v>High</v>
      </c>
    </row>
    <row r="288" spans="1:24">
      <c r="A288" s="6" t="s">
        <v>554</v>
      </c>
      <c r="B288" s="6" t="s">
        <v>877</v>
      </c>
      <c r="C288" s="6" t="s">
        <v>31</v>
      </c>
      <c r="D288" s="6" t="s">
        <v>214</v>
      </c>
      <c r="E288" s="6" t="s">
        <v>483</v>
      </c>
      <c r="F288" s="6">
        <v>30</v>
      </c>
      <c r="G288" s="6" t="s">
        <v>34</v>
      </c>
      <c r="H288" s="6" t="s">
        <v>878</v>
      </c>
      <c r="I288" s="6" t="s">
        <v>3771</v>
      </c>
      <c r="J288" s="8">
        <v>45146</v>
      </c>
      <c r="K288" s="8">
        <v>45306</v>
      </c>
      <c r="L288" s="6">
        <v>14200.5</v>
      </c>
      <c r="M288" s="6">
        <v>7600.4</v>
      </c>
      <c r="N288" s="6">
        <v>720</v>
      </c>
      <c r="O288" s="6">
        <v>46000</v>
      </c>
      <c r="P288" s="6" t="s">
        <v>36</v>
      </c>
      <c r="Q288" s="6" t="s">
        <v>27</v>
      </c>
      <c r="R288" s="6">
        <v>0</v>
      </c>
      <c r="S288" s="6" t="s">
        <v>28</v>
      </c>
      <c r="T288" s="7">
        <f t="shared" si="20"/>
        <v>0.16522608695652174</v>
      </c>
      <c r="U288" s="6">
        <f t="shared" si="21"/>
        <v>0</v>
      </c>
      <c r="V288" s="5" t="str">
        <f t="shared" si="22"/>
        <v>GOOD</v>
      </c>
      <c r="W288" s="6" t="str">
        <f t="shared" si="23"/>
        <v>25-34</v>
      </c>
      <c r="X288" s="6" t="str">
        <f t="shared" si="24"/>
        <v>Low</v>
      </c>
    </row>
    <row r="289" spans="1:24">
      <c r="A289" s="6" t="s">
        <v>108</v>
      </c>
      <c r="B289" s="6" t="s">
        <v>879</v>
      </c>
      <c r="C289" s="6" t="s">
        <v>84</v>
      </c>
      <c r="D289" s="6" t="s">
        <v>32</v>
      </c>
      <c r="E289" s="6" t="s">
        <v>33</v>
      </c>
      <c r="F289" s="6">
        <v>26</v>
      </c>
      <c r="G289" s="6" t="s">
        <v>24</v>
      </c>
      <c r="H289" s="6" t="s">
        <v>880</v>
      </c>
      <c r="I289" s="6" t="s">
        <v>3620</v>
      </c>
      <c r="J289" s="8">
        <v>45275</v>
      </c>
      <c r="K289" s="8">
        <v>45304</v>
      </c>
      <c r="L289" s="6">
        <v>2250.8000000000002</v>
      </c>
      <c r="M289" s="6">
        <v>9400.25</v>
      </c>
      <c r="N289" s="6">
        <v>605</v>
      </c>
      <c r="O289" s="6">
        <v>22000</v>
      </c>
      <c r="P289" s="6" t="s">
        <v>76</v>
      </c>
      <c r="Q289" s="6" t="s">
        <v>43</v>
      </c>
      <c r="R289" s="6">
        <v>0</v>
      </c>
      <c r="S289" s="6" t="s">
        <v>28</v>
      </c>
      <c r="T289" s="7">
        <f t="shared" si="20"/>
        <v>0.42728409090909092</v>
      </c>
      <c r="U289" s="6">
        <f t="shared" si="21"/>
        <v>2</v>
      </c>
      <c r="V289" s="5" t="str">
        <f t="shared" si="22"/>
        <v>FAIR</v>
      </c>
      <c r="W289" s="6" t="str">
        <f t="shared" si="23"/>
        <v>25-34</v>
      </c>
      <c r="X289" s="6" t="str">
        <f t="shared" si="24"/>
        <v>Low</v>
      </c>
    </row>
    <row r="290" spans="1:24">
      <c r="A290" s="6" t="s">
        <v>559</v>
      </c>
      <c r="B290" s="6" t="s">
        <v>881</v>
      </c>
      <c r="C290" s="6" t="s">
        <v>46</v>
      </c>
      <c r="D290" s="6" t="s">
        <v>254</v>
      </c>
      <c r="E290" s="6" t="s">
        <v>255</v>
      </c>
      <c r="F290" s="6">
        <v>40</v>
      </c>
      <c r="G290" s="6" t="s">
        <v>34</v>
      </c>
      <c r="H290" s="6" t="s">
        <v>882</v>
      </c>
      <c r="I290" s="6" t="s">
        <v>3772</v>
      </c>
      <c r="J290" s="8">
        <v>44399</v>
      </c>
      <c r="K290" s="8">
        <v>45302</v>
      </c>
      <c r="L290" s="6">
        <v>66700.399999999994</v>
      </c>
      <c r="M290" s="6">
        <v>28900.75</v>
      </c>
      <c r="N290" s="6">
        <v>710</v>
      </c>
      <c r="O290" s="6">
        <v>120000</v>
      </c>
      <c r="P290" s="6" t="s">
        <v>26</v>
      </c>
      <c r="Q290" s="6" t="s">
        <v>27</v>
      </c>
      <c r="R290" s="6">
        <v>0</v>
      </c>
      <c r="S290" s="6" t="s">
        <v>28</v>
      </c>
      <c r="T290" s="7">
        <f t="shared" si="20"/>
        <v>0.24083958333333333</v>
      </c>
      <c r="U290" s="6">
        <f t="shared" si="21"/>
        <v>4</v>
      </c>
      <c r="V290" s="5" t="str">
        <f t="shared" si="22"/>
        <v>GOOD</v>
      </c>
      <c r="W290" s="6" t="str">
        <f t="shared" si="23"/>
        <v>35-44</v>
      </c>
      <c r="X290" s="6" t="str">
        <f t="shared" si="24"/>
        <v>Lower-Middle</v>
      </c>
    </row>
    <row r="291" spans="1:24">
      <c r="A291" s="6" t="s">
        <v>562</v>
      </c>
      <c r="B291" s="6" t="s">
        <v>883</v>
      </c>
      <c r="C291" s="6" t="s">
        <v>39</v>
      </c>
      <c r="D291" s="6" t="s">
        <v>47</v>
      </c>
      <c r="E291" s="6" t="s">
        <v>98</v>
      </c>
      <c r="F291" s="6">
        <v>54</v>
      </c>
      <c r="G291" s="6" t="s">
        <v>24</v>
      </c>
      <c r="H291" s="6" t="s">
        <v>884</v>
      </c>
      <c r="I291" s="6" t="s">
        <v>3773</v>
      </c>
      <c r="J291" s="8">
        <v>43263</v>
      </c>
      <c r="K291" s="8">
        <v>45300</v>
      </c>
      <c r="L291" s="6">
        <v>179300.6</v>
      </c>
      <c r="M291" s="6">
        <v>86000.25</v>
      </c>
      <c r="N291" s="6">
        <v>675</v>
      </c>
      <c r="O291" s="6">
        <v>189000</v>
      </c>
      <c r="P291" s="6" t="s">
        <v>76</v>
      </c>
      <c r="Q291" s="6" t="s">
        <v>27</v>
      </c>
      <c r="R291" s="6">
        <v>0</v>
      </c>
      <c r="S291" s="6" t="s">
        <v>28</v>
      </c>
      <c r="T291" s="7">
        <f t="shared" si="20"/>
        <v>0.45502777777777775</v>
      </c>
      <c r="U291" s="6">
        <f t="shared" si="21"/>
        <v>6</v>
      </c>
      <c r="V291" s="5" t="str">
        <f t="shared" si="22"/>
        <v>GOOD</v>
      </c>
      <c r="W291" s="6" t="str">
        <f t="shared" si="23"/>
        <v>45-54</v>
      </c>
      <c r="X291" s="6" t="str">
        <f t="shared" si="24"/>
        <v>Upper-Middle</v>
      </c>
    </row>
    <row r="292" spans="1:24">
      <c r="A292" s="6" t="s">
        <v>565</v>
      </c>
      <c r="B292" s="6" t="s">
        <v>885</v>
      </c>
      <c r="C292" s="6" t="s">
        <v>52</v>
      </c>
      <c r="D292" s="6" t="s">
        <v>233</v>
      </c>
      <c r="E292" s="6" t="s">
        <v>296</v>
      </c>
      <c r="F292" s="6">
        <v>39</v>
      </c>
      <c r="G292" s="6" t="s">
        <v>34</v>
      </c>
      <c r="H292" s="6" t="s">
        <v>886</v>
      </c>
      <c r="I292" s="6" t="s">
        <v>3774</v>
      </c>
      <c r="J292" s="8">
        <v>44193</v>
      </c>
      <c r="K292" s="8">
        <v>45301</v>
      </c>
      <c r="L292" s="6">
        <v>43100.75</v>
      </c>
      <c r="M292" s="6">
        <v>20000.8</v>
      </c>
      <c r="N292" s="6">
        <v>725</v>
      </c>
      <c r="O292" s="6">
        <v>86000</v>
      </c>
      <c r="P292" s="6" t="s">
        <v>26</v>
      </c>
      <c r="Q292" s="6" t="s">
        <v>27</v>
      </c>
      <c r="R292" s="6">
        <v>0</v>
      </c>
      <c r="S292" s="6" t="s">
        <v>28</v>
      </c>
      <c r="T292" s="7">
        <f t="shared" si="20"/>
        <v>0.2325674418604651</v>
      </c>
      <c r="U292" s="6">
        <f t="shared" si="21"/>
        <v>5</v>
      </c>
      <c r="V292" s="5" t="str">
        <f t="shared" si="22"/>
        <v>GOOD</v>
      </c>
      <c r="W292" s="6" t="str">
        <f t="shared" si="23"/>
        <v>35-44</v>
      </c>
      <c r="X292" s="6" t="str">
        <f t="shared" si="24"/>
        <v>Lower-Middle</v>
      </c>
    </row>
    <row r="293" spans="1:24">
      <c r="A293" s="6" t="s">
        <v>568</v>
      </c>
      <c r="B293" s="6" t="s">
        <v>887</v>
      </c>
      <c r="C293" s="6" t="s">
        <v>57</v>
      </c>
      <c r="D293" s="6" t="s">
        <v>79</v>
      </c>
      <c r="E293" s="6" t="s">
        <v>80</v>
      </c>
      <c r="F293" s="6">
        <v>37</v>
      </c>
      <c r="G293" s="6" t="s">
        <v>24</v>
      </c>
      <c r="H293" s="6" t="s">
        <v>888</v>
      </c>
      <c r="I293" s="6" t="s">
        <v>3775</v>
      </c>
      <c r="J293" s="8">
        <v>44638</v>
      </c>
      <c r="K293" s="8">
        <v>45303</v>
      </c>
      <c r="L293" s="6">
        <v>21100.400000000001</v>
      </c>
      <c r="M293" s="6">
        <v>8800.9</v>
      </c>
      <c r="N293" s="6">
        <v>740</v>
      </c>
      <c r="O293" s="6">
        <v>72000</v>
      </c>
      <c r="P293" s="6" t="s">
        <v>36</v>
      </c>
      <c r="Q293" s="6" t="s">
        <v>27</v>
      </c>
      <c r="R293" s="6">
        <v>0</v>
      </c>
      <c r="S293" s="6" t="s">
        <v>28</v>
      </c>
      <c r="T293" s="7">
        <f t="shared" si="20"/>
        <v>0.12223472222222222</v>
      </c>
      <c r="U293" s="6">
        <f t="shared" si="21"/>
        <v>3</v>
      </c>
      <c r="V293" s="5" t="str">
        <f t="shared" si="22"/>
        <v>GOOD</v>
      </c>
      <c r="W293" s="6" t="str">
        <f t="shared" si="23"/>
        <v>35-44</v>
      </c>
      <c r="X293" s="6" t="str">
        <f t="shared" si="24"/>
        <v>Low</v>
      </c>
    </row>
    <row r="294" spans="1:24">
      <c r="A294" s="6" t="s">
        <v>571</v>
      </c>
      <c r="B294" s="6" t="s">
        <v>889</v>
      </c>
      <c r="C294" s="6" t="s">
        <v>21</v>
      </c>
      <c r="D294" s="6" t="s">
        <v>63</v>
      </c>
      <c r="E294" s="6" t="s">
        <v>106</v>
      </c>
      <c r="F294" s="6">
        <v>60</v>
      </c>
      <c r="G294" s="6" t="s">
        <v>34</v>
      </c>
      <c r="H294" s="6" t="s">
        <v>890</v>
      </c>
      <c r="I294" s="6" t="s">
        <v>3776</v>
      </c>
      <c r="J294" s="8">
        <v>42799</v>
      </c>
      <c r="K294" s="8">
        <v>45299</v>
      </c>
      <c r="L294" s="6">
        <v>268200.90000000002</v>
      </c>
      <c r="M294" s="6">
        <v>76000.600000000006</v>
      </c>
      <c r="N294" s="6">
        <v>830</v>
      </c>
      <c r="O294" s="6">
        <v>284000</v>
      </c>
      <c r="P294" s="6" t="s">
        <v>36</v>
      </c>
      <c r="Q294" s="6" t="s">
        <v>27</v>
      </c>
      <c r="R294" s="6">
        <v>0</v>
      </c>
      <c r="S294" s="6" t="s">
        <v>28</v>
      </c>
      <c r="T294" s="7">
        <f t="shared" si="20"/>
        <v>0.26760774647887325</v>
      </c>
      <c r="U294" s="6">
        <f t="shared" si="21"/>
        <v>7</v>
      </c>
      <c r="V294" s="5" t="str">
        <f t="shared" si="22"/>
        <v>EXCEPTIONAL</v>
      </c>
      <c r="W294" s="6" t="str">
        <f t="shared" si="23"/>
        <v>55+</v>
      </c>
      <c r="X294" s="6" t="str">
        <f t="shared" si="24"/>
        <v>High</v>
      </c>
    </row>
    <row r="295" spans="1:24">
      <c r="A295" s="6" t="s">
        <v>574</v>
      </c>
      <c r="B295" s="6" t="s">
        <v>891</v>
      </c>
      <c r="C295" s="6" t="s">
        <v>39</v>
      </c>
      <c r="D295" s="6" t="s">
        <v>68</v>
      </c>
      <c r="E295" s="6" t="s">
        <v>69</v>
      </c>
      <c r="F295" s="6">
        <v>52</v>
      </c>
      <c r="G295" s="6" t="s">
        <v>24</v>
      </c>
      <c r="H295" s="6" t="s">
        <v>892</v>
      </c>
      <c r="I295" s="6" t="s">
        <v>3777</v>
      </c>
      <c r="J295" s="8">
        <v>43426</v>
      </c>
      <c r="K295" s="8">
        <v>45300</v>
      </c>
      <c r="L295" s="6">
        <v>157100.25</v>
      </c>
      <c r="M295" s="6">
        <v>78000.399999999994</v>
      </c>
      <c r="N295" s="6">
        <v>655</v>
      </c>
      <c r="O295" s="6">
        <v>174000</v>
      </c>
      <c r="P295" s="6" t="s">
        <v>76</v>
      </c>
      <c r="Q295" s="6" t="s">
        <v>27</v>
      </c>
      <c r="R295" s="6">
        <v>0</v>
      </c>
      <c r="S295" s="6" t="s">
        <v>28</v>
      </c>
      <c r="T295" s="7">
        <f t="shared" si="20"/>
        <v>0.4482781609195402</v>
      </c>
      <c r="U295" s="6">
        <f t="shared" si="21"/>
        <v>6</v>
      </c>
      <c r="V295" s="5" t="str">
        <f t="shared" si="22"/>
        <v>FAIR</v>
      </c>
      <c r="W295" s="6" t="str">
        <f t="shared" si="23"/>
        <v>45-54</v>
      </c>
      <c r="X295" s="6" t="str">
        <f t="shared" si="24"/>
        <v>Upper-Middle</v>
      </c>
    </row>
    <row r="296" spans="1:24">
      <c r="A296" s="6" t="s">
        <v>577</v>
      </c>
      <c r="B296" s="6" t="s">
        <v>893</v>
      </c>
      <c r="C296" s="6" t="s">
        <v>46</v>
      </c>
      <c r="D296" s="6" t="s">
        <v>85</v>
      </c>
      <c r="E296" s="6" t="s">
        <v>130</v>
      </c>
      <c r="F296" s="6">
        <v>41</v>
      </c>
      <c r="G296" s="6" t="s">
        <v>34</v>
      </c>
      <c r="H296" s="6" t="s">
        <v>894</v>
      </c>
      <c r="I296" s="6" t="s">
        <v>3778</v>
      </c>
      <c r="J296" s="8">
        <v>44314</v>
      </c>
      <c r="K296" s="8">
        <v>45302</v>
      </c>
      <c r="L296" s="6">
        <v>85600.6</v>
      </c>
      <c r="M296" s="6">
        <v>36900.75</v>
      </c>
      <c r="N296" s="6">
        <v>760</v>
      </c>
      <c r="O296" s="6">
        <v>143000</v>
      </c>
      <c r="P296" s="6" t="s">
        <v>26</v>
      </c>
      <c r="Q296" s="6" t="s">
        <v>27</v>
      </c>
      <c r="R296" s="6">
        <v>0</v>
      </c>
      <c r="S296" s="6" t="s">
        <v>28</v>
      </c>
      <c r="T296" s="7">
        <f t="shared" si="20"/>
        <v>0.25804720279720278</v>
      </c>
      <c r="U296" s="6">
        <f t="shared" si="21"/>
        <v>4</v>
      </c>
      <c r="V296" s="5" t="str">
        <f t="shared" si="22"/>
        <v>VERY GOOD</v>
      </c>
      <c r="W296" s="6" t="str">
        <f t="shared" si="23"/>
        <v>35-44</v>
      </c>
      <c r="X296" s="6" t="str">
        <f t="shared" si="24"/>
        <v>Upper-Middle</v>
      </c>
    </row>
    <row r="297" spans="1:24">
      <c r="A297" s="6" t="s">
        <v>458</v>
      </c>
      <c r="B297" s="6" t="s">
        <v>895</v>
      </c>
      <c r="C297" s="6" t="s">
        <v>31</v>
      </c>
      <c r="D297" s="6" t="s">
        <v>460</v>
      </c>
      <c r="E297" s="6" t="s">
        <v>663</v>
      </c>
      <c r="F297" s="6">
        <v>32</v>
      </c>
      <c r="G297" s="6" t="s">
        <v>24</v>
      </c>
      <c r="H297" s="6" t="s">
        <v>896</v>
      </c>
      <c r="I297" s="6" t="s">
        <v>3779</v>
      </c>
      <c r="J297" s="8">
        <v>45082</v>
      </c>
      <c r="K297" s="8">
        <v>45306</v>
      </c>
      <c r="L297" s="6">
        <v>10400.25</v>
      </c>
      <c r="M297" s="6">
        <v>6100.8</v>
      </c>
      <c r="N297" s="6">
        <v>695</v>
      </c>
      <c r="O297" s="6">
        <v>43000</v>
      </c>
      <c r="P297" s="6" t="s">
        <v>26</v>
      </c>
      <c r="Q297" s="6" t="s">
        <v>43</v>
      </c>
      <c r="R297" s="6">
        <v>0</v>
      </c>
      <c r="S297" s="6" t="s">
        <v>28</v>
      </c>
      <c r="T297" s="7">
        <f t="shared" si="20"/>
        <v>0.14187906976744186</v>
      </c>
      <c r="U297" s="6">
        <f t="shared" si="21"/>
        <v>0</v>
      </c>
      <c r="V297" s="5" t="str">
        <f t="shared" si="22"/>
        <v>GOOD</v>
      </c>
      <c r="W297" s="6" t="str">
        <f t="shared" si="23"/>
        <v>25-34</v>
      </c>
      <c r="X297" s="6" t="str">
        <f t="shared" si="24"/>
        <v>Low</v>
      </c>
    </row>
    <row r="298" spans="1:24">
      <c r="A298" s="6" t="s">
        <v>582</v>
      </c>
      <c r="B298" s="6" t="s">
        <v>897</v>
      </c>
      <c r="C298" s="6" t="s">
        <v>57</v>
      </c>
      <c r="D298" s="6" t="s">
        <v>22</v>
      </c>
      <c r="E298" s="6" t="s">
        <v>23</v>
      </c>
      <c r="F298" s="6">
        <v>35</v>
      </c>
      <c r="G298" s="6" t="s">
        <v>34</v>
      </c>
      <c r="H298" s="6" t="s">
        <v>898</v>
      </c>
      <c r="I298" s="6" t="s">
        <v>3780</v>
      </c>
      <c r="J298" s="8">
        <v>44573</v>
      </c>
      <c r="K298" s="8">
        <v>45303</v>
      </c>
      <c r="L298" s="6">
        <v>20000.900000000001</v>
      </c>
      <c r="M298" s="6">
        <v>8400.25</v>
      </c>
      <c r="N298" s="6">
        <v>755</v>
      </c>
      <c r="O298" s="6">
        <v>65000</v>
      </c>
      <c r="P298" s="6" t="s">
        <v>36</v>
      </c>
      <c r="Q298" s="6" t="s">
        <v>27</v>
      </c>
      <c r="R298" s="6">
        <v>0</v>
      </c>
      <c r="S298" s="6" t="s">
        <v>28</v>
      </c>
      <c r="T298" s="7">
        <f t="shared" si="20"/>
        <v>0.12923461538461539</v>
      </c>
      <c r="U298" s="6">
        <f t="shared" si="21"/>
        <v>3</v>
      </c>
      <c r="V298" s="5" t="str">
        <f t="shared" si="22"/>
        <v>VERY GOOD</v>
      </c>
      <c r="W298" s="6" t="str">
        <f t="shared" si="23"/>
        <v>35-44</v>
      </c>
      <c r="X298" s="6" t="str">
        <f t="shared" si="24"/>
        <v>Low</v>
      </c>
    </row>
    <row r="299" spans="1:24">
      <c r="A299" s="6" t="s">
        <v>55</v>
      </c>
      <c r="B299" s="6" t="s">
        <v>899</v>
      </c>
      <c r="C299" s="6" t="s">
        <v>39</v>
      </c>
      <c r="D299" s="6" t="s">
        <v>58</v>
      </c>
      <c r="E299" s="6" t="s">
        <v>122</v>
      </c>
      <c r="F299" s="6">
        <v>53</v>
      </c>
      <c r="G299" s="6" t="s">
        <v>24</v>
      </c>
      <c r="H299" s="6" t="s">
        <v>900</v>
      </c>
      <c r="I299" s="6" t="s">
        <v>3781</v>
      </c>
      <c r="J299" s="8">
        <v>43340</v>
      </c>
      <c r="K299" s="8">
        <v>45300</v>
      </c>
      <c r="L299" s="6">
        <v>190000.4</v>
      </c>
      <c r="M299" s="6">
        <v>91000.75</v>
      </c>
      <c r="N299" s="6">
        <v>685</v>
      </c>
      <c r="O299" s="6">
        <v>199000</v>
      </c>
      <c r="P299" s="6" t="s">
        <v>76</v>
      </c>
      <c r="Q299" s="6" t="s">
        <v>27</v>
      </c>
      <c r="R299" s="6">
        <v>0</v>
      </c>
      <c r="S299" s="6" t="s">
        <v>28</v>
      </c>
      <c r="T299" s="7">
        <f t="shared" si="20"/>
        <v>0.4572902010050251</v>
      </c>
      <c r="U299" s="6">
        <f t="shared" si="21"/>
        <v>6</v>
      </c>
      <c r="V299" s="5" t="str">
        <f t="shared" si="22"/>
        <v>GOOD</v>
      </c>
      <c r="W299" s="6" t="str">
        <f t="shared" si="23"/>
        <v>45-54</v>
      </c>
      <c r="X299" s="6" t="str">
        <f t="shared" si="24"/>
        <v>High</v>
      </c>
    </row>
    <row r="300" spans="1:24">
      <c r="A300" s="6" t="s">
        <v>469</v>
      </c>
      <c r="B300" s="6" t="s">
        <v>901</v>
      </c>
      <c r="C300" s="6" t="s">
        <v>52</v>
      </c>
      <c r="D300" s="6" t="s">
        <v>471</v>
      </c>
      <c r="E300" s="6" t="s">
        <v>472</v>
      </c>
      <c r="F300" s="6">
        <v>44</v>
      </c>
      <c r="G300" s="6" t="s">
        <v>34</v>
      </c>
      <c r="H300" s="6" t="s">
        <v>902</v>
      </c>
      <c r="I300" s="6" t="s">
        <v>3782</v>
      </c>
      <c r="J300" s="8">
        <v>43966</v>
      </c>
      <c r="K300" s="8">
        <v>45301</v>
      </c>
      <c r="L300" s="6">
        <v>50000.800000000003</v>
      </c>
      <c r="M300" s="6">
        <v>23100.6</v>
      </c>
      <c r="N300" s="6">
        <v>715</v>
      </c>
      <c r="O300" s="6">
        <v>98000</v>
      </c>
      <c r="P300" s="6" t="s">
        <v>26</v>
      </c>
      <c r="Q300" s="6" t="s">
        <v>27</v>
      </c>
      <c r="R300" s="6">
        <v>0</v>
      </c>
      <c r="S300" s="6" t="s">
        <v>28</v>
      </c>
      <c r="T300" s="7">
        <f t="shared" si="20"/>
        <v>0.23572040816326528</v>
      </c>
      <c r="U300" s="6">
        <f t="shared" si="21"/>
        <v>5</v>
      </c>
      <c r="V300" s="5" t="str">
        <f t="shared" si="22"/>
        <v>GOOD</v>
      </c>
      <c r="W300" s="6" t="str">
        <f t="shared" si="23"/>
        <v>35-44</v>
      </c>
      <c r="X300" s="6" t="str">
        <f t="shared" si="24"/>
        <v>Lower-Middle</v>
      </c>
    </row>
    <row r="301" spans="1:24">
      <c r="A301" s="6" t="s">
        <v>474</v>
      </c>
      <c r="B301" s="6" t="s">
        <v>903</v>
      </c>
      <c r="C301" s="6" t="s">
        <v>46</v>
      </c>
      <c r="D301" s="6" t="s">
        <v>345</v>
      </c>
      <c r="E301" s="6" t="s">
        <v>346</v>
      </c>
      <c r="F301" s="6">
        <v>47</v>
      </c>
      <c r="G301" s="6" t="s">
        <v>24</v>
      </c>
      <c r="H301" s="6" t="s">
        <v>904</v>
      </c>
      <c r="I301" s="6" t="s">
        <v>3783</v>
      </c>
      <c r="J301" s="8">
        <v>43883</v>
      </c>
      <c r="K301" s="8">
        <v>45302</v>
      </c>
      <c r="L301" s="6">
        <v>77800.25</v>
      </c>
      <c r="M301" s="6">
        <v>33100.400000000001</v>
      </c>
      <c r="N301" s="6">
        <v>680</v>
      </c>
      <c r="O301" s="6">
        <v>127000</v>
      </c>
      <c r="P301" s="6" t="s">
        <v>26</v>
      </c>
      <c r="Q301" s="6" t="s">
        <v>27</v>
      </c>
      <c r="R301" s="6">
        <v>0</v>
      </c>
      <c r="S301" s="6" t="s">
        <v>28</v>
      </c>
      <c r="T301" s="7">
        <f t="shared" si="20"/>
        <v>0.26063307086614174</v>
      </c>
      <c r="U301" s="6">
        <f t="shared" si="21"/>
        <v>4</v>
      </c>
      <c r="V301" s="5" t="str">
        <f t="shared" si="22"/>
        <v>GOOD</v>
      </c>
      <c r="W301" s="6" t="str">
        <f t="shared" si="23"/>
        <v>45-54</v>
      </c>
      <c r="X301" s="6" t="str">
        <f t="shared" si="24"/>
        <v>Upper-Middle</v>
      </c>
    </row>
    <row r="302" spans="1:24">
      <c r="A302" s="6" t="s">
        <v>592</v>
      </c>
      <c r="B302" s="6" t="s">
        <v>905</v>
      </c>
      <c r="C302" s="6" t="s">
        <v>84</v>
      </c>
      <c r="D302" s="6" t="s">
        <v>32</v>
      </c>
      <c r="E302" s="6" t="s">
        <v>90</v>
      </c>
      <c r="F302" s="6">
        <v>27</v>
      </c>
      <c r="G302" s="6" t="s">
        <v>34</v>
      </c>
      <c r="H302" s="6" t="s">
        <v>906</v>
      </c>
      <c r="I302" s="6" t="s">
        <v>3784</v>
      </c>
      <c r="J302" s="8">
        <v>45238</v>
      </c>
      <c r="K302" s="8">
        <v>45304</v>
      </c>
      <c r="L302" s="6">
        <v>2350.4</v>
      </c>
      <c r="M302" s="6">
        <v>10000.75</v>
      </c>
      <c r="N302" s="6">
        <v>610</v>
      </c>
      <c r="O302" s="6">
        <v>23000</v>
      </c>
      <c r="P302" s="6" t="s">
        <v>76</v>
      </c>
      <c r="Q302" s="6" t="s">
        <v>43</v>
      </c>
      <c r="R302" s="6">
        <v>0</v>
      </c>
      <c r="S302" s="6" t="s">
        <v>28</v>
      </c>
      <c r="T302" s="7">
        <f t="shared" si="20"/>
        <v>0.43481521739130435</v>
      </c>
      <c r="U302" s="6">
        <f t="shared" si="21"/>
        <v>2</v>
      </c>
      <c r="V302" s="5" t="str">
        <f t="shared" si="22"/>
        <v>FAIR</v>
      </c>
      <c r="W302" s="6" t="str">
        <f t="shared" si="23"/>
        <v>25-34</v>
      </c>
      <c r="X302" s="6" t="str">
        <f t="shared" si="24"/>
        <v>Low</v>
      </c>
    </row>
    <row r="303" spans="1:24">
      <c r="A303" s="6" t="s">
        <v>595</v>
      </c>
      <c r="B303" s="6" t="s">
        <v>907</v>
      </c>
      <c r="C303" s="6" t="s">
        <v>21</v>
      </c>
      <c r="D303" s="6" t="s">
        <v>209</v>
      </c>
      <c r="E303" s="6" t="s">
        <v>210</v>
      </c>
      <c r="F303" s="6">
        <v>59</v>
      </c>
      <c r="G303" s="6" t="s">
        <v>24</v>
      </c>
      <c r="H303" s="6" t="s">
        <v>908</v>
      </c>
      <c r="I303" s="6" t="s">
        <v>3785</v>
      </c>
      <c r="J303" s="8">
        <v>43030</v>
      </c>
      <c r="K303" s="8">
        <v>45299</v>
      </c>
      <c r="L303" s="6">
        <v>288000.8</v>
      </c>
      <c r="M303" s="6">
        <v>82000.25</v>
      </c>
      <c r="N303" s="6">
        <v>825</v>
      </c>
      <c r="O303" s="6">
        <v>279000</v>
      </c>
      <c r="P303" s="6" t="s">
        <v>36</v>
      </c>
      <c r="Q303" s="6" t="s">
        <v>27</v>
      </c>
      <c r="R303" s="6">
        <v>0</v>
      </c>
      <c r="S303" s="6" t="s">
        <v>28</v>
      </c>
      <c r="T303" s="7">
        <f t="shared" si="20"/>
        <v>0.29390770609318995</v>
      </c>
      <c r="U303" s="6">
        <f t="shared" si="21"/>
        <v>7</v>
      </c>
      <c r="V303" s="5" t="str">
        <f t="shared" si="22"/>
        <v>EXCEPTIONAL</v>
      </c>
      <c r="W303" s="6" t="str">
        <f t="shared" si="23"/>
        <v>55+</v>
      </c>
      <c r="X303" s="6" t="str">
        <f t="shared" si="24"/>
        <v>High</v>
      </c>
    </row>
    <row r="304" spans="1:24">
      <c r="A304" s="6" t="s">
        <v>226</v>
      </c>
      <c r="B304" s="6" t="s">
        <v>909</v>
      </c>
      <c r="C304" s="6" t="s">
        <v>57</v>
      </c>
      <c r="D304" s="6" t="s">
        <v>228</v>
      </c>
      <c r="E304" s="6" t="s">
        <v>678</v>
      </c>
      <c r="F304" s="6">
        <v>34</v>
      </c>
      <c r="G304" s="6" t="s">
        <v>34</v>
      </c>
      <c r="H304" s="6" t="s">
        <v>910</v>
      </c>
      <c r="I304" s="6" t="s">
        <v>3786</v>
      </c>
      <c r="J304" s="8">
        <v>44760</v>
      </c>
      <c r="K304" s="8">
        <v>45305</v>
      </c>
      <c r="L304" s="6">
        <v>16700.75</v>
      </c>
      <c r="M304" s="6">
        <v>6800.4</v>
      </c>
      <c r="N304" s="6">
        <v>725</v>
      </c>
      <c r="O304" s="6">
        <v>55000</v>
      </c>
      <c r="P304" s="6" t="s">
        <v>36</v>
      </c>
      <c r="Q304" s="6" t="s">
        <v>27</v>
      </c>
      <c r="R304" s="6">
        <v>0</v>
      </c>
      <c r="S304" s="6" t="s">
        <v>28</v>
      </c>
      <c r="T304" s="7">
        <f t="shared" si="20"/>
        <v>0.12364363636363636</v>
      </c>
      <c r="U304" s="6">
        <f t="shared" si="21"/>
        <v>1</v>
      </c>
      <c r="V304" s="5" t="str">
        <f t="shared" si="22"/>
        <v>GOOD</v>
      </c>
      <c r="W304" s="6" t="str">
        <f t="shared" si="23"/>
        <v>25-34</v>
      </c>
      <c r="X304" s="6" t="str">
        <f t="shared" si="24"/>
        <v>Low</v>
      </c>
    </row>
    <row r="305" spans="1:24">
      <c r="A305" s="6" t="s">
        <v>488</v>
      </c>
      <c r="B305" s="6" t="s">
        <v>911</v>
      </c>
      <c r="C305" s="6" t="s">
        <v>39</v>
      </c>
      <c r="D305" s="6" t="s">
        <v>304</v>
      </c>
      <c r="E305" s="6" t="s">
        <v>304</v>
      </c>
      <c r="F305" s="6">
        <v>51</v>
      </c>
      <c r="G305" s="6" t="s">
        <v>24</v>
      </c>
      <c r="H305" s="6" t="s">
        <v>912</v>
      </c>
      <c r="I305" s="6" t="s">
        <v>3787</v>
      </c>
      <c r="J305" s="8">
        <v>43524</v>
      </c>
      <c r="K305" s="8">
        <v>45300</v>
      </c>
      <c r="L305" s="6">
        <v>168200.6</v>
      </c>
      <c r="M305" s="6">
        <v>82000.899999999994</v>
      </c>
      <c r="N305" s="6">
        <v>675</v>
      </c>
      <c r="O305" s="6">
        <v>179000</v>
      </c>
      <c r="P305" s="6" t="s">
        <v>76</v>
      </c>
      <c r="Q305" s="6" t="s">
        <v>27</v>
      </c>
      <c r="R305" s="6">
        <v>0</v>
      </c>
      <c r="S305" s="6" t="s">
        <v>28</v>
      </c>
      <c r="T305" s="7">
        <f t="shared" si="20"/>
        <v>0.45810558659217876</v>
      </c>
      <c r="U305" s="6">
        <f t="shared" si="21"/>
        <v>6</v>
      </c>
      <c r="V305" s="5" t="str">
        <f t="shared" si="22"/>
        <v>GOOD</v>
      </c>
      <c r="W305" s="6" t="str">
        <f t="shared" si="23"/>
        <v>45-54</v>
      </c>
      <c r="X305" s="6" t="str">
        <f t="shared" si="24"/>
        <v>Upper-Middle</v>
      </c>
    </row>
    <row r="306" spans="1:24">
      <c r="A306" s="6" t="s">
        <v>491</v>
      </c>
      <c r="B306" s="6" t="s">
        <v>913</v>
      </c>
      <c r="C306" s="6" t="s">
        <v>52</v>
      </c>
      <c r="D306" s="6" t="s">
        <v>493</v>
      </c>
      <c r="E306" s="6" t="s">
        <v>494</v>
      </c>
      <c r="F306" s="6">
        <v>42</v>
      </c>
      <c r="G306" s="6" t="s">
        <v>34</v>
      </c>
      <c r="H306" s="6" t="s">
        <v>914</v>
      </c>
      <c r="I306" s="6" t="s">
        <v>3788</v>
      </c>
      <c r="J306" s="8">
        <v>44277</v>
      </c>
      <c r="K306" s="8">
        <v>45302</v>
      </c>
      <c r="L306" s="6">
        <v>44200.4</v>
      </c>
      <c r="M306" s="6">
        <v>18900.25</v>
      </c>
      <c r="N306" s="6">
        <v>705</v>
      </c>
      <c r="O306" s="6">
        <v>87000</v>
      </c>
      <c r="P306" s="6" t="s">
        <v>26</v>
      </c>
      <c r="Q306" s="6" t="s">
        <v>27</v>
      </c>
      <c r="R306" s="6">
        <v>0</v>
      </c>
      <c r="S306" s="6" t="s">
        <v>28</v>
      </c>
      <c r="T306" s="7">
        <f t="shared" si="20"/>
        <v>0.21724425287356322</v>
      </c>
      <c r="U306" s="6">
        <f t="shared" si="21"/>
        <v>4</v>
      </c>
      <c r="V306" s="5" t="str">
        <f t="shared" si="22"/>
        <v>GOOD</v>
      </c>
      <c r="W306" s="6" t="str">
        <f t="shared" si="23"/>
        <v>35-44</v>
      </c>
      <c r="X306" s="6" t="str">
        <f t="shared" si="24"/>
        <v>Lower-Middle</v>
      </c>
    </row>
    <row r="307" spans="1:24">
      <c r="A307" s="6" t="s">
        <v>496</v>
      </c>
      <c r="B307" s="6" t="s">
        <v>915</v>
      </c>
      <c r="C307" s="6" t="s">
        <v>46</v>
      </c>
      <c r="D307" s="6" t="s">
        <v>321</v>
      </c>
      <c r="E307" s="6" t="s">
        <v>322</v>
      </c>
      <c r="F307" s="6">
        <v>45</v>
      </c>
      <c r="G307" s="6" t="s">
        <v>24</v>
      </c>
      <c r="H307" s="6" t="s">
        <v>916</v>
      </c>
      <c r="I307" s="6" t="s">
        <v>3789</v>
      </c>
      <c r="J307" s="8">
        <v>43746</v>
      </c>
      <c r="K307" s="8">
        <v>45301</v>
      </c>
      <c r="L307" s="6">
        <v>91100.75</v>
      </c>
      <c r="M307" s="6">
        <v>40000.800000000003</v>
      </c>
      <c r="N307" s="6">
        <v>730</v>
      </c>
      <c r="O307" s="6">
        <v>153000</v>
      </c>
      <c r="P307" s="6" t="s">
        <v>26</v>
      </c>
      <c r="Q307" s="6" t="s">
        <v>27</v>
      </c>
      <c r="R307" s="6">
        <v>0</v>
      </c>
      <c r="S307" s="6" t="s">
        <v>28</v>
      </c>
      <c r="T307" s="7">
        <f t="shared" si="20"/>
        <v>0.26144313725490198</v>
      </c>
      <c r="U307" s="6">
        <f t="shared" si="21"/>
        <v>5</v>
      </c>
      <c r="V307" s="5" t="str">
        <f t="shared" si="22"/>
        <v>GOOD</v>
      </c>
      <c r="W307" s="6" t="str">
        <f t="shared" si="23"/>
        <v>45-54</v>
      </c>
      <c r="X307" s="6" t="str">
        <f t="shared" si="24"/>
        <v>Upper-Middle</v>
      </c>
    </row>
    <row r="308" spans="1:24">
      <c r="A308" s="6" t="s">
        <v>324</v>
      </c>
      <c r="B308" s="6" t="s">
        <v>917</v>
      </c>
      <c r="C308" s="6" t="s">
        <v>31</v>
      </c>
      <c r="D308" s="6" t="s">
        <v>313</v>
      </c>
      <c r="E308" s="6" t="s">
        <v>314</v>
      </c>
      <c r="F308" s="6">
        <v>30</v>
      </c>
      <c r="G308" s="6" t="s">
        <v>34</v>
      </c>
      <c r="H308" s="6" t="s">
        <v>918</v>
      </c>
      <c r="I308" s="6" t="s">
        <v>3790</v>
      </c>
      <c r="J308" s="8">
        <v>45135</v>
      </c>
      <c r="K308" s="8">
        <v>45306</v>
      </c>
      <c r="L308" s="6">
        <v>9400.9</v>
      </c>
      <c r="M308" s="6">
        <v>5700.75</v>
      </c>
      <c r="N308" s="6">
        <v>685</v>
      </c>
      <c r="O308" s="6">
        <v>40000</v>
      </c>
      <c r="P308" s="6" t="s">
        <v>26</v>
      </c>
      <c r="Q308" s="6" t="s">
        <v>43</v>
      </c>
      <c r="R308" s="6">
        <v>0</v>
      </c>
      <c r="S308" s="6" t="s">
        <v>28</v>
      </c>
      <c r="T308" s="7">
        <f t="shared" si="20"/>
        <v>0.14251875</v>
      </c>
      <c r="U308" s="6">
        <f t="shared" si="21"/>
        <v>0</v>
      </c>
      <c r="V308" s="5" t="str">
        <f t="shared" si="22"/>
        <v>GOOD</v>
      </c>
      <c r="W308" s="6" t="str">
        <f t="shared" si="23"/>
        <v>25-34</v>
      </c>
      <c r="X308" s="6" t="str">
        <f t="shared" si="24"/>
        <v>Low</v>
      </c>
    </row>
    <row r="309" spans="1:24">
      <c r="A309" s="6" t="s">
        <v>503</v>
      </c>
      <c r="B309" s="6" t="s">
        <v>919</v>
      </c>
      <c r="C309" s="6" t="s">
        <v>21</v>
      </c>
      <c r="D309" s="6" t="s">
        <v>32</v>
      </c>
      <c r="E309" s="6" t="s">
        <v>33</v>
      </c>
      <c r="F309" s="6">
        <v>62</v>
      </c>
      <c r="G309" s="6" t="s">
        <v>24</v>
      </c>
      <c r="H309" s="6" t="s">
        <v>920</v>
      </c>
      <c r="I309" s="6" t="s">
        <v>3791</v>
      </c>
      <c r="J309" s="8">
        <v>42753</v>
      </c>
      <c r="K309" s="8">
        <v>45299</v>
      </c>
      <c r="L309" s="6">
        <v>298900.25</v>
      </c>
      <c r="M309" s="6">
        <v>86000.4</v>
      </c>
      <c r="N309" s="6">
        <v>840</v>
      </c>
      <c r="O309" s="6">
        <v>294000</v>
      </c>
      <c r="P309" s="6" t="s">
        <v>36</v>
      </c>
      <c r="Q309" s="6" t="s">
        <v>27</v>
      </c>
      <c r="R309" s="6">
        <v>0</v>
      </c>
      <c r="S309" s="6" t="s">
        <v>28</v>
      </c>
      <c r="T309" s="7">
        <f t="shared" si="20"/>
        <v>0.29251836734693876</v>
      </c>
      <c r="U309" s="6">
        <f t="shared" si="21"/>
        <v>7</v>
      </c>
      <c r="V309" s="5" t="str">
        <f t="shared" si="22"/>
        <v>EXCEPTIONAL</v>
      </c>
      <c r="W309" s="6" t="str">
        <f t="shared" si="23"/>
        <v>55+</v>
      </c>
      <c r="X309" s="6" t="str">
        <f t="shared" si="24"/>
        <v>High</v>
      </c>
    </row>
    <row r="310" spans="1:24">
      <c r="A310" s="6" t="s">
        <v>506</v>
      </c>
      <c r="B310" s="6" t="s">
        <v>921</v>
      </c>
      <c r="C310" s="6" t="s">
        <v>39</v>
      </c>
      <c r="D310" s="6" t="s">
        <v>68</v>
      </c>
      <c r="E310" s="6" t="s">
        <v>179</v>
      </c>
      <c r="F310" s="6">
        <v>54</v>
      </c>
      <c r="G310" s="6" t="s">
        <v>34</v>
      </c>
      <c r="H310" s="6" t="s">
        <v>922</v>
      </c>
      <c r="I310" s="6" t="s">
        <v>3747</v>
      </c>
      <c r="J310" s="8">
        <v>43279</v>
      </c>
      <c r="K310" s="8">
        <v>45300</v>
      </c>
      <c r="L310" s="6">
        <v>179300.4</v>
      </c>
      <c r="M310" s="6">
        <v>86000.75</v>
      </c>
      <c r="N310" s="6">
        <v>650</v>
      </c>
      <c r="O310" s="6">
        <v>189000</v>
      </c>
      <c r="P310" s="6" t="s">
        <v>76</v>
      </c>
      <c r="Q310" s="6" t="s">
        <v>27</v>
      </c>
      <c r="R310" s="6">
        <v>0</v>
      </c>
      <c r="S310" s="6" t="s">
        <v>28</v>
      </c>
      <c r="T310" s="7">
        <f t="shared" si="20"/>
        <v>0.45503042328042326</v>
      </c>
      <c r="U310" s="6">
        <f t="shared" si="21"/>
        <v>6</v>
      </c>
      <c r="V310" s="5" t="str">
        <f t="shared" si="22"/>
        <v>FAIR</v>
      </c>
      <c r="W310" s="6" t="str">
        <f t="shared" si="23"/>
        <v>45-54</v>
      </c>
      <c r="X310" s="6" t="str">
        <f t="shared" si="24"/>
        <v>Upper-Middle</v>
      </c>
    </row>
    <row r="311" spans="1:24">
      <c r="A311" s="6" t="s">
        <v>509</v>
      </c>
      <c r="B311" s="6" t="s">
        <v>923</v>
      </c>
      <c r="C311" s="6" t="s">
        <v>46</v>
      </c>
      <c r="D311" s="6" t="s">
        <v>73</v>
      </c>
      <c r="E311" s="6" t="s">
        <v>126</v>
      </c>
      <c r="F311" s="6">
        <v>41</v>
      </c>
      <c r="G311" s="6" t="s">
        <v>24</v>
      </c>
      <c r="H311" s="6" t="s">
        <v>924</v>
      </c>
      <c r="I311" s="6" t="s">
        <v>3792</v>
      </c>
      <c r="J311" s="8">
        <v>44491</v>
      </c>
      <c r="K311" s="8">
        <v>45303</v>
      </c>
      <c r="L311" s="6">
        <v>78900.399999999994</v>
      </c>
      <c r="M311" s="6">
        <v>34200.25</v>
      </c>
      <c r="N311" s="6">
        <v>745</v>
      </c>
      <c r="O311" s="6">
        <v>133000</v>
      </c>
      <c r="P311" s="6" t="s">
        <v>26</v>
      </c>
      <c r="Q311" s="6" t="s">
        <v>27</v>
      </c>
      <c r="R311" s="6">
        <v>0</v>
      </c>
      <c r="S311" s="6" t="s">
        <v>28</v>
      </c>
      <c r="T311" s="7">
        <f t="shared" si="20"/>
        <v>0.25714473684210526</v>
      </c>
      <c r="U311" s="6">
        <f t="shared" si="21"/>
        <v>3</v>
      </c>
      <c r="V311" s="5" t="str">
        <f t="shared" si="22"/>
        <v>GOOD</v>
      </c>
      <c r="W311" s="6" t="str">
        <f t="shared" si="23"/>
        <v>35-44</v>
      </c>
      <c r="X311" s="6" t="str">
        <f t="shared" si="24"/>
        <v>Upper-Middle</v>
      </c>
    </row>
    <row r="312" spans="1:24">
      <c r="A312" s="6" t="s">
        <v>513</v>
      </c>
      <c r="B312" s="6" t="s">
        <v>925</v>
      </c>
      <c r="C312" s="6" t="s">
        <v>57</v>
      </c>
      <c r="D312" s="6" t="s">
        <v>58</v>
      </c>
      <c r="E312" s="6" t="s">
        <v>59</v>
      </c>
      <c r="F312" s="6">
        <v>36</v>
      </c>
      <c r="G312" s="6" t="s">
        <v>34</v>
      </c>
      <c r="H312" s="6" t="s">
        <v>926</v>
      </c>
      <c r="I312" s="6" t="s">
        <v>3538</v>
      </c>
      <c r="J312" s="8">
        <v>44666</v>
      </c>
      <c r="K312" s="8">
        <v>45302</v>
      </c>
      <c r="L312" s="6">
        <v>18900.8</v>
      </c>
      <c r="M312" s="6">
        <v>8000.9</v>
      </c>
      <c r="N312" s="6">
        <v>765</v>
      </c>
      <c r="O312" s="6">
        <v>65000</v>
      </c>
      <c r="P312" s="6" t="s">
        <v>36</v>
      </c>
      <c r="Q312" s="6" t="s">
        <v>27</v>
      </c>
      <c r="R312" s="6">
        <v>0</v>
      </c>
      <c r="S312" s="6" t="s">
        <v>28</v>
      </c>
      <c r="T312" s="7">
        <f t="shared" si="20"/>
        <v>0.12309076923076923</v>
      </c>
      <c r="U312" s="6">
        <f t="shared" si="21"/>
        <v>4</v>
      </c>
      <c r="V312" s="5" t="str">
        <f t="shared" si="22"/>
        <v>VERY GOOD</v>
      </c>
      <c r="W312" s="6" t="str">
        <f t="shared" si="23"/>
        <v>35-44</v>
      </c>
      <c r="X312" s="6" t="str">
        <f t="shared" si="24"/>
        <v>Low</v>
      </c>
    </row>
    <row r="313" spans="1:24">
      <c r="A313" s="6" t="s">
        <v>516</v>
      </c>
      <c r="B313" s="6" t="s">
        <v>927</v>
      </c>
      <c r="C313" s="6" t="s">
        <v>52</v>
      </c>
      <c r="D313" s="6" t="s">
        <v>277</v>
      </c>
      <c r="E313" s="6" t="s">
        <v>404</v>
      </c>
      <c r="F313" s="6">
        <v>49</v>
      </c>
      <c r="G313" s="6" t="s">
        <v>24</v>
      </c>
      <c r="H313" s="6" t="s">
        <v>928</v>
      </c>
      <c r="I313" s="6" t="s">
        <v>3793</v>
      </c>
      <c r="J313" s="8">
        <v>43929</v>
      </c>
      <c r="K313" s="8">
        <v>45301</v>
      </c>
      <c r="L313" s="6">
        <v>52200.75</v>
      </c>
      <c r="M313" s="6">
        <v>25300.400000000001</v>
      </c>
      <c r="N313" s="6">
        <v>675</v>
      </c>
      <c r="O313" s="6">
        <v>105000</v>
      </c>
      <c r="P313" s="6" t="s">
        <v>26</v>
      </c>
      <c r="Q313" s="6" t="s">
        <v>27</v>
      </c>
      <c r="R313" s="6">
        <v>0</v>
      </c>
      <c r="S313" s="6" t="s">
        <v>28</v>
      </c>
      <c r="T313" s="7">
        <f t="shared" si="20"/>
        <v>0.24095619047619049</v>
      </c>
      <c r="U313" s="6">
        <f t="shared" si="21"/>
        <v>5</v>
      </c>
      <c r="V313" s="5" t="str">
        <f t="shared" si="22"/>
        <v>GOOD</v>
      </c>
      <c r="W313" s="6" t="str">
        <f t="shared" si="23"/>
        <v>45-54</v>
      </c>
      <c r="X313" s="6" t="str">
        <f t="shared" si="24"/>
        <v>Lower-Middle</v>
      </c>
    </row>
    <row r="314" spans="1:24">
      <c r="A314" s="6" t="s">
        <v>519</v>
      </c>
      <c r="B314" s="6" t="s">
        <v>929</v>
      </c>
      <c r="C314" s="6" t="s">
        <v>84</v>
      </c>
      <c r="D314" s="6" t="s">
        <v>183</v>
      </c>
      <c r="E314" s="6" t="s">
        <v>273</v>
      </c>
      <c r="F314" s="6">
        <v>28</v>
      </c>
      <c r="G314" s="6" t="s">
        <v>34</v>
      </c>
      <c r="H314" s="6" t="s">
        <v>930</v>
      </c>
      <c r="I314" s="6" t="s">
        <v>3794</v>
      </c>
      <c r="J314" s="8">
        <v>45272</v>
      </c>
      <c r="K314" s="8">
        <v>45304</v>
      </c>
      <c r="L314" s="6">
        <v>2600.25</v>
      </c>
      <c r="M314" s="6">
        <v>11200.6</v>
      </c>
      <c r="N314" s="6">
        <v>615</v>
      </c>
      <c r="O314" s="6">
        <v>25000</v>
      </c>
      <c r="P314" s="6" t="s">
        <v>76</v>
      </c>
      <c r="Q314" s="6" t="s">
        <v>43</v>
      </c>
      <c r="R314" s="6">
        <v>0</v>
      </c>
      <c r="S314" s="6" t="s">
        <v>28</v>
      </c>
      <c r="T314" s="7">
        <f t="shared" si="20"/>
        <v>0.44802400000000003</v>
      </c>
      <c r="U314" s="6">
        <f t="shared" si="21"/>
        <v>2</v>
      </c>
      <c r="V314" s="5" t="str">
        <f t="shared" si="22"/>
        <v>FAIR</v>
      </c>
      <c r="W314" s="6" t="str">
        <f t="shared" si="23"/>
        <v>25-34</v>
      </c>
      <c r="X314" s="6" t="str">
        <f t="shared" si="24"/>
        <v>Low</v>
      </c>
    </row>
    <row r="315" spans="1:24">
      <c r="A315" s="6" t="s">
        <v>522</v>
      </c>
      <c r="B315" s="6" t="s">
        <v>931</v>
      </c>
      <c r="C315" s="6" t="s">
        <v>39</v>
      </c>
      <c r="D315" s="6" t="s">
        <v>40</v>
      </c>
      <c r="E315" s="6" t="s">
        <v>41</v>
      </c>
      <c r="F315" s="6">
        <v>56</v>
      </c>
      <c r="G315" s="6" t="s">
        <v>24</v>
      </c>
      <c r="H315" s="6" t="s">
        <v>932</v>
      </c>
      <c r="I315" s="6" t="s">
        <v>3510</v>
      </c>
      <c r="J315" s="8">
        <v>43232</v>
      </c>
      <c r="K315" s="8">
        <v>45299</v>
      </c>
      <c r="L315" s="6">
        <v>213900.79999999999</v>
      </c>
      <c r="M315" s="6">
        <v>99000.25</v>
      </c>
      <c r="N315" s="6">
        <v>660</v>
      </c>
      <c r="O315" s="6">
        <v>224000</v>
      </c>
      <c r="P315" s="6" t="s">
        <v>76</v>
      </c>
      <c r="Q315" s="6" t="s">
        <v>27</v>
      </c>
      <c r="R315" s="6">
        <v>0</v>
      </c>
      <c r="S315" s="6" t="s">
        <v>28</v>
      </c>
      <c r="T315" s="7">
        <f t="shared" si="20"/>
        <v>0.44196540178571431</v>
      </c>
      <c r="U315" s="6">
        <f t="shared" si="21"/>
        <v>7</v>
      </c>
      <c r="V315" s="5" t="str">
        <f t="shared" si="22"/>
        <v>FAIR</v>
      </c>
      <c r="W315" s="6" t="str">
        <f t="shared" si="23"/>
        <v>55+</v>
      </c>
      <c r="X315" s="6" t="str">
        <f t="shared" si="24"/>
        <v>High</v>
      </c>
    </row>
    <row r="316" spans="1:24">
      <c r="A316" s="6" t="s">
        <v>306</v>
      </c>
      <c r="B316" s="6" t="s">
        <v>933</v>
      </c>
      <c r="C316" s="6" t="s">
        <v>46</v>
      </c>
      <c r="D316" s="6" t="s">
        <v>209</v>
      </c>
      <c r="E316" s="6" t="s">
        <v>210</v>
      </c>
      <c r="F316" s="6">
        <v>43</v>
      </c>
      <c r="G316" s="6" t="s">
        <v>34</v>
      </c>
      <c r="H316" s="6" t="s">
        <v>934</v>
      </c>
      <c r="I316" s="6" t="s">
        <v>3795</v>
      </c>
      <c r="J316" s="8">
        <v>44102</v>
      </c>
      <c r="K316" s="8">
        <v>45302</v>
      </c>
      <c r="L316" s="6">
        <v>73300.899999999994</v>
      </c>
      <c r="M316" s="6">
        <v>31100.75</v>
      </c>
      <c r="N316" s="6">
        <v>730</v>
      </c>
      <c r="O316" s="6">
        <v>128000</v>
      </c>
      <c r="P316" s="6" t="s">
        <v>26</v>
      </c>
      <c r="Q316" s="6" t="s">
        <v>27</v>
      </c>
      <c r="R316" s="6">
        <v>0</v>
      </c>
      <c r="S316" s="6" t="s">
        <v>28</v>
      </c>
      <c r="T316" s="7">
        <f t="shared" si="20"/>
        <v>0.24297460937500001</v>
      </c>
      <c r="U316" s="6">
        <f t="shared" si="21"/>
        <v>4</v>
      </c>
      <c r="V316" s="5" t="str">
        <f t="shared" si="22"/>
        <v>GOOD</v>
      </c>
      <c r="W316" s="6" t="str">
        <f t="shared" si="23"/>
        <v>35-44</v>
      </c>
      <c r="X316" s="6" t="str">
        <f t="shared" si="24"/>
        <v>Upper-Middle</v>
      </c>
    </row>
    <row r="317" spans="1:24">
      <c r="A317" s="6" t="s">
        <v>527</v>
      </c>
      <c r="B317" s="6" t="s">
        <v>935</v>
      </c>
      <c r="C317" s="6" t="s">
        <v>31</v>
      </c>
      <c r="D317" s="6" t="s">
        <v>32</v>
      </c>
      <c r="E317" s="6" t="s">
        <v>90</v>
      </c>
      <c r="F317" s="6">
        <v>32</v>
      </c>
      <c r="G317" s="6" t="s">
        <v>34</v>
      </c>
      <c r="H317" s="6" t="s">
        <v>936</v>
      </c>
      <c r="I317" s="6" t="s">
        <v>3688</v>
      </c>
      <c r="J317" s="8">
        <v>45156</v>
      </c>
      <c r="K317" s="8">
        <v>45305</v>
      </c>
      <c r="L317" s="6">
        <v>10500.4</v>
      </c>
      <c r="M317" s="6">
        <v>6200.25</v>
      </c>
      <c r="N317" s="6">
        <v>705</v>
      </c>
      <c r="O317" s="6">
        <v>42000</v>
      </c>
      <c r="P317" s="6" t="s">
        <v>26</v>
      </c>
      <c r="Q317" s="6" t="s">
        <v>43</v>
      </c>
      <c r="R317" s="6">
        <v>0</v>
      </c>
      <c r="S317" s="6" t="s">
        <v>28</v>
      </c>
      <c r="T317" s="7">
        <f t="shared" si="20"/>
        <v>0.14762500000000001</v>
      </c>
      <c r="U317" s="6">
        <f t="shared" si="21"/>
        <v>1</v>
      </c>
      <c r="V317" s="5" t="str">
        <f t="shared" si="22"/>
        <v>GOOD</v>
      </c>
      <c r="W317" s="6" t="str">
        <f t="shared" si="23"/>
        <v>25-34</v>
      </c>
      <c r="X317" s="6" t="str">
        <f t="shared" si="24"/>
        <v>Low</v>
      </c>
    </row>
    <row r="318" spans="1:24">
      <c r="A318" s="6" t="s">
        <v>530</v>
      </c>
      <c r="B318" s="6" t="s">
        <v>937</v>
      </c>
      <c r="C318" s="6" t="s">
        <v>57</v>
      </c>
      <c r="D318" s="6" t="s">
        <v>219</v>
      </c>
      <c r="E318" s="6" t="s">
        <v>220</v>
      </c>
      <c r="F318" s="6">
        <v>37</v>
      </c>
      <c r="G318" s="6" t="s">
        <v>24</v>
      </c>
      <c r="H318" s="6" t="s">
        <v>938</v>
      </c>
      <c r="I318" s="6" t="s">
        <v>3796</v>
      </c>
      <c r="J318" s="8">
        <v>44642</v>
      </c>
      <c r="K318" s="8">
        <v>45303</v>
      </c>
      <c r="L318" s="6">
        <v>17800.599999999999</v>
      </c>
      <c r="M318" s="6">
        <v>7400.8</v>
      </c>
      <c r="N318" s="6">
        <v>710</v>
      </c>
      <c r="O318" s="6">
        <v>58000</v>
      </c>
      <c r="P318" s="6" t="s">
        <v>36</v>
      </c>
      <c r="Q318" s="6" t="s">
        <v>27</v>
      </c>
      <c r="R318" s="6">
        <v>0</v>
      </c>
      <c r="S318" s="6" t="s">
        <v>28</v>
      </c>
      <c r="T318" s="7">
        <f t="shared" si="20"/>
        <v>0.12759999999999999</v>
      </c>
      <c r="U318" s="6">
        <f t="shared" si="21"/>
        <v>3</v>
      </c>
      <c r="V318" s="5" t="str">
        <f t="shared" si="22"/>
        <v>GOOD</v>
      </c>
      <c r="W318" s="6" t="str">
        <f t="shared" si="23"/>
        <v>35-44</v>
      </c>
      <c r="X318" s="6" t="str">
        <f t="shared" si="24"/>
        <v>Low</v>
      </c>
    </row>
    <row r="319" spans="1:24">
      <c r="A319" s="6" t="s">
        <v>533</v>
      </c>
      <c r="B319" s="6" t="s">
        <v>939</v>
      </c>
      <c r="C319" s="6" t="s">
        <v>52</v>
      </c>
      <c r="D319" s="6" t="s">
        <v>204</v>
      </c>
      <c r="E319" s="6" t="s">
        <v>259</v>
      </c>
      <c r="F319" s="6">
        <v>44</v>
      </c>
      <c r="G319" s="6" t="s">
        <v>34</v>
      </c>
      <c r="H319" s="6" t="s">
        <v>940</v>
      </c>
      <c r="I319" s="6" t="s">
        <v>3797</v>
      </c>
      <c r="J319" s="8">
        <v>43949</v>
      </c>
      <c r="K319" s="8">
        <v>45301</v>
      </c>
      <c r="L319" s="6">
        <v>49100.25</v>
      </c>
      <c r="M319" s="6">
        <v>22200.9</v>
      </c>
      <c r="N319" s="6">
        <v>695</v>
      </c>
      <c r="O319" s="6">
        <v>93000</v>
      </c>
      <c r="P319" s="6" t="s">
        <v>26</v>
      </c>
      <c r="Q319" s="6" t="s">
        <v>27</v>
      </c>
      <c r="R319" s="6">
        <v>0</v>
      </c>
      <c r="S319" s="6" t="s">
        <v>28</v>
      </c>
      <c r="T319" s="7">
        <f t="shared" si="20"/>
        <v>0.23871935483870968</v>
      </c>
      <c r="U319" s="6">
        <f t="shared" si="21"/>
        <v>5</v>
      </c>
      <c r="V319" s="5" t="str">
        <f t="shared" si="22"/>
        <v>GOOD</v>
      </c>
      <c r="W319" s="6" t="str">
        <f t="shared" si="23"/>
        <v>35-44</v>
      </c>
      <c r="X319" s="6" t="str">
        <f t="shared" si="24"/>
        <v>Lower-Middle</v>
      </c>
    </row>
    <row r="320" spans="1:24">
      <c r="A320" s="6" t="s">
        <v>536</v>
      </c>
      <c r="B320" s="6" t="s">
        <v>941</v>
      </c>
      <c r="C320" s="6" t="s">
        <v>39</v>
      </c>
      <c r="D320" s="6" t="s">
        <v>195</v>
      </c>
      <c r="E320" s="6" t="s">
        <v>196</v>
      </c>
      <c r="F320" s="6">
        <v>52</v>
      </c>
      <c r="G320" s="6" t="s">
        <v>24</v>
      </c>
      <c r="H320" s="6" t="s">
        <v>942</v>
      </c>
      <c r="I320" s="6" t="s">
        <v>3798</v>
      </c>
      <c r="J320" s="8">
        <v>43381</v>
      </c>
      <c r="K320" s="8">
        <v>45300</v>
      </c>
      <c r="L320" s="6">
        <v>146100.4</v>
      </c>
      <c r="M320" s="6">
        <v>73000.600000000006</v>
      </c>
      <c r="N320" s="6">
        <v>670</v>
      </c>
      <c r="O320" s="6">
        <v>160000</v>
      </c>
      <c r="P320" s="6" t="s">
        <v>76</v>
      </c>
      <c r="Q320" s="6" t="s">
        <v>27</v>
      </c>
      <c r="R320" s="6">
        <v>0</v>
      </c>
      <c r="S320" s="6" t="s">
        <v>28</v>
      </c>
      <c r="T320" s="7">
        <f t="shared" si="20"/>
        <v>0.45625375000000001</v>
      </c>
      <c r="U320" s="6">
        <f t="shared" si="21"/>
        <v>6</v>
      </c>
      <c r="V320" s="5" t="str">
        <f t="shared" si="22"/>
        <v>GOOD</v>
      </c>
      <c r="W320" s="6" t="str">
        <f t="shared" si="23"/>
        <v>45-54</v>
      </c>
      <c r="X320" s="6" t="str">
        <f t="shared" si="24"/>
        <v>Upper-Middle</v>
      </c>
    </row>
    <row r="321" spans="1:24">
      <c r="A321" s="6" t="s">
        <v>539</v>
      </c>
      <c r="B321" s="6" t="s">
        <v>943</v>
      </c>
      <c r="C321" s="6" t="s">
        <v>21</v>
      </c>
      <c r="D321" s="6" t="s">
        <v>58</v>
      </c>
      <c r="E321" s="6" t="s">
        <v>122</v>
      </c>
      <c r="F321" s="6">
        <v>60</v>
      </c>
      <c r="G321" s="6" t="s">
        <v>34</v>
      </c>
      <c r="H321" s="6" t="s">
        <v>944</v>
      </c>
      <c r="I321" s="6" t="s">
        <v>3799</v>
      </c>
      <c r="J321" s="8">
        <v>42965</v>
      </c>
      <c r="K321" s="8">
        <v>45299</v>
      </c>
      <c r="L321" s="6">
        <v>313000.75</v>
      </c>
      <c r="M321" s="6">
        <v>90000.8</v>
      </c>
      <c r="N321" s="6">
        <v>835</v>
      </c>
      <c r="O321" s="6">
        <v>305000</v>
      </c>
      <c r="P321" s="6" t="s">
        <v>36</v>
      </c>
      <c r="Q321" s="6" t="s">
        <v>27</v>
      </c>
      <c r="R321" s="6">
        <v>0</v>
      </c>
      <c r="S321" s="6" t="s">
        <v>28</v>
      </c>
      <c r="T321" s="7">
        <f t="shared" si="20"/>
        <v>0.29508459016393446</v>
      </c>
      <c r="U321" s="6">
        <f t="shared" si="21"/>
        <v>7</v>
      </c>
      <c r="V321" s="5" t="str">
        <f t="shared" si="22"/>
        <v>EXCEPTIONAL</v>
      </c>
      <c r="W321" s="6" t="str">
        <f t="shared" si="23"/>
        <v>55+</v>
      </c>
      <c r="X321" s="6" t="str">
        <f t="shared" si="24"/>
        <v>High</v>
      </c>
    </row>
    <row r="322" spans="1:24">
      <c r="A322" s="6" t="s">
        <v>542</v>
      </c>
      <c r="B322" s="6" t="s">
        <v>945</v>
      </c>
      <c r="C322" s="6" t="s">
        <v>52</v>
      </c>
      <c r="D322" s="6" t="s">
        <v>68</v>
      </c>
      <c r="E322" s="6" t="s">
        <v>69</v>
      </c>
      <c r="F322" s="6">
        <v>47</v>
      </c>
      <c r="G322" s="6" t="s">
        <v>34</v>
      </c>
      <c r="H322" s="6" t="s">
        <v>946</v>
      </c>
      <c r="I322" s="6" t="s">
        <v>3777</v>
      </c>
      <c r="J322" s="8">
        <v>43902</v>
      </c>
      <c r="K322" s="8">
        <v>45302</v>
      </c>
      <c r="L322" s="6">
        <v>57800.6</v>
      </c>
      <c r="M322" s="6">
        <v>27800.25</v>
      </c>
      <c r="N322" s="6">
        <v>665</v>
      </c>
      <c r="O322" s="6">
        <v>113000</v>
      </c>
      <c r="P322" s="6" t="s">
        <v>26</v>
      </c>
      <c r="Q322" s="6" t="s">
        <v>27</v>
      </c>
      <c r="R322" s="6">
        <v>0</v>
      </c>
      <c r="S322" s="6" t="s">
        <v>28</v>
      </c>
      <c r="T322" s="7">
        <f t="shared" ref="T322:T385" si="25">IFERROR(M322/O322,"")</f>
        <v>0.24601991150442479</v>
      </c>
      <c r="U322" s="6">
        <f t="shared" ref="U322:U385" si="26">MAX($K$2:$K$1599)-K322</f>
        <v>4</v>
      </c>
      <c r="V322" s="5" t="str">
        <f t="shared" ref="V322:V385" si="27">IF(N322&lt;670,"FAIR", IF(N322&lt;750,"GOOD",IF(N322&lt;800,"VERY GOOD","EXCEPTIONAL")))</f>
        <v>FAIR</v>
      </c>
      <c r="W322" s="6" t="str">
        <f t="shared" ref="W322:W385" si="28">IF(F322&lt;25,"18-24",IF(F322&lt;35,"25-34",IF(F322&lt;45,"35-44",IF(F322&lt;55,"45-54","55+"))))</f>
        <v>45-54</v>
      </c>
      <c r="X322" s="6" t="str">
        <f t="shared" ref="X322:X385" si="29">IF(O322&lt;=_xlfn.QUARTILE.INC($O$2:$O$1599,1),"Low",IF(O322&lt;=_xlfn.QUARTILE.INC($O$2:$O$1599,2),"Lower-Middle",IF(O322&lt;=_xlfn.QUARTILE.INC($O$2:$O$1599,3),"Upper-Middle","High")))</f>
        <v>Lower-Middle</v>
      </c>
    </row>
    <row r="323" spans="1:24">
      <c r="A323" s="6" t="s">
        <v>545</v>
      </c>
      <c r="B323" s="6" t="s">
        <v>947</v>
      </c>
      <c r="C323" s="6" t="s">
        <v>46</v>
      </c>
      <c r="D323" s="6" t="s">
        <v>241</v>
      </c>
      <c r="E323" s="6" t="s">
        <v>389</v>
      </c>
      <c r="F323" s="6">
        <v>39</v>
      </c>
      <c r="G323" s="6" t="s">
        <v>24</v>
      </c>
      <c r="H323" s="6" t="s">
        <v>948</v>
      </c>
      <c r="I323" s="6" t="s">
        <v>3800</v>
      </c>
      <c r="J323" s="8">
        <v>44535</v>
      </c>
      <c r="K323" s="8">
        <v>45303</v>
      </c>
      <c r="L323" s="6">
        <v>81100.800000000003</v>
      </c>
      <c r="M323" s="6">
        <v>35300.400000000001</v>
      </c>
      <c r="N323" s="6">
        <v>750</v>
      </c>
      <c r="O323" s="6">
        <v>139000</v>
      </c>
      <c r="P323" s="6" t="s">
        <v>26</v>
      </c>
      <c r="Q323" s="6" t="s">
        <v>27</v>
      </c>
      <c r="R323" s="6">
        <v>0</v>
      </c>
      <c r="S323" s="6" t="s">
        <v>28</v>
      </c>
      <c r="T323" s="7">
        <f t="shared" si="25"/>
        <v>0.25395971223021585</v>
      </c>
      <c r="U323" s="6">
        <f t="shared" si="26"/>
        <v>3</v>
      </c>
      <c r="V323" s="5" t="str">
        <f t="shared" si="27"/>
        <v>VERY GOOD</v>
      </c>
      <c r="W323" s="6" t="str">
        <f t="shared" si="28"/>
        <v>35-44</v>
      </c>
      <c r="X323" s="6" t="str">
        <f t="shared" si="29"/>
        <v>Upper-Middle</v>
      </c>
    </row>
    <row r="324" spans="1:24">
      <c r="A324" s="6" t="s">
        <v>548</v>
      </c>
      <c r="B324" s="6" t="s">
        <v>949</v>
      </c>
      <c r="C324" s="6" t="s">
        <v>57</v>
      </c>
      <c r="D324" s="6" t="s">
        <v>22</v>
      </c>
      <c r="E324" s="6" t="s">
        <v>282</v>
      </c>
      <c r="F324" s="6">
        <v>35</v>
      </c>
      <c r="G324" s="6" t="s">
        <v>34</v>
      </c>
      <c r="H324" s="6" t="s">
        <v>950</v>
      </c>
      <c r="I324" s="6" t="s">
        <v>3801</v>
      </c>
      <c r="J324" s="8">
        <v>44740</v>
      </c>
      <c r="K324" s="8">
        <v>45305</v>
      </c>
      <c r="L324" s="6">
        <v>20000.900000000001</v>
      </c>
      <c r="M324" s="6">
        <v>8400.75</v>
      </c>
      <c r="N324" s="6">
        <v>770</v>
      </c>
      <c r="O324" s="6">
        <v>70000</v>
      </c>
      <c r="P324" s="6" t="s">
        <v>36</v>
      </c>
      <c r="Q324" s="6" t="s">
        <v>27</v>
      </c>
      <c r="R324" s="6">
        <v>0</v>
      </c>
      <c r="S324" s="6" t="s">
        <v>28</v>
      </c>
      <c r="T324" s="7">
        <f t="shared" si="25"/>
        <v>0.12001071428571429</v>
      </c>
      <c r="U324" s="6">
        <f t="shared" si="26"/>
        <v>1</v>
      </c>
      <c r="V324" s="5" t="str">
        <f t="shared" si="27"/>
        <v>VERY GOOD</v>
      </c>
      <c r="W324" s="6" t="str">
        <f t="shared" si="28"/>
        <v>35-44</v>
      </c>
      <c r="X324" s="6" t="str">
        <f t="shared" si="29"/>
        <v>Low</v>
      </c>
    </row>
    <row r="325" spans="1:24">
      <c r="A325" s="6" t="s">
        <v>551</v>
      </c>
      <c r="B325" s="6" t="s">
        <v>951</v>
      </c>
      <c r="C325" s="6" t="s">
        <v>39</v>
      </c>
      <c r="D325" s="6" t="s">
        <v>313</v>
      </c>
      <c r="E325" s="6" t="s">
        <v>385</v>
      </c>
      <c r="F325" s="6">
        <v>58</v>
      </c>
      <c r="G325" s="6" t="s">
        <v>24</v>
      </c>
      <c r="H325" s="6" t="s">
        <v>952</v>
      </c>
      <c r="I325" s="6" t="s">
        <v>3802</v>
      </c>
      <c r="J325" s="8">
        <v>43136</v>
      </c>
      <c r="K325" s="8">
        <v>45299</v>
      </c>
      <c r="L325" s="6">
        <v>199200.25</v>
      </c>
      <c r="M325" s="6">
        <v>94000.8</v>
      </c>
      <c r="N325" s="6">
        <v>645</v>
      </c>
      <c r="O325" s="6">
        <v>210000</v>
      </c>
      <c r="P325" s="6" t="s">
        <v>76</v>
      </c>
      <c r="Q325" s="6" t="s">
        <v>27</v>
      </c>
      <c r="R325" s="6">
        <v>0</v>
      </c>
      <c r="S325" s="6" t="s">
        <v>28</v>
      </c>
      <c r="T325" s="7">
        <f t="shared" si="25"/>
        <v>0.44762285714285716</v>
      </c>
      <c r="U325" s="6">
        <f t="shared" si="26"/>
        <v>7</v>
      </c>
      <c r="V325" s="5" t="str">
        <f t="shared" si="27"/>
        <v>FAIR</v>
      </c>
      <c r="W325" s="6" t="str">
        <f t="shared" si="28"/>
        <v>55+</v>
      </c>
      <c r="X325" s="6" t="str">
        <f t="shared" si="29"/>
        <v>High</v>
      </c>
    </row>
    <row r="326" spans="1:24">
      <c r="A326" s="6" t="s">
        <v>554</v>
      </c>
      <c r="B326" s="6" t="s">
        <v>953</v>
      </c>
      <c r="C326" s="6" t="s">
        <v>31</v>
      </c>
      <c r="D326" s="6" t="s">
        <v>214</v>
      </c>
      <c r="E326" s="6" t="s">
        <v>215</v>
      </c>
      <c r="F326" s="6">
        <v>31</v>
      </c>
      <c r="G326" s="6" t="s">
        <v>34</v>
      </c>
      <c r="H326" s="6" t="s">
        <v>954</v>
      </c>
      <c r="I326" s="6" t="s">
        <v>3803</v>
      </c>
      <c r="J326" s="8">
        <v>45181</v>
      </c>
      <c r="K326" s="8">
        <v>45306</v>
      </c>
      <c r="L326" s="6">
        <v>15200.5</v>
      </c>
      <c r="M326" s="6">
        <v>8000.4</v>
      </c>
      <c r="N326" s="6">
        <v>720</v>
      </c>
      <c r="O326" s="6">
        <v>47000</v>
      </c>
      <c r="P326" s="6" t="s">
        <v>36</v>
      </c>
      <c r="Q326" s="6" t="s">
        <v>27</v>
      </c>
      <c r="R326" s="6">
        <v>0</v>
      </c>
      <c r="S326" s="6" t="s">
        <v>28</v>
      </c>
      <c r="T326" s="7">
        <f t="shared" si="25"/>
        <v>0.17022127659574468</v>
      </c>
      <c r="U326" s="6">
        <f t="shared" si="26"/>
        <v>0</v>
      </c>
      <c r="V326" s="5" t="str">
        <f t="shared" si="27"/>
        <v>GOOD</v>
      </c>
      <c r="W326" s="6" t="str">
        <f t="shared" si="28"/>
        <v>25-34</v>
      </c>
      <c r="X326" s="6" t="str">
        <f t="shared" si="29"/>
        <v>Low</v>
      </c>
    </row>
    <row r="327" spans="1:24">
      <c r="A327" s="6" t="s">
        <v>108</v>
      </c>
      <c r="B327" s="6" t="s">
        <v>955</v>
      </c>
      <c r="C327" s="6" t="s">
        <v>84</v>
      </c>
      <c r="D327" s="6" t="s">
        <v>32</v>
      </c>
      <c r="E327" s="6" t="s">
        <v>33</v>
      </c>
      <c r="F327" s="6">
        <v>27</v>
      </c>
      <c r="G327" s="6" t="s">
        <v>24</v>
      </c>
      <c r="H327" s="6" t="s">
        <v>956</v>
      </c>
      <c r="I327" s="6" t="s">
        <v>3784</v>
      </c>
      <c r="J327" s="8">
        <v>45296</v>
      </c>
      <c r="K327" s="8">
        <v>45304</v>
      </c>
      <c r="L327" s="6">
        <v>2350.8000000000002</v>
      </c>
      <c r="M327" s="6">
        <v>9600.25</v>
      </c>
      <c r="N327" s="6">
        <v>605</v>
      </c>
      <c r="O327" s="6">
        <v>23000</v>
      </c>
      <c r="P327" s="6" t="s">
        <v>76</v>
      </c>
      <c r="Q327" s="6" t="s">
        <v>43</v>
      </c>
      <c r="R327" s="6">
        <v>0</v>
      </c>
      <c r="S327" s="6" t="s">
        <v>28</v>
      </c>
      <c r="T327" s="7">
        <f t="shared" si="25"/>
        <v>0.41740217391304346</v>
      </c>
      <c r="U327" s="6">
        <f t="shared" si="26"/>
        <v>2</v>
      </c>
      <c r="V327" s="5" t="str">
        <f t="shared" si="27"/>
        <v>FAIR</v>
      </c>
      <c r="W327" s="6" t="str">
        <f t="shared" si="28"/>
        <v>25-34</v>
      </c>
      <c r="X327" s="6" t="str">
        <f t="shared" si="29"/>
        <v>Low</v>
      </c>
    </row>
    <row r="328" spans="1:24">
      <c r="A328" s="6" t="s">
        <v>559</v>
      </c>
      <c r="B328" s="6" t="s">
        <v>957</v>
      </c>
      <c r="C328" s="6" t="s">
        <v>46</v>
      </c>
      <c r="D328" s="6" t="s">
        <v>254</v>
      </c>
      <c r="E328" s="6" t="s">
        <v>255</v>
      </c>
      <c r="F328" s="6">
        <v>41</v>
      </c>
      <c r="G328" s="6" t="s">
        <v>34</v>
      </c>
      <c r="H328" s="6" t="s">
        <v>958</v>
      </c>
      <c r="I328" s="6" t="s">
        <v>3804</v>
      </c>
      <c r="J328" s="8">
        <v>44436</v>
      </c>
      <c r="K328" s="8">
        <v>45302</v>
      </c>
      <c r="L328" s="6">
        <v>67800.399999999994</v>
      </c>
      <c r="M328" s="6">
        <v>30000.75</v>
      </c>
      <c r="N328" s="6">
        <v>710</v>
      </c>
      <c r="O328" s="6">
        <v>121000</v>
      </c>
      <c r="P328" s="6" t="s">
        <v>26</v>
      </c>
      <c r="Q328" s="6" t="s">
        <v>27</v>
      </c>
      <c r="R328" s="6">
        <v>0</v>
      </c>
      <c r="S328" s="6" t="s">
        <v>28</v>
      </c>
      <c r="T328" s="7">
        <f t="shared" si="25"/>
        <v>0.24794008264462811</v>
      </c>
      <c r="U328" s="6">
        <f t="shared" si="26"/>
        <v>4</v>
      </c>
      <c r="V328" s="5" t="str">
        <f t="shared" si="27"/>
        <v>GOOD</v>
      </c>
      <c r="W328" s="6" t="str">
        <f t="shared" si="28"/>
        <v>35-44</v>
      </c>
      <c r="X328" s="6" t="str">
        <f t="shared" si="29"/>
        <v>Lower-Middle</v>
      </c>
    </row>
    <row r="329" spans="1:24">
      <c r="A329" s="6" t="s">
        <v>562</v>
      </c>
      <c r="B329" s="6" t="s">
        <v>959</v>
      </c>
      <c r="C329" s="6" t="s">
        <v>39</v>
      </c>
      <c r="D329" s="6" t="s">
        <v>47</v>
      </c>
      <c r="E329" s="6" t="s">
        <v>48</v>
      </c>
      <c r="F329" s="6">
        <v>55</v>
      </c>
      <c r="G329" s="6" t="s">
        <v>24</v>
      </c>
      <c r="H329" s="6" t="s">
        <v>960</v>
      </c>
      <c r="I329" s="6" t="s">
        <v>3805</v>
      </c>
      <c r="J329" s="8">
        <v>43303</v>
      </c>
      <c r="K329" s="8">
        <v>45300</v>
      </c>
      <c r="L329" s="6">
        <v>179400.6</v>
      </c>
      <c r="M329" s="6">
        <v>87000.25</v>
      </c>
      <c r="N329" s="6">
        <v>675</v>
      </c>
      <c r="O329" s="6">
        <v>190000</v>
      </c>
      <c r="P329" s="6" t="s">
        <v>76</v>
      </c>
      <c r="Q329" s="6" t="s">
        <v>27</v>
      </c>
      <c r="R329" s="6">
        <v>0</v>
      </c>
      <c r="S329" s="6" t="s">
        <v>28</v>
      </c>
      <c r="T329" s="7">
        <f t="shared" si="25"/>
        <v>0.45789605263157895</v>
      </c>
      <c r="U329" s="6">
        <f t="shared" si="26"/>
        <v>6</v>
      </c>
      <c r="V329" s="5" t="str">
        <f t="shared" si="27"/>
        <v>GOOD</v>
      </c>
      <c r="W329" s="6" t="str">
        <f t="shared" si="28"/>
        <v>55+</v>
      </c>
      <c r="X329" s="6" t="str">
        <f t="shared" si="29"/>
        <v>Upper-Middle</v>
      </c>
    </row>
    <row r="330" spans="1:24">
      <c r="A330" s="6" t="s">
        <v>565</v>
      </c>
      <c r="B330" s="6" t="s">
        <v>961</v>
      </c>
      <c r="C330" s="6" t="s">
        <v>52</v>
      </c>
      <c r="D330" s="6" t="s">
        <v>233</v>
      </c>
      <c r="E330" s="6" t="s">
        <v>234</v>
      </c>
      <c r="F330" s="6">
        <v>40</v>
      </c>
      <c r="G330" s="6" t="s">
        <v>34</v>
      </c>
      <c r="H330" s="6" t="s">
        <v>962</v>
      </c>
      <c r="I330" s="6" t="s">
        <v>3806</v>
      </c>
      <c r="J330" s="8">
        <v>44211</v>
      </c>
      <c r="K330" s="8">
        <v>45301</v>
      </c>
      <c r="L330" s="6">
        <v>44200.75</v>
      </c>
      <c r="M330" s="6">
        <v>21100.799999999999</v>
      </c>
      <c r="N330" s="6">
        <v>725</v>
      </c>
      <c r="O330" s="6">
        <v>87000</v>
      </c>
      <c r="P330" s="6" t="s">
        <v>26</v>
      </c>
      <c r="Q330" s="6" t="s">
        <v>27</v>
      </c>
      <c r="R330" s="6">
        <v>0</v>
      </c>
      <c r="S330" s="6" t="s">
        <v>28</v>
      </c>
      <c r="T330" s="7">
        <f t="shared" si="25"/>
        <v>0.24253793103448276</v>
      </c>
      <c r="U330" s="6">
        <f t="shared" si="26"/>
        <v>5</v>
      </c>
      <c r="V330" s="5" t="str">
        <f t="shared" si="27"/>
        <v>GOOD</v>
      </c>
      <c r="W330" s="6" t="str">
        <f t="shared" si="28"/>
        <v>35-44</v>
      </c>
      <c r="X330" s="6" t="str">
        <f t="shared" si="29"/>
        <v>Lower-Middle</v>
      </c>
    </row>
    <row r="331" spans="1:24">
      <c r="A331" s="6" t="s">
        <v>568</v>
      </c>
      <c r="B331" s="6" t="s">
        <v>963</v>
      </c>
      <c r="C331" s="6" t="s">
        <v>57</v>
      </c>
      <c r="D331" s="6" t="s">
        <v>79</v>
      </c>
      <c r="E331" s="6" t="s">
        <v>102</v>
      </c>
      <c r="F331" s="6">
        <v>38</v>
      </c>
      <c r="G331" s="6" t="s">
        <v>24</v>
      </c>
      <c r="H331" s="6" t="s">
        <v>964</v>
      </c>
      <c r="I331" s="6" t="s">
        <v>3807</v>
      </c>
      <c r="J331" s="8">
        <v>44679</v>
      </c>
      <c r="K331" s="8">
        <v>45303</v>
      </c>
      <c r="L331" s="6">
        <v>22200.400000000001</v>
      </c>
      <c r="M331" s="6">
        <v>9200.9</v>
      </c>
      <c r="N331" s="6">
        <v>740</v>
      </c>
      <c r="O331" s="6">
        <v>73000</v>
      </c>
      <c r="P331" s="6" t="s">
        <v>36</v>
      </c>
      <c r="Q331" s="6" t="s">
        <v>27</v>
      </c>
      <c r="R331" s="6">
        <v>0</v>
      </c>
      <c r="S331" s="6" t="s">
        <v>28</v>
      </c>
      <c r="T331" s="7">
        <f t="shared" si="25"/>
        <v>0.12603972602739724</v>
      </c>
      <c r="U331" s="6">
        <f t="shared" si="26"/>
        <v>3</v>
      </c>
      <c r="V331" s="5" t="str">
        <f t="shared" si="27"/>
        <v>GOOD</v>
      </c>
      <c r="W331" s="6" t="str">
        <f t="shared" si="28"/>
        <v>35-44</v>
      </c>
      <c r="X331" s="6" t="str">
        <f t="shared" si="29"/>
        <v>Low</v>
      </c>
    </row>
    <row r="332" spans="1:24">
      <c r="A332" s="6" t="s">
        <v>571</v>
      </c>
      <c r="B332" s="6" t="s">
        <v>965</v>
      </c>
      <c r="C332" s="6" t="s">
        <v>21</v>
      </c>
      <c r="D332" s="6" t="s">
        <v>63</v>
      </c>
      <c r="E332" s="6" t="s">
        <v>3514</v>
      </c>
      <c r="F332" s="6">
        <v>61</v>
      </c>
      <c r="G332" s="6" t="s">
        <v>34</v>
      </c>
      <c r="H332" s="6" t="s">
        <v>966</v>
      </c>
      <c r="I332" s="6" t="s">
        <v>3808</v>
      </c>
      <c r="J332" s="8">
        <v>42837</v>
      </c>
      <c r="K332" s="8">
        <v>45299</v>
      </c>
      <c r="L332" s="6">
        <v>268300.90000000002</v>
      </c>
      <c r="M332" s="6">
        <v>77000.600000000006</v>
      </c>
      <c r="N332" s="6">
        <v>830</v>
      </c>
      <c r="O332" s="6">
        <v>285000</v>
      </c>
      <c r="P332" s="6" t="s">
        <v>36</v>
      </c>
      <c r="Q332" s="6" t="s">
        <v>27</v>
      </c>
      <c r="R332" s="6">
        <v>0</v>
      </c>
      <c r="S332" s="6" t="s">
        <v>28</v>
      </c>
      <c r="T332" s="7">
        <f t="shared" si="25"/>
        <v>0.27017754385964915</v>
      </c>
      <c r="U332" s="6">
        <f t="shared" si="26"/>
        <v>7</v>
      </c>
      <c r="V332" s="5" t="str">
        <f t="shared" si="27"/>
        <v>EXCEPTIONAL</v>
      </c>
      <c r="W332" s="6" t="str">
        <f t="shared" si="28"/>
        <v>55+</v>
      </c>
      <c r="X332" s="6" t="str">
        <f t="shared" si="29"/>
        <v>High</v>
      </c>
    </row>
    <row r="333" spans="1:24">
      <c r="A333" s="6" t="s">
        <v>574</v>
      </c>
      <c r="B333" s="6" t="s">
        <v>967</v>
      </c>
      <c r="C333" s="6" t="s">
        <v>39</v>
      </c>
      <c r="D333" s="6" t="s">
        <v>68</v>
      </c>
      <c r="E333" s="6" t="s">
        <v>114</v>
      </c>
      <c r="F333" s="6">
        <v>53</v>
      </c>
      <c r="G333" s="6" t="s">
        <v>24</v>
      </c>
      <c r="H333" s="6" t="s">
        <v>968</v>
      </c>
      <c r="I333" s="6" t="s">
        <v>3809</v>
      </c>
      <c r="J333" s="8">
        <v>43452</v>
      </c>
      <c r="K333" s="8">
        <v>45300</v>
      </c>
      <c r="L333" s="6">
        <v>157200.25</v>
      </c>
      <c r="M333" s="6">
        <v>79000.399999999994</v>
      </c>
      <c r="N333" s="6">
        <v>655</v>
      </c>
      <c r="O333" s="6">
        <v>175000</v>
      </c>
      <c r="P333" s="6" t="s">
        <v>76</v>
      </c>
      <c r="Q333" s="6" t="s">
        <v>27</v>
      </c>
      <c r="R333" s="6">
        <v>0</v>
      </c>
      <c r="S333" s="6" t="s">
        <v>28</v>
      </c>
      <c r="T333" s="7">
        <f t="shared" si="25"/>
        <v>0.45143085714285713</v>
      </c>
      <c r="U333" s="6">
        <f t="shared" si="26"/>
        <v>6</v>
      </c>
      <c r="V333" s="5" t="str">
        <f t="shared" si="27"/>
        <v>FAIR</v>
      </c>
      <c r="W333" s="6" t="str">
        <f t="shared" si="28"/>
        <v>45-54</v>
      </c>
      <c r="X333" s="6" t="str">
        <f t="shared" si="29"/>
        <v>Upper-Middle</v>
      </c>
    </row>
    <row r="334" spans="1:24">
      <c r="A334" s="6" t="s">
        <v>577</v>
      </c>
      <c r="B334" s="6" t="s">
        <v>969</v>
      </c>
      <c r="C334" s="6" t="s">
        <v>46</v>
      </c>
      <c r="D334" s="6" t="s">
        <v>85</v>
      </c>
      <c r="E334" s="6" t="s">
        <v>86</v>
      </c>
      <c r="F334" s="6">
        <v>42</v>
      </c>
      <c r="G334" s="6" t="s">
        <v>34</v>
      </c>
      <c r="H334" s="6" t="s">
        <v>970</v>
      </c>
      <c r="I334" s="6" t="s">
        <v>3582</v>
      </c>
      <c r="J334" s="8">
        <v>44338</v>
      </c>
      <c r="K334" s="8">
        <v>45302</v>
      </c>
      <c r="L334" s="6">
        <v>86700.6</v>
      </c>
      <c r="M334" s="6">
        <v>38000.75</v>
      </c>
      <c r="N334" s="6">
        <v>760</v>
      </c>
      <c r="O334" s="6">
        <v>144000</v>
      </c>
      <c r="P334" s="6" t="s">
        <v>26</v>
      </c>
      <c r="Q334" s="6" t="s">
        <v>27</v>
      </c>
      <c r="R334" s="6">
        <v>0</v>
      </c>
      <c r="S334" s="6" t="s">
        <v>28</v>
      </c>
      <c r="T334" s="7">
        <f t="shared" si="25"/>
        <v>0.26389409722222223</v>
      </c>
      <c r="U334" s="6">
        <f t="shared" si="26"/>
        <v>4</v>
      </c>
      <c r="V334" s="5" t="str">
        <f t="shared" si="27"/>
        <v>VERY GOOD</v>
      </c>
      <c r="W334" s="6" t="str">
        <f t="shared" si="28"/>
        <v>35-44</v>
      </c>
      <c r="X334" s="6" t="str">
        <f t="shared" si="29"/>
        <v>Upper-Middle</v>
      </c>
    </row>
    <row r="335" spans="1:24">
      <c r="A335" s="6" t="s">
        <v>458</v>
      </c>
      <c r="B335" s="6" t="s">
        <v>971</v>
      </c>
      <c r="C335" s="6" t="s">
        <v>31</v>
      </c>
      <c r="D335" s="6" t="s">
        <v>460</v>
      </c>
      <c r="E335" s="6" t="s">
        <v>461</v>
      </c>
      <c r="F335" s="6">
        <v>33</v>
      </c>
      <c r="G335" s="6" t="s">
        <v>24</v>
      </c>
      <c r="H335" s="6" t="s">
        <v>972</v>
      </c>
      <c r="I335" s="6" t="s">
        <v>3810</v>
      </c>
      <c r="J335" s="8">
        <v>45115</v>
      </c>
      <c r="K335" s="8">
        <v>45306</v>
      </c>
      <c r="L335" s="6">
        <v>10900.25</v>
      </c>
      <c r="M335" s="6">
        <v>6400.8</v>
      </c>
      <c r="N335" s="6">
        <v>695</v>
      </c>
      <c r="O335" s="6">
        <v>44000</v>
      </c>
      <c r="P335" s="6" t="s">
        <v>26</v>
      </c>
      <c r="Q335" s="6" t="s">
        <v>43</v>
      </c>
      <c r="R335" s="6">
        <v>0</v>
      </c>
      <c r="S335" s="6" t="s">
        <v>28</v>
      </c>
      <c r="T335" s="7">
        <f t="shared" si="25"/>
        <v>0.14547272727272728</v>
      </c>
      <c r="U335" s="6">
        <f t="shared" si="26"/>
        <v>0</v>
      </c>
      <c r="V335" s="5" t="str">
        <f t="shared" si="27"/>
        <v>GOOD</v>
      </c>
      <c r="W335" s="6" t="str">
        <f t="shared" si="28"/>
        <v>25-34</v>
      </c>
      <c r="X335" s="6" t="str">
        <f t="shared" si="29"/>
        <v>Low</v>
      </c>
    </row>
    <row r="336" spans="1:24">
      <c r="A336" s="6" t="s">
        <v>582</v>
      </c>
      <c r="B336" s="6" t="s">
        <v>973</v>
      </c>
      <c r="C336" s="6" t="s">
        <v>57</v>
      </c>
      <c r="D336" s="6" t="s">
        <v>22</v>
      </c>
      <c r="E336" s="6" t="s">
        <v>53</v>
      </c>
      <c r="F336" s="6">
        <v>36</v>
      </c>
      <c r="G336" s="6" t="s">
        <v>34</v>
      </c>
      <c r="H336" s="6" t="s">
        <v>974</v>
      </c>
      <c r="I336" s="6" t="s">
        <v>3811</v>
      </c>
      <c r="J336" s="8">
        <v>44607</v>
      </c>
      <c r="K336" s="8">
        <v>45303</v>
      </c>
      <c r="L336" s="6">
        <v>21100.9</v>
      </c>
      <c r="M336" s="6">
        <v>8800.25</v>
      </c>
      <c r="N336" s="6">
        <v>755</v>
      </c>
      <c r="O336" s="6">
        <v>66000</v>
      </c>
      <c r="P336" s="6" t="s">
        <v>36</v>
      </c>
      <c r="Q336" s="6" t="s">
        <v>27</v>
      </c>
      <c r="R336" s="6">
        <v>0</v>
      </c>
      <c r="S336" s="6" t="s">
        <v>28</v>
      </c>
      <c r="T336" s="7">
        <f t="shared" si="25"/>
        <v>0.13333712121212121</v>
      </c>
      <c r="U336" s="6">
        <f t="shared" si="26"/>
        <v>3</v>
      </c>
      <c r="V336" s="5" t="str">
        <f t="shared" si="27"/>
        <v>VERY GOOD</v>
      </c>
      <c r="W336" s="6" t="str">
        <f t="shared" si="28"/>
        <v>35-44</v>
      </c>
      <c r="X336" s="6" t="str">
        <f t="shared" si="29"/>
        <v>Low</v>
      </c>
    </row>
    <row r="337" spans="1:24">
      <c r="A337" s="6" t="s">
        <v>55</v>
      </c>
      <c r="B337" s="6" t="s">
        <v>975</v>
      </c>
      <c r="C337" s="6" t="s">
        <v>39</v>
      </c>
      <c r="D337" s="6" t="s">
        <v>58</v>
      </c>
      <c r="E337" s="6" t="s">
        <v>59</v>
      </c>
      <c r="F337" s="6">
        <v>54</v>
      </c>
      <c r="G337" s="6" t="s">
        <v>24</v>
      </c>
      <c r="H337" s="6" t="s">
        <v>976</v>
      </c>
      <c r="I337" s="6" t="s">
        <v>3812</v>
      </c>
      <c r="J337" s="8">
        <v>43358</v>
      </c>
      <c r="K337" s="8">
        <v>45300</v>
      </c>
      <c r="L337" s="6">
        <v>190100.4</v>
      </c>
      <c r="M337" s="6">
        <v>92000.75</v>
      </c>
      <c r="N337" s="6">
        <v>685</v>
      </c>
      <c r="O337" s="6">
        <v>200000</v>
      </c>
      <c r="P337" s="6" t="s">
        <v>76</v>
      </c>
      <c r="Q337" s="6" t="s">
        <v>27</v>
      </c>
      <c r="R337" s="6">
        <v>0</v>
      </c>
      <c r="S337" s="6" t="s">
        <v>28</v>
      </c>
      <c r="T337" s="7">
        <f t="shared" si="25"/>
        <v>0.46000374999999999</v>
      </c>
      <c r="U337" s="6">
        <f t="shared" si="26"/>
        <v>6</v>
      </c>
      <c r="V337" s="5" t="str">
        <f t="shared" si="27"/>
        <v>GOOD</v>
      </c>
      <c r="W337" s="6" t="str">
        <f t="shared" si="28"/>
        <v>45-54</v>
      </c>
      <c r="X337" s="6" t="str">
        <f t="shared" si="29"/>
        <v>High</v>
      </c>
    </row>
    <row r="338" spans="1:24">
      <c r="A338" s="6" t="s">
        <v>469</v>
      </c>
      <c r="B338" s="6" t="s">
        <v>977</v>
      </c>
      <c r="C338" s="6" t="s">
        <v>52</v>
      </c>
      <c r="D338" s="6" t="s">
        <v>471</v>
      </c>
      <c r="E338" s="6" t="s">
        <v>472</v>
      </c>
      <c r="F338" s="6">
        <v>45</v>
      </c>
      <c r="G338" s="6" t="s">
        <v>34</v>
      </c>
      <c r="H338" s="6" t="s">
        <v>978</v>
      </c>
      <c r="I338" s="6" t="s">
        <v>3813</v>
      </c>
      <c r="J338" s="8">
        <v>44004</v>
      </c>
      <c r="K338" s="8">
        <v>45301</v>
      </c>
      <c r="L338" s="6">
        <v>51100.800000000003</v>
      </c>
      <c r="M338" s="6">
        <v>24200.6</v>
      </c>
      <c r="N338" s="6">
        <v>715</v>
      </c>
      <c r="O338" s="6">
        <v>99000</v>
      </c>
      <c r="P338" s="6" t="s">
        <v>26</v>
      </c>
      <c r="Q338" s="6" t="s">
        <v>27</v>
      </c>
      <c r="R338" s="6">
        <v>0</v>
      </c>
      <c r="S338" s="6" t="s">
        <v>28</v>
      </c>
      <c r="T338" s="7">
        <f t="shared" si="25"/>
        <v>0.24445050505050503</v>
      </c>
      <c r="U338" s="6">
        <f t="shared" si="26"/>
        <v>5</v>
      </c>
      <c r="V338" s="5" t="str">
        <f t="shared" si="27"/>
        <v>GOOD</v>
      </c>
      <c r="W338" s="6" t="str">
        <f t="shared" si="28"/>
        <v>45-54</v>
      </c>
      <c r="X338" s="6" t="str">
        <f t="shared" si="29"/>
        <v>Lower-Middle</v>
      </c>
    </row>
    <row r="339" spans="1:24">
      <c r="A339" s="6" t="s">
        <v>474</v>
      </c>
      <c r="B339" s="6" t="s">
        <v>979</v>
      </c>
      <c r="C339" s="6" t="s">
        <v>46</v>
      </c>
      <c r="D339" s="6" t="s">
        <v>345</v>
      </c>
      <c r="E339" s="6" t="s">
        <v>476</v>
      </c>
      <c r="F339" s="6">
        <v>48</v>
      </c>
      <c r="G339" s="6" t="s">
        <v>24</v>
      </c>
      <c r="H339" s="6" t="s">
        <v>980</v>
      </c>
      <c r="I339" s="6" t="s">
        <v>3814</v>
      </c>
      <c r="J339" s="8">
        <v>43918</v>
      </c>
      <c r="K339" s="8">
        <v>45302</v>
      </c>
      <c r="L339" s="6">
        <v>78900.25</v>
      </c>
      <c r="M339" s="6">
        <v>34200.400000000001</v>
      </c>
      <c r="N339" s="6">
        <v>680</v>
      </c>
      <c r="O339" s="6">
        <v>128000</v>
      </c>
      <c r="P339" s="6" t="s">
        <v>26</v>
      </c>
      <c r="Q339" s="6" t="s">
        <v>27</v>
      </c>
      <c r="R339" s="6">
        <v>0</v>
      </c>
      <c r="S339" s="6" t="s">
        <v>28</v>
      </c>
      <c r="T339" s="7">
        <f t="shared" si="25"/>
        <v>0.26719062500000001</v>
      </c>
      <c r="U339" s="6">
        <f t="shared" si="26"/>
        <v>4</v>
      </c>
      <c r="V339" s="5" t="str">
        <f t="shared" si="27"/>
        <v>GOOD</v>
      </c>
      <c r="W339" s="6" t="str">
        <f t="shared" si="28"/>
        <v>45-54</v>
      </c>
      <c r="X339" s="6" t="str">
        <f t="shared" si="29"/>
        <v>Upper-Middle</v>
      </c>
    </row>
    <row r="340" spans="1:24">
      <c r="A340" s="6" t="s">
        <v>592</v>
      </c>
      <c r="B340" s="6" t="s">
        <v>981</v>
      </c>
      <c r="C340" s="6" t="s">
        <v>84</v>
      </c>
      <c r="D340" s="6" t="s">
        <v>32</v>
      </c>
      <c r="E340" s="6" t="s">
        <v>90</v>
      </c>
      <c r="F340" s="6">
        <v>28</v>
      </c>
      <c r="G340" s="6" t="s">
        <v>34</v>
      </c>
      <c r="H340" s="6" t="s">
        <v>982</v>
      </c>
      <c r="I340" s="6" t="s">
        <v>3509</v>
      </c>
      <c r="J340" s="8">
        <v>45272</v>
      </c>
      <c r="K340" s="8">
        <v>45304</v>
      </c>
      <c r="L340" s="6">
        <v>2450.4</v>
      </c>
      <c r="M340" s="6">
        <v>10200.75</v>
      </c>
      <c r="N340" s="6">
        <v>610</v>
      </c>
      <c r="O340" s="6">
        <v>24000</v>
      </c>
      <c r="P340" s="6" t="s">
        <v>76</v>
      </c>
      <c r="Q340" s="6" t="s">
        <v>43</v>
      </c>
      <c r="R340" s="6">
        <v>0</v>
      </c>
      <c r="S340" s="6" t="s">
        <v>28</v>
      </c>
      <c r="T340" s="7">
        <f t="shared" si="25"/>
        <v>0.42503125000000003</v>
      </c>
      <c r="U340" s="6">
        <f t="shared" si="26"/>
        <v>2</v>
      </c>
      <c r="V340" s="5" t="str">
        <f t="shared" si="27"/>
        <v>FAIR</v>
      </c>
      <c r="W340" s="6" t="str">
        <f t="shared" si="28"/>
        <v>25-34</v>
      </c>
      <c r="X340" s="6" t="str">
        <f t="shared" si="29"/>
        <v>Low</v>
      </c>
    </row>
    <row r="341" spans="1:24">
      <c r="A341" s="6" t="s">
        <v>595</v>
      </c>
      <c r="B341" s="6" t="s">
        <v>983</v>
      </c>
      <c r="C341" s="6" t="s">
        <v>21</v>
      </c>
      <c r="D341" s="6" t="s">
        <v>209</v>
      </c>
      <c r="E341" s="6" t="s">
        <v>210</v>
      </c>
      <c r="F341" s="6">
        <v>60</v>
      </c>
      <c r="G341" s="6" t="s">
        <v>24</v>
      </c>
      <c r="H341" s="6" t="s">
        <v>984</v>
      </c>
      <c r="I341" s="6" t="s">
        <v>3815</v>
      </c>
      <c r="J341" s="8">
        <v>43067</v>
      </c>
      <c r="K341" s="8">
        <v>45299</v>
      </c>
      <c r="L341" s="6">
        <v>288100.8</v>
      </c>
      <c r="M341" s="6">
        <v>83000.25</v>
      </c>
      <c r="N341" s="6">
        <v>825</v>
      </c>
      <c r="O341" s="6">
        <v>280000</v>
      </c>
      <c r="P341" s="6" t="s">
        <v>36</v>
      </c>
      <c r="Q341" s="6" t="s">
        <v>27</v>
      </c>
      <c r="R341" s="6">
        <v>0</v>
      </c>
      <c r="S341" s="6" t="s">
        <v>28</v>
      </c>
      <c r="T341" s="7">
        <f t="shared" si="25"/>
        <v>0.29642946428571426</v>
      </c>
      <c r="U341" s="6">
        <f t="shared" si="26"/>
        <v>7</v>
      </c>
      <c r="V341" s="5" t="str">
        <f t="shared" si="27"/>
        <v>EXCEPTIONAL</v>
      </c>
      <c r="W341" s="6" t="str">
        <f t="shared" si="28"/>
        <v>55+</v>
      </c>
      <c r="X341" s="6" t="str">
        <f t="shared" si="29"/>
        <v>High</v>
      </c>
    </row>
    <row r="342" spans="1:24">
      <c r="A342" s="6" t="s">
        <v>226</v>
      </c>
      <c r="B342" s="6" t="s">
        <v>985</v>
      </c>
      <c r="C342" s="6" t="s">
        <v>57</v>
      </c>
      <c r="D342" s="6" t="s">
        <v>228</v>
      </c>
      <c r="E342" s="6" t="s">
        <v>229</v>
      </c>
      <c r="F342" s="6">
        <v>35</v>
      </c>
      <c r="G342" s="6" t="s">
        <v>34</v>
      </c>
      <c r="H342" s="6" t="s">
        <v>986</v>
      </c>
      <c r="I342" s="6" t="s">
        <v>3816</v>
      </c>
      <c r="J342" s="8">
        <v>44795</v>
      </c>
      <c r="K342" s="8">
        <v>45305</v>
      </c>
      <c r="L342" s="6">
        <v>17800.75</v>
      </c>
      <c r="M342" s="6">
        <v>7200.4</v>
      </c>
      <c r="N342" s="6">
        <v>725</v>
      </c>
      <c r="O342" s="6">
        <v>56000</v>
      </c>
      <c r="P342" s="6" t="s">
        <v>36</v>
      </c>
      <c r="Q342" s="6" t="s">
        <v>27</v>
      </c>
      <c r="R342" s="6">
        <v>0</v>
      </c>
      <c r="S342" s="6" t="s">
        <v>28</v>
      </c>
      <c r="T342" s="7">
        <f t="shared" si="25"/>
        <v>0.12857857142857143</v>
      </c>
      <c r="U342" s="6">
        <f t="shared" si="26"/>
        <v>1</v>
      </c>
      <c r="V342" s="5" t="str">
        <f t="shared" si="27"/>
        <v>GOOD</v>
      </c>
      <c r="W342" s="6" t="str">
        <f t="shared" si="28"/>
        <v>35-44</v>
      </c>
      <c r="X342" s="6" t="str">
        <f t="shared" si="29"/>
        <v>Low</v>
      </c>
    </row>
    <row r="343" spans="1:24">
      <c r="A343" s="6" t="s">
        <v>488</v>
      </c>
      <c r="B343" s="6" t="s">
        <v>987</v>
      </c>
      <c r="C343" s="6" t="s">
        <v>39</v>
      </c>
      <c r="D343" s="6" t="s">
        <v>304</v>
      </c>
      <c r="E343" s="6" t="s">
        <v>304</v>
      </c>
      <c r="F343" s="6">
        <v>52</v>
      </c>
      <c r="G343" s="6" t="s">
        <v>24</v>
      </c>
      <c r="H343" s="6" t="s">
        <v>988</v>
      </c>
      <c r="I343" s="6" t="s">
        <v>3817</v>
      </c>
      <c r="J343" s="8">
        <v>43546</v>
      </c>
      <c r="K343" s="8">
        <v>45300</v>
      </c>
      <c r="L343" s="6">
        <v>168300.6</v>
      </c>
      <c r="M343" s="6">
        <v>83000.899999999994</v>
      </c>
      <c r="N343" s="6">
        <v>675</v>
      </c>
      <c r="O343" s="6">
        <v>180000</v>
      </c>
      <c r="P343" s="6" t="s">
        <v>76</v>
      </c>
      <c r="Q343" s="6" t="s">
        <v>27</v>
      </c>
      <c r="R343" s="6">
        <v>0</v>
      </c>
      <c r="S343" s="6" t="s">
        <v>28</v>
      </c>
      <c r="T343" s="7">
        <f t="shared" si="25"/>
        <v>0.46111611111111106</v>
      </c>
      <c r="U343" s="6">
        <f t="shared" si="26"/>
        <v>6</v>
      </c>
      <c r="V343" s="5" t="str">
        <f t="shared" si="27"/>
        <v>GOOD</v>
      </c>
      <c r="W343" s="6" t="str">
        <f t="shared" si="28"/>
        <v>45-54</v>
      </c>
      <c r="X343" s="6" t="str">
        <f t="shared" si="29"/>
        <v>Upper-Middle</v>
      </c>
    </row>
    <row r="344" spans="1:24">
      <c r="A344" s="6" t="s">
        <v>491</v>
      </c>
      <c r="B344" s="6" t="s">
        <v>989</v>
      </c>
      <c r="C344" s="6" t="s">
        <v>52</v>
      </c>
      <c r="D344" s="6" t="s">
        <v>493</v>
      </c>
      <c r="E344" s="6" t="s">
        <v>494</v>
      </c>
      <c r="F344" s="6">
        <v>43</v>
      </c>
      <c r="G344" s="6" t="s">
        <v>34</v>
      </c>
      <c r="H344" s="6" t="s">
        <v>990</v>
      </c>
      <c r="I344" s="6" t="s">
        <v>3818</v>
      </c>
      <c r="J344" s="8">
        <v>44314</v>
      </c>
      <c r="K344" s="8">
        <v>45302</v>
      </c>
      <c r="L344" s="6">
        <v>45300.4</v>
      </c>
      <c r="M344" s="6">
        <v>20000.25</v>
      </c>
      <c r="N344" s="6">
        <v>705</v>
      </c>
      <c r="O344" s="6">
        <v>88000</v>
      </c>
      <c r="P344" s="6" t="s">
        <v>26</v>
      </c>
      <c r="Q344" s="6" t="s">
        <v>27</v>
      </c>
      <c r="R344" s="6">
        <v>0</v>
      </c>
      <c r="S344" s="6" t="s">
        <v>28</v>
      </c>
      <c r="T344" s="7">
        <f t="shared" si="25"/>
        <v>0.22727556818181818</v>
      </c>
      <c r="U344" s="6">
        <f t="shared" si="26"/>
        <v>4</v>
      </c>
      <c r="V344" s="5" t="str">
        <f t="shared" si="27"/>
        <v>GOOD</v>
      </c>
      <c r="W344" s="6" t="str">
        <f t="shared" si="28"/>
        <v>35-44</v>
      </c>
      <c r="X344" s="6" t="str">
        <f t="shared" si="29"/>
        <v>Lower-Middle</v>
      </c>
    </row>
    <row r="345" spans="1:24">
      <c r="A345" s="6" t="s">
        <v>496</v>
      </c>
      <c r="B345" s="6" t="s">
        <v>991</v>
      </c>
      <c r="C345" s="6" t="s">
        <v>46</v>
      </c>
      <c r="D345" s="6" t="s">
        <v>321</v>
      </c>
      <c r="E345" s="6" t="s">
        <v>498</v>
      </c>
      <c r="F345" s="6">
        <v>46</v>
      </c>
      <c r="G345" s="6" t="s">
        <v>24</v>
      </c>
      <c r="H345" s="6" t="s">
        <v>992</v>
      </c>
      <c r="I345" s="6" t="s">
        <v>3819</v>
      </c>
      <c r="J345" s="8">
        <v>43784</v>
      </c>
      <c r="K345" s="8">
        <v>45301</v>
      </c>
      <c r="L345" s="6">
        <v>92200.75</v>
      </c>
      <c r="M345" s="6">
        <v>41100.800000000003</v>
      </c>
      <c r="N345" s="6">
        <v>730</v>
      </c>
      <c r="O345" s="6">
        <v>154000</v>
      </c>
      <c r="P345" s="6" t="s">
        <v>26</v>
      </c>
      <c r="Q345" s="6" t="s">
        <v>27</v>
      </c>
      <c r="R345" s="6">
        <v>0</v>
      </c>
      <c r="S345" s="6" t="s">
        <v>28</v>
      </c>
      <c r="T345" s="7">
        <f t="shared" si="25"/>
        <v>0.26688831168831173</v>
      </c>
      <c r="U345" s="6">
        <f t="shared" si="26"/>
        <v>5</v>
      </c>
      <c r="V345" s="5" t="str">
        <f t="shared" si="27"/>
        <v>GOOD</v>
      </c>
      <c r="W345" s="6" t="str">
        <f t="shared" si="28"/>
        <v>45-54</v>
      </c>
      <c r="X345" s="6" t="str">
        <f t="shared" si="29"/>
        <v>Upper-Middle</v>
      </c>
    </row>
    <row r="346" spans="1:24">
      <c r="A346" s="6" t="s">
        <v>324</v>
      </c>
      <c r="B346" s="6" t="s">
        <v>993</v>
      </c>
      <c r="C346" s="6" t="s">
        <v>31</v>
      </c>
      <c r="D346" s="6" t="s">
        <v>313</v>
      </c>
      <c r="E346" s="6" t="s">
        <v>501</v>
      </c>
      <c r="F346" s="6">
        <v>31</v>
      </c>
      <c r="G346" s="6" t="s">
        <v>34</v>
      </c>
      <c r="H346" s="6" t="s">
        <v>994</v>
      </c>
      <c r="I346" s="6" t="s">
        <v>3820</v>
      </c>
      <c r="J346" s="8">
        <v>45166</v>
      </c>
      <c r="K346" s="8">
        <v>45306</v>
      </c>
      <c r="L346" s="6">
        <v>9800.9</v>
      </c>
      <c r="M346" s="6">
        <v>6000.75</v>
      </c>
      <c r="N346" s="6">
        <v>685</v>
      </c>
      <c r="O346" s="6">
        <v>41000</v>
      </c>
      <c r="P346" s="6" t="s">
        <v>26</v>
      </c>
      <c r="Q346" s="6" t="s">
        <v>43</v>
      </c>
      <c r="R346" s="6">
        <v>0</v>
      </c>
      <c r="S346" s="6" t="s">
        <v>28</v>
      </c>
      <c r="T346" s="7">
        <f t="shared" si="25"/>
        <v>0.14635975609756097</v>
      </c>
      <c r="U346" s="6">
        <f t="shared" si="26"/>
        <v>0</v>
      </c>
      <c r="V346" s="5" t="str">
        <f t="shared" si="27"/>
        <v>GOOD</v>
      </c>
      <c r="W346" s="6" t="str">
        <f t="shared" si="28"/>
        <v>25-34</v>
      </c>
      <c r="X346" s="6" t="str">
        <f t="shared" si="29"/>
        <v>Low</v>
      </c>
    </row>
    <row r="347" spans="1:24">
      <c r="A347" s="6" t="s">
        <v>503</v>
      </c>
      <c r="B347" s="6" t="s">
        <v>995</v>
      </c>
      <c r="C347" s="6" t="s">
        <v>21</v>
      </c>
      <c r="D347" s="6" t="s">
        <v>32</v>
      </c>
      <c r="E347" s="6" t="s">
        <v>33</v>
      </c>
      <c r="F347" s="6">
        <v>63</v>
      </c>
      <c r="G347" s="6" t="s">
        <v>24</v>
      </c>
      <c r="H347" s="6" t="s">
        <v>996</v>
      </c>
      <c r="I347" s="6" t="s">
        <v>3612</v>
      </c>
      <c r="J347" s="8">
        <v>42788</v>
      </c>
      <c r="K347" s="8">
        <v>45299</v>
      </c>
      <c r="L347" s="6">
        <v>299000.25</v>
      </c>
      <c r="M347" s="6">
        <v>87000.4</v>
      </c>
      <c r="N347" s="6">
        <v>840</v>
      </c>
      <c r="O347" s="6">
        <v>295000</v>
      </c>
      <c r="P347" s="6" t="s">
        <v>36</v>
      </c>
      <c r="Q347" s="6" t="s">
        <v>27</v>
      </c>
      <c r="R347" s="6">
        <v>0</v>
      </c>
      <c r="S347" s="6" t="s">
        <v>28</v>
      </c>
      <c r="T347" s="7">
        <f t="shared" si="25"/>
        <v>0.2949166101694915</v>
      </c>
      <c r="U347" s="6">
        <f t="shared" si="26"/>
        <v>7</v>
      </c>
      <c r="V347" s="5" t="str">
        <f t="shared" si="27"/>
        <v>EXCEPTIONAL</v>
      </c>
      <c r="W347" s="6" t="str">
        <f t="shared" si="28"/>
        <v>55+</v>
      </c>
      <c r="X347" s="6" t="str">
        <f t="shared" si="29"/>
        <v>High</v>
      </c>
    </row>
    <row r="348" spans="1:24">
      <c r="A348" s="6" t="s">
        <v>506</v>
      </c>
      <c r="B348" s="6" t="s">
        <v>997</v>
      </c>
      <c r="C348" s="6" t="s">
        <v>39</v>
      </c>
      <c r="D348" s="6" t="s">
        <v>68</v>
      </c>
      <c r="E348" s="6" t="s">
        <v>69</v>
      </c>
      <c r="F348" s="6">
        <v>55</v>
      </c>
      <c r="G348" s="6" t="s">
        <v>34</v>
      </c>
      <c r="H348" s="6" t="s">
        <v>998</v>
      </c>
      <c r="I348" s="6" t="s">
        <v>3777</v>
      </c>
      <c r="J348" s="8">
        <v>43296</v>
      </c>
      <c r="K348" s="8">
        <v>45300</v>
      </c>
      <c r="L348" s="6">
        <v>179400.4</v>
      </c>
      <c r="M348" s="6">
        <v>87000.75</v>
      </c>
      <c r="N348" s="6">
        <v>650</v>
      </c>
      <c r="O348" s="6">
        <v>190000</v>
      </c>
      <c r="P348" s="6" t="s">
        <v>76</v>
      </c>
      <c r="Q348" s="6" t="s">
        <v>27</v>
      </c>
      <c r="R348" s="6">
        <v>0</v>
      </c>
      <c r="S348" s="6" t="s">
        <v>28</v>
      </c>
      <c r="T348" s="7">
        <f t="shared" si="25"/>
        <v>0.45789868421052632</v>
      </c>
      <c r="U348" s="6">
        <f t="shared" si="26"/>
        <v>6</v>
      </c>
      <c r="V348" s="5" t="str">
        <f t="shared" si="27"/>
        <v>FAIR</v>
      </c>
      <c r="W348" s="6" t="str">
        <f t="shared" si="28"/>
        <v>55+</v>
      </c>
      <c r="X348" s="6" t="str">
        <f t="shared" si="29"/>
        <v>Upper-Middle</v>
      </c>
    </row>
    <row r="349" spans="1:24">
      <c r="A349" s="6" t="s">
        <v>509</v>
      </c>
      <c r="B349" s="6" t="s">
        <v>999</v>
      </c>
      <c r="C349" s="6" t="s">
        <v>46</v>
      </c>
      <c r="D349" s="6" t="s">
        <v>73</v>
      </c>
      <c r="E349" s="6" t="s">
        <v>158</v>
      </c>
      <c r="F349" s="6">
        <v>42</v>
      </c>
      <c r="G349" s="6" t="s">
        <v>24</v>
      </c>
      <c r="H349" s="6" t="s">
        <v>1000</v>
      </c>
      <c r="I349" s="6" t="s">
        <v>3821</v>
      </c>
      <c r="J349" s="8">
        <v>44528</v>
      </c>
      <c r="K349" s="8">
        <v>45303</v>
      </c>
      <c r="L349" s="6">
        <v>80000.399999999994</v>
      </c>
      <c r="M349" s="6">
        <v>35300.25</v>
      </c>
      <c r="N349" s="6">
        <v>745</v>
      </c>
      <c r="O349" s="6">
        <v>134000</v>
      </c>
      <c r="P349" s="6" t="s">
        <v>26</v>
      </c>
      <c r="Q349" s="6" t="s">
        <v>27</v>
      </c>
      <c r="R349" s="6">
        <v>0</v>
      </c>
      <c r="S349" s="6" t="s">
        <v>28</v>
      </c>
      <c r="T349" s="7">
        <f t="shared" si="25"/>
        <v>0.26343470149253734</v>
      </c>
      <c r="U349" s="6">
        <f t="shared" si="26"/>
        <v>3</v>
      </c>
      <c r="V349" s="5" t="str">
        <f t="shared" si="27"/>
        <v>GOOD</v>
      </c>
      <c r="W349" s="6" t="str">
        <f t="shared" si="28"/>
        <v>35-44</v>
      </c>
      <c r="X349" s="6" t="str">
        <f t="shared" si="29"/>
        <v>Upper-Middle</v>
      </c>
    </row>
    <row r="350" spans="1:24">
      <c r="A350" s="6" t="s">
        <v>513</v>
      </c>
      <c r="B350" s="6" t="s">
        <v>1001</v>
      </c>
      <c r="C350" s="6" t="s">
        <v>57</v>
      </c>
      <c r="D350" s="6" t="s">
        <v>58</v>
      </c>
      <c r="E350" s="6" t="s">
        <v>122</v>
      </c>
      <c r="F350" s="6">
        <v>37</v>
      </c>
      <c r="G350" s="6" t="s">
        <v>34</v>
      </c>
      <c r="H350" s="6" t="s">
        <v>1002</v>
      </c>
      <c r="I350" s="6" t="s">
        <v>3822</v>
      </c>
      <c r="J350" s="8">
        <v>44703</v>
      </c>
      <c r="K350" s="8">
        <v>45302</v>
      </c>
      <c r="L350" s="6">
        <v>20000.8</v>
      </c>
      <c r="M350" s="6">
        <v>8400.9</v>
      </c>
      <c r="N350" s="6">
        <v>765</v>
      </c>
      <c r="O350" s="6">
        <v>66000</v>
      </c>
      <c r="P350" s="6" t="s">
        <v>36</v>
      </c>
      <c r="Q350" s="6" t="s">
        <v>27</v>
      </c>
      <c r="R350" s="6">
        <v>0</v>
      </c>
      <c r="S350" s="6" t="s">
        <v>28</v>
      </c>
      <c r="T350" s="7">
        <f t="shared" si="25"/>
        <v>0.12728636363636364</v>
      </c>
      <c r="U350" s="6">
        <f t="shared" si="26"/>
        <v>4</v>
      </c>
      <c r="V350" s="5" t="str">
        <f t="shared" si="27"/>
        <v>VERY GOOD</v>
      </c>
      <c r="W350" s="6" t="str">
        <f t="shared" si="28"/>
        <v>35-44</v>
      </c>
      <c r="X350" s="6" t="str">
        <f t="shared" si="29"/>
        <v>Low</v>
      </c>
    </row>
    <row r="351" spans="1:24">
      <c r="A351" s="6" t="s">
        <v>516</v>
      </c>
      <c r="B351" s="6" t="s">
        <v>1003</v>
      </c>
      <c r="C351" s="6" t="s">
        <v>52</v>
      </c>
      <c r="D351" s="6" t="s">
        <v>277</v>
      </c>
      <c r="E351" s="6" t="s">
        <v>278</v>
      </c>
      <c r="F351" s="6">
        <v>50</v>
      </c>
      <c r="G351" s="6" t="s">
        <v>24</v>
      </c>
      <c r="H351" s="6" t="s">
        <v>1004</v>
      </c>
      <c r="I351" s="6" t="s">
        <v>3823</v>
      </c>
      <c r="J351" s="8">
        <v>43966</v>
      </c>
      <c r="K351" s="8">
        <v>45301</v>
      </c>
      <c r="L351" s="6">
        <v>53300.75</v>
      </c>
      <c r="M351" s="6">
        <v>26400.400000000001</v>
      </c>
      <c r="N351" s="6">
        <v>675</v>
      </c>
      <c r="O351" s="6">
        <v>106000</v>
      </c>
      <c r="P351" s="6" t="s">
        <v>26</v>
      </c>
      <c r="Q351" s="6" t="s">
        <v>27</v>
      </c>
      <c r="R351" s="6">
        <v>0</v>
      </c>
      <c r="S351" s="6" t="s">
        <v>28</v>
      </c>
      <c r="T351" s="7">
        <f t="shared" si="25"/>
        <v>0.24906037735849057</v>
      </c>
      <c r="U351" s="6">
        <f t="shared" si="26"/>
        <v>5</v>
      </c>
      <c r="V351" s="5" t="str">
        <f t="shared" si="27"/>
        <v>GOOD</v>
      </c>
      <c r="W351" s="6" t="str">
        <f t="shared" si="28"/>
        <v>45-54</v>
      </c>
      <c r="X351" s="6" t="str">
        <f t="shared" si="29"/>
        <v>Lower-Middle</v>
      </c>
    </row>
    <row r="352" spans="1:24">
      <c r="A352" s="6" t="s">
        <v>519</v>
      </c>
      <c r="B352" s="6" t="s">
        <v>1005</v>
      </c>
      <c r="C352" s="6" t="s">
        <v>84</v>
      </c>
      <c r="D352" s="6" t="s">
        <v>183</v>
      </c>
      <c r="E352" s="6" t="s">
        <v>184</v>
      </c>
      <c r="F352" s="6">
        <v>29</v>
      </c>
      <c r="G352" s="6" t="s">
        <v>34</v>
      </c>
      <c r="H352" s="6" t="s">
        <v>1006</v>
      </c>
      <c r="I352" s="6" t="s">
        <v>3824</v>
      </c>
      <c r="J352" s="8">
        <v>45299</v>
      </c>
      <c r="K352" s="8">
        <v>45304</v>
      </c>
      <c r="L352" s="6">
        <v>2700.25</v>
      </c>
      <c r="M352" s="6">
        <v>11400.6</v>
      </c>
      <c r="N352" s="6">
        <v>615</v>
      </c>
      <c r="O352" s="6">
        <v>26000</v>
      </c>
      <c r="P352" s="6" t="s">
        <v>76</v>
      </c>
      <c r="Q352" s="6" t="s">
        <v>43</v>
      </c>
      <c r="R352" s="6">
        <v>0</v>
      </c>
      <c r="S352" s="6" t="s">
        <v>28</v>
      </c>
      <c r="T352" s="7">
        <f t="shared" si="25"/>
        <v>0.43848461538461542</v>
      </c>
      <c r="U352" s="6">
        <f t="shared" si="26"/>
        <v>2</v>
      </c>
      <c r="V352" s="5" t="str">
        <f t="shared" si="27"/>
        <v>FAIR</v>
      </c>
      <c r="W352" s="6" t="str">
        <f t="shared" si="28"/>
        <v>25-34</v>
      </c>
      <c r="X352" s="6" t="str">
        <f t="shared" si="29"/>
        <v>Low</v>
      </c>
    </row>
    <row r="353" spans="1:24">
      <c r="A353" s="6" t="s">
        <v>522</v>
      </c>
      <c r="B353" s="6" t="s">
        <v>1007</v>
      </c>
      <c r="C353" s="6" t="s">
        <v>39</v>
      </c>
      <c r="D353" s="6" t="s">
        <v>40</v>
      </c>
      <c r="E353" s="6" t="s">
        <v>94</v>
      </c>
      <c r="F353" s="6">
        <v>57</v>
      </c>
      <c r="G353" s="6" t="s">
        <v>24</v>
      </c>
      <c r="H353" s="6" t="s">
        <v>1008</v>
      </c>
      <c r="I353" s="6" t="s">
        <v>3510</v>
      </c>
      <c r="J353" s="8">
        <v>43259</v>
      </c>
      <c r="K353" s="8">
        <v>45299</v>
      </c>
      <c r="L353" s="6">
        <v>214000.8</v>
      </c>
      <c r="M353" s="6">
        <v>100000.25</v>
      </c>
      <c r="N353" s="6">
        <v>660</v>
      </c>
      <c r="O353" s="6">
        <v>225000</v>
      </c>
      <c r="P353" s="6" t="s">
        <v>76</v>
      </c>
      <c r="Q353" s="6" t="s">
        <v>27</v>
      </c>
      <c r="R353" s="6">
        <v>0</v>
      </c>
      <c r="S353" s="6" t="s">
        <v>28</v>
      </c>
      <c r="T353" s="7">
        <f t="shared" si="25"/>
        <v>0.44444555555555554</v>
      </c>
      <c r="U353" s="6">
        <f t="shared" si="26"/>
        <v>7</v>
      </c>
      <c r="V353" s="5" t="str">
        <f t="shared" si="27"/>
        <v>FAIR</v>
      </c>
      <c r="W353" s="6" t="str">
        <f t="shared" si="28"/>
        <v>55+</v>
      </c>
      <c r="X353" s="6" t="str">
        <f t="shared" si="29"/>
        <v>High</v>
      </c>
    </row>
    <row r="354" spans="1:24">
      <c r="A354" s="6" t="s">
        <v>306</v>
      </c>
      <c r="B354" s="6" t="s">
        <v>1009</v>
      </c>
      <c r="C354" s="6" t="s">
        <v>46</v>
      </c>
      <c r="D354" s="6" t="s">
        <v>209</v>
      </c>
      <c r="E354" s="6" t="s">
        <v>703</v>
      </c>
      <c r="F354" s="6">
        <v>44</v>
      </c>
      <c r="G354" s="6" t="s">
        <v>34</v>
      </c>
      <c r="H354" s="6" t="s">
        <v>1010</v>
      </c>
      <c r="I354" s="6" t="s">
        <v>3825</v>
      </c>
      <c r="J354" s="8">
        <v>44119</v>
      </c>
      <c r="K354" s="8">
        <v>45302</v>
      </c>
      <c r="L354" s="6">
        <v>74400.899999999994</v>
      </c>
      <c r="M354" s="6">
        <v>32200.75</v>
      </c>
      <c r="N354" s="6">
        <v>730</v>
      </c>
      <c r="O354" s="6">
        <v>129000</v>
      </c>
      <c r="P354" s="6" t="s">
        <v>26</v>
      </c>
      <c r="Q354" s="6" t="s">
        <v>27</v>
      </c>
      <c r="R354" s="6">
        <v>0</v>
      </c>
      <c r="S354" s="6" t="s">
        <v>28</v>
      </c>
      <c r="T354" s="7">
        <f t="shared" si="25"/>
        <v>0.24961821705426357</v>
      </c>
      <c r="U354" s="6">
        <f t="shared" si="26"/>
        <v>4</v>
      </c>
      <c r="V354" s="5" t="str">
        <f t="shared" si="27"/>
        <v>GOOD</v>
      </c>
      <c r="W354" s="6" t="str">
        <f t="shared" si="28"/>
        <v>35-44</v>
      </c>
      <c r="X354" s="6" t="str">
        <f t="shared" si="29"/>
        <v>Upper-Middle</v>
      </c>
    </row>
    <row r="355" spans="1:24">
      <c r="A355" s="6" t="s">
        <v>527</v>
      </c>
      <c r="B355" s="6" t="s">
        <v>1011</v>
      </c>
      <c r="C355" s="6" t="s">
        <v>31</v>
      </c>
      <c r="D355" s="6" t="s">
        <v>32</v>
      </c>
      <c r="E355" s="6" t="s">
        <v>90</v>
      </c>
      <c r="F355" s="6">
        <v>33</v>
      </c>
      <c r="G355" s="6" t="s">
        <v>34</v>
      </c>
      <c r="H355" s="6" t="s">
        <v>1012</v>
      </c>
      <c r="I355" s="6" t="s">
        <v>3721</v>
      </c>
      <c r="J355" s="8">
        <v>45191</v>
      </c>
      <c r="K355" s="8">
        <v>45305</v>
      </c>
      <c r="L355" s="6">
        <v>10900.4</v>
      </c>
      <c r="M355" s="6">
        <v>6400.25</v>
      </c>
      <c r="N355" s="6">
        <v>705</v>
      </c>
      <c r="O355" s="6">
        <v>43000</v>
      </c>
      <c r="P355" s="6" t="s">
        <v>26</v>
      </c>
      <c r="Q355" s="6" t="s">
        <v>43</v>
      </c>
      <c r="R355" s="6">
        <v>0</v>
      </c>
      <c r="S355" s="6" t="s">
        <v>28</v>
      </c>
      <c r="T355" s="7">
        <f t="shared" si="25"/>
        <v>0.14884302325581394</v>
      </c>
      <c r="U355" s="6">
        <f t="shared" si="26"/>
        <v>1</v>
      </c>
      <c r="V355" s="5" t="str">
        <f t="shared" si="27"/>
        <v>GOOD</v>
      </c>
      <c r="W355" s="6" t="str">
        <f t="shared" si="28"/>
        <v>25-34</v>
      </c>
      <c r="X355" s="6" t="str">
        <f t="shared" si="29"/>
        <v>Low</v>
      </c>
    </row>
    <row r="356" spans="1:24">
      <c r="A356" s="6" t="s">
        <v>530</v>
      </c>
      <c r="B356" s="6" t="s">
        <v>1013</v>
      </c>
      <c r="C356" s="6" t="s">
        <v>57</v>
      </c>
      <c r="D356" s="6" t="s">
        <v>219</v>
      </c>
      <c r="E356" s="6" t="s">
        <v>220</v>
      </c>
      <c r="F356" s="6">
        <v>38</v>
      </c>
      <c r="G356" s="6" t="s">
        <v>24</v>
      </c>
      <c r="H356" s="6" t="s">
        <v>1014</v>
      </c>
      <c r="I356" s="6" t="s">
        <v>3826</v>
      </c>
      <c r="J356" s="8">
        <v>44679</v>
      </c>
      <c r="K356" s="8">
        <v>45303</v>
      </c>
      <c r="L356" s="6">
        <v>18900.599999999999</v>
      </c>
      <c r="M356" s="6">
        <v>7800.8</v>
      </c>
      <c r="N356" s="6">
        <v>710</v>
      </c>
      <c r="O356" s="6">
        <v>59000</v>
      </c>
      <c r="P356" s="6" t="s">
        <v>36</v>
      </c>
      <c r="Q356" s="6" t="s">
        <v>27</v>
      </c>
      <c r="R356" s="6">
        <v>0</v>
      </c>
      <c r="S356" s="6" t="s">
        <v>28</v>
      </c>
      <c r="T356" s="7">
        <f t="shared" si="25"/>
        <v>0.13221694915254237</v>
      </c>
      <c r="U356" s="6">
        <f t="shared" si="26"/>
        <v>3</v>
      </c>
      <c r="V356" s="5" t="str">
        <f t="shared" si="27"/>
        <v>GOOD</v>
      </c>
      <c r="W356" s="6" t="str">
        <f t="shared" si="28"/>
        <v>35-44</v>
      </c>
      <c r="X356" s="6" t="str">
        <f t="shared" si="29"/>
        <v>Low</v>
      </c>
    </row>
    <row r="357" spans="1:24">
      <c r="A357" s="6" t="s">
        <v>533</v>
      </c>
      <c r="B357" s="6" t="s">
        <v>1015</v>
      </c>
      <c r="C357" s="6" t="s">
        <v>52</v>
      </c>
      <c r="D357" s="6" t="s">
        <v>204</v>
      </c>
      <c r="E357" s="6" t="s">
        <v>205</v>
      </c>
      <c r="F357" s="6">
        <v>45</v>
      </c>
      <c r="G357" s="6" t="s">
        <v>34</v>
      </c>
      <c r="H357" s="6" t="s">
        <v>1016</v>
      </c>
      <c r="I357" s="6" t="s">
        <v>3827</v>
      </c>
      <c r="J357" s="8">
        <v>43973</v>
      </c>
      <c r="K357" s="8">
        <v>45301</v>
      </c>
      <c r="L357" s="6">
        <v>50200.25</v>
      </c>
      <c r="M357" s="6">
        <v>23300.9</v>
      </c>
      <c r="N357" s="6">
        <v>695</v>
      </c>
      <c r="O357" s="6">
        <v>94000</v>
      </c>
      <c r="P357" s="6" t="s">
        <v>26</v>
      </c>
      <c r="Q357" s="6" t="s">
        <v>27</v>
      </c>
      <c r="R357" s="6">
        <v>0</v>
      </c>
      <c r="S357" s="6" t="s">
        <v>28</v>
      </c>
      <c r="T357" s="7">
        <f t="shared" si="25"/>
        <v>0.24788191489361705</v>
      </c>
      <c r="U357" s="6">
        <f t="shared" si="26"/>
        <v>5</v>
      </c>
      <c r="V357" s="5" t="str">
        <f t="shared" si="27"/>
        <v>GOOD</v>
      </c>
      <c r="W357" s="6" t="str">
        <f t="shared" si="28"/>
        <v>45-54</v>
      </c>
      <c r="X357" s="6" t="str">
        <f t="shared" si="29"/>
        <v>Lower-Middle</v>
      </c>
    </row>
    <row r="358" spans="1:24">
      <c r="A358" s="6" t="s">
        <v>536</v>
      </c>
      <c r="B358" s="6" t="s">
        <v>1017</v>
      </c>
      <c r="C358" s="6" t="s">
        <v>39</v>
      </c>
      <c r="D358" s="6" t="s">
        <v>195</v>
      </c>
      <c r="E358" s="6" t="s">
        <v>196</v>
      </c>
      <c r="F358" s="6">
        <v>53</v>
      </c>
      <c r="G358" s="6" t="s">
        <v>24</v>
      </c>
      <c r="H358" s="6" t="s">
        <v>1018</v>
      </c>
      <c r="I358" s="6" t="s">
        <v>3828</v>
      </c>
      <c r="J358" s="8">
        <v>43426</v>
      </c>
      <c r="K358" s="8">
        <v>45300</v>
      </c>
      <c r="L358" s="6">
        <v>146200.4</v>
      </c>
      <c r="M358" s="6">
        <v>74000.600000000006</v>
      </c>
      <c r="N358" s="6">
        <v>670</v>
      </c>
      <c r="O358" s="6">
        <v>161000</v>
      </c>
      <c r="P358" s="6" t="s">
        <v>76</v>
      </c>
      <c r="Q358" s="6" t="s">
        <v>27</v>
      </c>
      <c r="R358" s="6">
        <v>0</v>
      </c>
      <c r="S358" s="6" t="s">
        <v>28</v>
      </c>
      <c r="T358" s="7">
        <f t="shared" si="25"/>
        <v>0.45963105590062114</v>
      </c>
      <c r="U358" s="6">
        <f t="shared" si="26"/>
        <v>6</v>
      </c>
      <c r="V358" s="5" t="str">
        <f t="shared" si="27"/>
        <v>GOOD</v>
      </c>
      <c r="W358" s="6" t="str">
        <f t="shared" si="28"/>
        <v>45-54</v>
      </c>
      <c r="X358" s="6" t="str">
        <f t="shared" si="29"/>
        <v>Upper-Middle</v>
      </c>
    </row>
    <row r="359" spans="1:24">
      <c r="A359" s="6" t="s">
        <v>539</v>
      </c>
      <c r="B359" s="6" t="s">
        <v>1019</v>
      </c>
      <c r="C359" s="6" t="s">
        <v>21</v>
      </c>
      <c r="D359" s="6" t="s">
        <v>58</v>
      </c>
      <c r="E359" s="6" t="s">
        <v>59</v>
      </c>
      <c r="F359" s="6">
        <v>61</v>
      </c>
      <c r="G359" s="6" t="s">
        <v>34</v>
      </c>
      <c r="H359" s="6" t="s">
        <v>1020</v>
      </c>
      <c r="I359" s="6" t="s">
        <v>3829</v>
      </c>
      <c r="J359" s="8">
        <v>43006</v>
      </c>
      <c r="K359" s="8">
        <v>45299</v>
      </c>
      <c r="L359" s="6">
        <v>313100.75</v>
      </c>
      <c r="M359" s="6">
        <v>91000.8</v>
      </c>
      <c r="N359" s="6">
        <v>835</v>
      </c>
      <c r="O359" s="6">
        <v>306000</v>
      </c>
      <c r="P359" s="6" t="s">
        <v>36</v>
      </c>
      <c r="Q359" s="6" t="s">
        <v>27</v>
      </c>
      <c r="R359" s="6">
        <v>0</v>
      </c>
      <c r="S359" s="6" t="s">
        <v>28</v>
      </c>
      <c r="T359" s="7">
        <f t="shared" si="25"/>
        <v>0.29738823529411768</v>
      </c>
      <c r="U359" s="6">
        <f t="shared" si="26"/>
        <v>7</v>
      </c>
      <c r="V359" s="5" t="str">
        <f t="shared" si="27"/>
        <v>EXCEPTIONAL</v>
      </c>
      <c r="W359" s="6" t="str">
        <f t="shared" si="28"/>
        <v>55+</v>
      </c>
      <c r="X359" s="6" t="str">
        <f t="shared" si="29"/>
        <v>High</v>
      </c>
    </row>
    <row r="360" spans="1:24">
      <c r="A360" s="6" t="s">
        <v>542</v>
      </c>
      <c r="B360" s="6" t="s">
        <v>1021</v>
      </c>
      <c r="C360" s="6" t="s">
        <v>52</v>
      </c>
      <c r="D360" s="6" t="s">
        <v>68</v>
      </c>
      <c r="E360" s="6" t="s">
        <v>179</v>
      </c>
      <c r="F360" s="6">
        <v>48</v>
      </c>
      <c r="G360" s="6" t="s">
        <v>34</v>
      </c>
      <c r="H360" s="6" t="s">
        <v>1022</v>
      </c>
      <c r="I360" s="6" t="s">
        <v>3809</v>
      </c>
      <c r="J360" s="8">
        <v>43939</v>
      </c>
      <c r="K360" s="8">
        <v>45302</v>
      </c>
      <c r="L360" s="6">
        <v>58900.6</v>
      </c>
      <c r="M360" s="6">
        <v>28900.25</v>
      </c>
      <c r="N360" s="6">
        <v>665</v>
      </c>
      <c r="O360" s="6">
        <v>114000</v>
      </c>
      <c r="P360" s="6" t="s">
        <v>26</v>
      </c>
      <c r="Q360" s="6" t="s">
        <v>27</v>
      </c>
      <c r="R360" s="6">
        <v>0</v>
      </c>
      <c r="S360" s="6" t="s">
        <v>28</v>
      </c>
      <c r="T360" s="7">
        <f t="shared" si="25"/>
        <v>0.2535109649122807</v>
      </c>
      <c r="U360" s="6">
        <f t="shared" si="26"/>
        <v>4</v>
      </c>
      <c r="V360" s="5" t="str">
        <f t="shared" si="27"/>
        <v>FAIR</v>
      </c>
      <c r="W360" s="6" t="str">
        <f t="shared" si="28"/>
        <v>45-54</v>
      </c>
      <c r="X360" s="6" t="str">
        <f t="shared" si="29"/>
        <v>Lower-Middle</v>
      </c>
    </row>
    <row r="361" spans="1:24">
      <c r="A361" s="6" t="s">
        <v>545</v>
      </c>
      <c r="B361" s="6" t="s">
        <v>1023</v>
      </c>
      <c r="C361" s="6" t="s">
        <v>46</v>
      </c>
      <c r="D361" s="6" t="s">
        <v>241</v>
      </c>
      <c r="E361" s="6" t="s">
        <v>242</v>
      </c>
      <c r="F361" s="6">
        <v>40</v>
      </c>
      <c r="G361" s="6" t="s">
        <v>24</v>
      </c>
      <c r="H361" s="6" t="s">
        <v>1024</v>
      </c>
      <c r="I361" s="6" t="s">
        <v>3830</v>
      </c>
      <c r="J361" s="8">
        <v>44573</v>
      </c>
      <c r="K361" s="8">
        <v>45303</v>
      </c>
      <c r="L361" s="6">
        <v>82200.800000000003</v>
      </c>
      <c r="M361" s="6">
        <v>36400.400000000001</v>
      </c>
      <c r="N361" s="6">
        <v>750</v>
      </c>
      <c r="O361" s="6">
        <v>140000</v>
      </c>
      <c r="P361" s="6" t="s">
        <v>26</v>
      </c>
      <c r="Q361" s="6" t="s">
        <v>27</v>
      </c>
      <c r="R361" s="6">
        <v>0</v>
      </c>
      <c r="S361" s="6" t="s">
        <v>28</v>
      </c>
      <c r="T361" s="7">
        <f t="shared" si="25"/>
        <v>0.26000285714285715</v>
      </c>
      <c r="U361" s="6">
        <f t="shared" si="26"/>
        <v>3</v>
      </c>
      <c r="V361" s="5" t="str">
        <f t="shared" si="27"/>
        <v>VERY GOOD</v>
      </c>
      <c r="W361" s="6" t="str">
        <f t="shared" si="28"/>
        <v>35-44</v>
      </c>
      <c r="X361" s="6" t="str">
        <f t="shared" si="29"/>
        <v>Upper-Middle</v>
      </c>
    </row>
    <row r="362" spans="1:24">
      <c r="A362" s="6" t="s">
        <v>548</v>
      </c>
      <c r="B362" s="6" t="s">
        <v>1025</v>
      </c>
      <c r="C362" s="6" t="s">
        <v>57</v>
      </c>
      <c r="D362" s="6" t="s">
        <v>22</v>
      </c>
      <c r="E362" s="6" t="s">
        <v>118</v>
      </c>
      <c r="F362" s="6">
        <v>36</v>
      </c>
      <c r="G362" s="6" t="s">
        <v>34</v>
      </c>
      <c r="H362" s="6" t="s">
        <v>1026</v>
      </c>
      <c r="I362" s="6" t="s">
        <v>3831</v>
      </c>
      <c r="J362" s="8">
        <v>44760</v>
      </c>
      <c r="K362" s="8">
        <v>45305</v>
      </c>
      <c r="L362" s="6">
        <v>21100.9</v>
      </c>
      <c r="M362" s="6">
        <v>8800.75</v>
      </c>
      <c r="N362" s="6">
        <v>770</v>
      </c>
      <c r="O362" s="6">
        <v>71000</v>
      </c>
      <c r="P362" s="6" t="s">
        <v>36</v>
      </c>
      <c r="Q362" s="6" t="s">
        <v>27</v>
      </c>
      <c r="R362" s="6">
        <v>0</v>
      </c>
      <c r="S362" s="6" t="s">
        <v>28</v>
      </c>
      <c r="T362" s="7">
        <f t="shared" si="25"/>
        <v>0.12395422535211267</v>
      </c>
      <c r="U362" s="6">
        <f t="shared" si="26"/>
        <v>1</v>
      </c>
      <c r="V362" s="5" t="str">
        <f t="shared" si="27"/>
        <v>VERY GOOD</v>
      </c>
      <c r="W362" s="6" t="str">
        <f t="shared" si="28"/>
        <v>35-44</v>
      </c>
      <c r="X362" s="6" t="str">
        <f t="shared" si="29"/>
        <v>Low</v>
      </c>
    </row>
    <row r="363" spans="1:24">
      <c r="A363" s="6" t="s">
        <v>551</v>
      </c>
      <c r="B363" s="6" t="s">
        <v>1027</v>
      </c>
      <c r="C363" s="6" t="s">
        <v>39</v>
      </c>
      <c r="D363" s="6" t="s">
        <v>313</v>
      </c>
      <c r="E363" s="6" t="s">
        <v>314</v>
      </c>
      <c r="F363" s="6">
        <v>59</v>
      </c>
      <c r="G363" s="6" t="s">
        <v>24</v>
      </c>
      <c r="H363" s="6" t="s">
        <v>1028</v>
      </c>
      <c r="I363" s="6" t="s">
        <v>3832</v>
      </c>
      <c r="J363" s="8">
        <v>43171</v>
      </c>
      <c r="K363" s="8">
        <v>45299</v>
      </c>
      <c r="L363" s="6">
        <v>199300.25</v>
      </c>
      <c r="M363" s="6">
        <v>95000.8</v>
      </c>
      <c r="N363" s="6">
        <v>645</v>
      </c>
      <c r="O363" s="6">
        <v>211000</v>
      </c>
      <c r="P363" s="6" t="s">
        <v>76</v>
      </c>
      <c r="Q363" s="6" t="s">
        <v>27</v>
      </c>
      <c r="R363" s="6">
        <v>0</v>
      </c>
      <c r="S363" s="6" t="s">
        <v>28</v>
      </c>
      <c r="T363" s="7">
        <f t="shared" si="25"/>
        <v>0.45024075829383886</v>
      </c>
      <c r="U363" s="6">
        <f t="shared" si="26"/>
        <v>7</v>
      </c>
      <c r="V363" s="5" t="str">
        <f t="shared" si="27"/>
        <v>FAIR</v>
      </c>
      <c r="W363" s="6" t="str">
        <f t="shared" si="28"/>
        <v>55+</v>
      </c>
      <c r="X363" s="6" t="str">
        <f t="shared" si="29"/>
        <v>High</v>
      </c>
    </row>
    <row r="364" spans="1:24">
      <c r="A364" s="6" t="s">
        <v>554</v>
      </c>
      <c r="B364" s="6" t="s">
        <v>1029</v>
      </c>
      <c r="C364" s="6" t="s">
        <v>31</v>
      </c>
      <c r="D364" s="6" t="s">
        <v>214</v>
      </c>
      <c r="E364" s="6" t="s">
        <v>724</v>
      </c>
      <c r="F364" s="6">
        <v>32</v>
      </c>
      <c r="G364" s="6" t="s">
        <v>34</v>
      </c>
      <c r="H364" s="6" t="s">
        <v>1030</v>
      </c>
      <c r="I364" s="6" t="s">
        <v>3833</v>
      </c>
      <c r="J364" s="8">
        <v>45214</v>
      </c>
      <c r="K364" s="8">
        <v>45306</v>
      </c>
      <c r="L364" s="6">
        <v>16200.5</v>
      </c>
      <c r="M364" s="6">
        <v>8400.4</v>
      </c>
      <c r="N364" s="6">
        <v>720</v>
      </c>
      <c r="O364" s="6">
        <v>48000</v>
      </c>
      <c r="P364" s="6" t="s">
        <v>36</v>
      </c>
      <c r="Q364" s="6" t="s">
        <v>27</v>
      </c>
      <c r="R364" s="6">
        <v>0</v>
      </c>
      <c r="S364" s="6" t="s">
        <v>28</v>
      </c>
      <c r="T364" s="7">
        <f t="shared" si="25"/>
        <v>0.17500833333333332</v>
      </c>
      <c r="U364" s="6">
        <f t="shared" si="26"/>
        <v>0</v>
      </c>
      <c r="V364" s="5" t="str">
        <f t="shared" si="27"/>
        <v>GOOD</v>
      </c>
      <c r="W364" s="6" t="str">
        <f t="shared" si="28"/>
        <v>25-34</v>
      </c>
      <c r="X364" s="6" t="str">
        <f t="shared" si="29"/>
        <v>Low</v>
      </c>
    </row>
    <row r="365" spans="1:24">
      <c r="A365" s="6" t="s">
        <v>108</v>
      </c>
      <c r="B365" s="6" t="s">
        <v>1031</v>
      </c>
      <c r="C365" s="6" t="s">
        <v>84</v>
      </c>
      <c r="D365" s="6" t="s">
        <v>32</v>
      </c>
      <c r="E365" s="6" t="s">
        <v>33</v>
      </c>
      <c r="F365" s="6">
        <v>28</v>
      </c>
      <c r="G365" s="6" t="s">
        <v>24</v>
      </c>
      <c r="H365" s="6" t="s">
        <v>1032</v>
      </c>
      <c r="I365" s="6" t="s">
        <v>3509</v>
      </c>
      <c r="J365" s="8">
        <v>45303</v>
      </c>
      <c r="K365" s="8">
        <v>45304</v>
      </c>
      <c r="L365" s="6">
        <v>2450.8000000000002</v>
      </c>
      <c r="M365" s="6">
        <v>9800.25</v>
      </c>
      <c r="N365" s="6">
        <v>605</v>
      </c>
      <c r="O365" s="6">
        <v>24000</v>
      </c>
      <c r="P365" s="6" t="s">
        <v>76</v>
      </c>
      <c r="Q365" s="6" t="s">
        <v>43</v>
      </c>
      <c r="R365" s="6">
        <v>0</v>
      </c>
      <c r="S365" s="6" t="s">
        <v>28</v>
      </c>
      <c r="T365" s="7">
        <f t="shared" si="25"/>
        <v>0.40834375000000001</v>
      </c>
      <c r="U365" s="6">
        <f t="shared" si="26"/>
        <v>2</v>
      </c>
      <c r="V365" s="5" t="str">
        <f t="shared" si="27"/>
        <v>FAIR</v>
      </c>
      <c r="W365" s="6" t="str">
        <f t="shared" si="28"/>
        <v>25-34</v>
      </c>
      <c r="X365" s="6" t="str">
        <f t="shared" si="29"/>
        <v>Low</v>
      </c>
    </row>
    <row r="366" spans="1:24">
      <c r="A366" s="6" t="s">
        <v>559</v>
      </c>
      <c r="B366" s="6" t="s">
        <v>1033</v>
      </c>
      <c r="C366" s="6" t="s">
        <v>46</v>
      </c>
      <c r="D366" s="6" t="s">
        <v>254</v>
      </c>
      <c r="E366" s="6" t="s">
        <v>255</v>
      </c>
      <c r="F366" s="6">
        <v>42</v>
      </c>
      <c r="G366" s="6" t="s">
        <v>34</v>
      </c>
      <c r="H366" s="6" t="s">
        <v>1034</v>
      </c>
      <c r="I366" s="6" t="s">
        <v>3834</v>
      </c>
      <c r="J366" s="8">
        <v>44454</v>
      </c>
      <c r="K366" s="8">
        <v>45302</v>
      </c>
      <c r="L366" s="6">
        <v>68900.399999999994</v>
      </c>
      <c r="M366" s="6">
        <v>31100.75</v>
      </c>
      <c r="N366" s="6">
        <v>710</v>
      </c>
      <c r="O366" s="6">
        <v>122000</v>
      </c>
      <c r="P366" s="6" t="s">
        <v>26</v>
      </c>
      <c r="Q366" s="6" t="s">
        <v>27</v>
      </c>
      <c r="R366" s="6">
        <v>0</v>
      </c>
      <c r="S366" s="6" t="s">
        <v>28</v>
      </c>
      <c r="T366" s="7">
        <f t="shared" si="25"/>
        <v>0.25492418032786884</v>
      </c>
      <c r="U366" s="6">
        <f t="shared" si="26"/>
        <v>4</v>
      </c>
      <c r="V366" s="5" t="str">
        <f t="shared" si="27"/>
        <v>GOOD</v>
      </c>
      <c r="W366" s="6" t="str">
        <f t="shared" si="28"/>
        <v>35-44</v>
      </c>
      <c r="X366" s="6" t="str">
        <f t="shared" si="29"/>
        <v>Lower-Middle</v>
      </c>
    </row>
    <row r="367" spans="1:24">
      <c r="A367" s="6" t="s">
        <v>562</v>
      </c>
      <c r="B367" s="6" t="s">
        <v>1035</v>
      </c>
      <c r="C367" s="6" t="s">
        <v>39</v>
      </c>
      <c r="D367" s="6" t="s">
        <v>47</v>
      </c>
      <c r="E367" s="6" t="s">
        <v>98</v>
      </c>
      <c r="F367" s="6">
        <v>56</v>
      </c>
      <c r="G367" s="6" t="s">
        <v>24</v>
      </c>
      <c r="H367" s="6" t="s">
        <v>1036</v>
      </c>
      <c r="I367" s="6" t="s">
        <v>3835</v>
      </c>
      <c r="J367" s="8">
        <v>43340</v>
      </c>
      <c r="K367" s="8">
        <v>45300</v>
      </c>
      <c r="L367" s="6">
        <v>179500.6</v>
      </c>
      <c r="M367" s="6">
        <v>88000.25</v>
      </c>
      <c r="N367" s="6">
        <v>675</v>
      </c>
      <c r="O367" s="6">
        <v>191000</v>
      </c>
      <c r="P367" s="6" t="s">
        <v>76</v>
      </c>
      <c r="Q367" s="6" t="s">
        <v>27</v>
      </c>
      <c r="R367" s="6">
        <v>0</v>
      </c>
      <c r="S367" s="6" t="s">
        <v>28</v>
      </c>
      <c r="T367" s="7">
        <f t="shared" si="25"/>
        <v>0.46073429319371728</v>
      </c>
      <c r="U367" s="6">
        <f t="shared" si="26"/>
        <v>6</v>
      </c>
      <c r="V367" s="5" t="str">
        <f t="shared" si="27"/>
        <v>GOOD</v>
      </c>
      <c r="W367" s="6" t="str">
        <f t="shared" si="28"/>
        <v>55+</v>
      </c>
      <c r="X367" s="6" t="str">
        <f t="shared" si="29"/>
        <v>High</v>
      </c>
    </row>
    <row r="368" spans="1:24">
      <c r="A368" s="6" t="s">
        <v>565</v>
      </c>
      <c r="B368" s="6" t="s">
        <v>1037</v>
      </c>
      <c r="C368" s="6" t="s">
        <v>52</v>
      </c>
      <c r="D368" s="6" t="s">
        <v>233</v>
      </c>
      <c r="E368" s="6" t="s">
        <v>234</v>
      </c>
      <c r="F368" s="6">
        <v>41</v>
      </c>
      <c r="G368" s="6" t="s">
        <v>34</v>
      </c>
      <c r="H368" s="6" t="s">
        <v>1038</v>
      </c>
      <c r="I368" s="6" t="s">
        <v>3836</v>
      </c>
      <c r="J368" s="8">
        <v>44249</v>
      </c>
      <c r="K368" s="8">
        <v>45301</v>
      </c>
      <c r="L368" s="6">
        <v>45300.75</v>
      </c>
      <c r="M368" s="6">
        <v>22200.799999999999</v>
      </c>
      <c r="N368" s="6">
        <v>725</v>
      </c>
      <c r="O368" s="6">
        <v>88000</v>
      </c>
      <c r="P368" s="6" t="s">
        <v>26</v>
      </c>
      <c r="Q368" s="6" t="s">
        <v>27</v>
      </c>
      <c r="R368" s="6">
        <v>0</v>
      </c>
      <c r="S368" s="6" t="s">
        <v>28</v>
      </c>
      <c r="T368" s="7">
        <f t="shared" si="25"/>
        <v>0.25228181818181816</v>
      </c>
      <c r="U368" s="6">
        <f t="shared" si="26"/>
        <v>5</v>
      </c>
      <c r="V368" s="5" t="str">
        <f t="shared" si="27"/>
        <v>GOOD</v>
      </c>
      <c r="W368" s="6" t="str">
        <f t="shared" si="28"/>
        <v>35-44</v>
      </c>
      <c r="X368" s="6" t="str">
        <f t="shared" si="29"/>
        <v>Lower-Middle</v>
      </c>
    </row>
    <row r="369" spans="1:24">
      <c r="A369" s="6" t="s">
        <v>568</v>
      </c>
      <c r="B369" s="6" t="s">
        <v>1039</v>
      </c>
      <c r="C369" s="6" t="s">
        <v>57</v>
      </c>
      <c r="D369" s="6" t="s">
        <v>79</v>
      </c>
      <c r="E369" s="6" t="s">
        <v>80</v>
      </c>
      <c r="F369" s="6">
        <v>39</v>
      </c>
      <c r="G369" s="6" t="s">
        <v>24</v>
      </c>
      <c r="H369" s="6" t="s">
        <v>1040</v>
      </c>
      <c r="I369" s="6" t="s">
        <v>3837</v>
      </c>
      <c r="J369" s="8">
        <v>44703</v>
      </c>
      <c r="K369" s="8">
        <v>45303</v>
      </c>
      <c r="L369" s="6">
        <v>23300.400000000001</v>
      </c>
      <c r="M369" s="6">
        <v>9600.9</v>
      </c>
      <c r="N369" s="6">
        <v>740</v>
      </c>
      <c r="O369" s="6">
        <v>74000</v>
      </c>
      <c r="P369" s="6" t="s">
        <v>36</v>
      </c>
      <c r="Q369" s="6" t="s">
        <v>27</v>
      </c>
      <c r="R369" s="6">
        <v>0</v>
      </c>
      <c r="S369" s="6" t="s">
        <v>28</v>
      </c>
      <c r="T369" s="7">
        <f t="shared" si="25"/>
        <v>0.12974189189189189</v>
      </c>
      <c r="U369" s="6">
        <f t="shared" si="26"/>
        <v>3</v>
      </c>
      <c r="V369" s="5" t="str">
        <f t="shared" si="27"/>
        <v>GOOD</v>
      </c>
      <c r="W369" s="6" t="str">
        <f t="shared" si="28"/>
        <v>35-44</v>
      </c>
      <c r="X369" s="6" t="str">
        <f t="shared" si="29"/>
        <v>Low</v>
      </c>
    </row>
    <row r="370" spans="1:24">
      <c r="A370" s="6" t="s">
        <v>571</v>
      </c>
      <c r="B370" s="6" t="s">
        <v>1041</v>
      </c>
      <c r="C370" s="6" t="s">
        <v>21</v>
      </c>
      <c r="D370" s="6" t="s">
        <v>63</v>
      </c>
      <c r="E370" s="6" t="s">
        <v>3514</v>
      </c>
      <c r="F370" s="6">
        <v>62</v>
      </c>
      <c r="G370" s="6" t="s">
        <v>34</v>
      </c>
      <c r="H370" s="6" t="s">
        <v>1042</v>
      </c>
      <c r="I370" s="6" t="s">
        <v>3838</v>
      </c>
      <c r="J370" s="8">
        <v>42873</v>
      </c>
      <c r="K370" s="8">
        <v>45299</v>
      </c>
      <c r="L370" s="6">
        <v>268400.90000000002</v>
      </c>
      <c r="M370" s="6">
        <v>78000.600000000006</v>
      </c>
      <c r="N370" s="6">
        <v>830</v>
      </c>
      <c r="O370" s="6">
        <v>286000</v>
      </c>
      <c r="P370" s="6" t="s">
        <v>36</v>
      </c>
      <c r="Q370" s="6" t="s">
        <v>27</v>
      </c>
      <c r="R370" s="6">
        <v>0</v>
      </c>
      <c r="S370" s="6" t="s">
        <v>28</v>
      </c>
      <c r="T370" s="7">
        <f t="shared" si="25"/>
        <v>0.27272937062937064</v>
      </c>
      <c r="U370" s="6">
        <f t="shared" si="26"/>
        <v>7</v>
      </c>
      <c r="V370" s="5" t="str">
        <f t="shared" si="27"/>
        <v>EXCEPTIONAL</v>
      </c>
      <c r="W370" s="6" t="str">
        <f t="shared" si="28"/>
        <v>55+</v>
      </c>
      <c r="X370" s="6" t="str">
        <f t="shared" si="29"/>
        <v>High</v>
      </c>
    </row>
    <row r="371" spans="1:24">
      <c r="A371" s="6" t="s">
        <v>574</v>
      </c>
      <c r="B371" s="6" t="s">
        <v>1043</v>
      </c>
      <c r="C371" s="6" t="s">
        <v>39</v>
      </c>
      <c r="D371" s="6" t="s">
        <v>68</v>
      </c>
      <c r="E371" s="6" t="s">
        <v>114</v>
      </c>
      <c r="F371" s="6">
        <v>54</v>
      </c>
      <c r="G371" s="6" t="s">
        <v>24</v>
      </c>
      <c r="H371" s="6" t="s">
        <v>1044</v>
      </c>
      <c r="I371" s="6" t="s">
        <v>3839</v>
      </c>
      <c r="J371" s="8">
        <v>43493</v>
      </c>
      <c r="K371" s="8">
        <v>45300</v>
      </c>
      <c r="L371" s="6">
        <v>157300.25</v>
      </c>
      <c r="M371" s="6">
        <v>80000.399999999994</v>
      </c>
      <c r="N371" s="6">
        <v>655</v>
      </c>
      <c r="O371" s="6">
        <v>176000</v>
      </c>
      <c r="P371" s="6" t="s">
        <v>76</v>
      </c>
      <c r="Q371" s="6" t="s">
        <v>27</v>
      </c>
      <c r="R371" s="6">
        <v>0</v>
      </c>
      <c r="S371" s="6" t="s">
        <v>28</v>
      </c>
      <c r="T371" s="7">
        <f t="shared" si="25"/>
        <v>0.45454772727272724</v>
      </c>
      <c r="U371" s="6">
        <f t="shared" si="26"/>
        <v>6</v>
      </c>
      <c r="V371" s="5" t="str">
        <f t="shared" si="27"/>
        <v>FAIR</v>
      </c>
      <c r="W371" s="6" t="str">
        <f t="shared" si="28"/>
        <v>45-54</v>
      </c>
      <c r="X371" s="6" t="str">
        <f t="shared" si="29"/>
        <v>Upper-Middle</v>
      </c>
    </row>
    <row r="372" spans="1:24">
      <c r="A372" s="6" t="s">
        <v>577</v>
      </c>
      <c r="B372" s="6" t="s">
        <v>1045</v>
      </c>
      <c r="C372" s="6" t="s">
        <v>46</v>
      </c>
      <c r="D372" s="6" t="s">
        <v>85</v>
      </c>
      <c r="E372" s="6" t="s">
        <v>162</v>
      </c>
      <c r="F372" s="6">
        <v>43</v>
      </c>
      <c r="G372" s="6" t="s">
        <v>34</v>
      </c>
      <c r="H372" s="6" t="s">
        <v>1046</v>
      </c>
      <c r="I372" s="6" t="s">
        <v>3840</v>
      </c>
      <c r="J372" s="8">
        <v>44375</v>
      </c>
      <c r="K372" s="8">
        <v>45302</v>
      </c>
      <c r="L372" s="6">
        <v>87800.6</v>
      </c>
      <c r="M372" s="6">
        <v>39100.75</v>
      </c>
      <c r="N372" s="6">
        <v>760</v>
      </c>
      <c r="O372" s="6">
        <v>145000</v>
      </c>
      <c r="P372" s="6" t="s">
        <v>26</v>
      </c>
      <c r="Q372" s="6" t="s">
        <v>27</v>
      </c>
      <c r="R372" s="6">
        <v>0</v>
      </c>
      <c r="S372" s="6" t="s">
        <v>28</v>
      </c>
      <c r="T372" s="7">
        <f t="shared" si="25"/>
        <v>0.26966034482758622</v>
      </c>
      <c r="U372" s="6">
        <f t="shared" si="26"/>
        <v>4</v>
      </c>
      <c r="V372" s="5" t="str">
        <f t="shared" si="27"/>
        <v>VERY GOOD</v>
      </c>
      <c r="W372" s="6" t="str">
        <f t="shared" si="28"/>
        <v>35-44</v>
      </c>
      <c r="X372" s="6" t="str">
        <f t="shared" si="29"/>
        <v>Upper-Middle</v>
      </c>
    </row>
    <row r="373" spans="1:24">
      <c r="A373" s="6" t="s">
        <v>458</v>
      </c>
      <c r="B373" s="6" t="s">
        <v>1047</v>
      </c>
      <c r="C373" s="6" t="s">
        <v>31</v>
      </c>
      <c r="D373" s="6" t="s">
        <v>460</v>
      </c>
      <c r="E373" s="6" t="s">
        <v>663</v>
      </c>
      <c r="F373" s="6">
        <v>34</v>
      </c>
      <c r="G373" s="6" t="s">
        <v>24</v>
      </c>
      <c r="H373" s="6" t="s">
        <v>1048</v>
      </c>
      <c r="I373" s="6" t="s">
        <v>3841</v>
      </c>
      <c r="J373" s="8">
        <v>45150</v>
      </c>
      <c r="K373" s="8">
        <v>45306</v>
      </c>
      <c r="L373" s="6">
        <v>11400.25</v>
      </c>
      <c r="M373" s="6">
        <v>6700.8</v>
      </c>
      <c r="N373" s="6">
        <v>695</v>
      </c>
      <c r="O373" s="6">
        <v>45000</v>
      </c>
      <c r="P373" s="6" t="s">
        <v>26</v>
      </c>
      <c r="Q373" s="6" t="s">
        <v>43</v>
      </c>
      <c r="R373" s="6">
        <v>0</v>
      </c>
      <c r="S373" s="6" t="s">
        <v>28</v>
      </c>
      <c r="T373" s="7">
        <f t="shared" si="25"/>
        <v>0.14890666666666666</v>
      </c>
      <c r="U373" s="6">
        <f t="shared" si="26"/>
        <v>0</v>
      </c>
      <c r="V373" s="5" t="str">
        <f t="shared" si="27"/>
        <v>GOOD</v>
      </c>
      <c r="W373" s="6" t="str">
        <f t="shared" si="28"/>
        <v>25-34</v>
      </c>
      <c r="X373" s="6" t="str">
        <f t="shared" si="29"/>
        <v>Low</v>
      </c>
    </row>
    <row r="374" spans="1:24">
      <c r="A374" s="6" t="s">
        <v>582</v>
      </c>
      <c r="B374" s="6" t="s">
        <v>1049</v>
      </c>
      <c r="C374" s="6" t="s">
        <v>57</v>
      </c>
      <c r="D374" s="6" t="s">
        <v>22</v>
      </c>
      <c r="E374" s="6" t="s">
        <v>23</v>
      </c>
      <c r="F374" s="6">
        <v>37</v>
      </c>
      <c r="G374" s="6" t="s">
        <v>34</v>
      </c>
      <c r="H374" s="6" t="s">
        <v>1050</v>
      </c>
      <c r="I374" s="6" t="s">
        <v>3842</v>
      </c>
      <c r="J374" s="8">
        <v>44642</v>
      </c>
      <c r="K374" s="8">
        <v>45303</v>
      </c>
      <c r="L374" s="6">
        <v>22200.9</v>
      </c>
      <c r="M374" s="6">
        <v>9200.25</v>
      </c>
      <c r="N374" s="6">
        <v>755</v>
      </c>
      <c r="O374" s="6">
        <v>67000</v>
      </c>
      <c r="P374" s="6" t="s">
        <v>36</v>
      </c>
      <c r="Q374" s="6" t="s">
        <v>27</v>
      </c>
      <c r="R374" s="6">
        <v>0</v>
      </c>
      <c r="S374" s="6" t="s">
        <v>28</v>
      </c>
      <c r="T374" s="7">
        <f t="shared" si="25"/>
        <v>0.13731716417910447</v>
      </c>
      <c r="U374" s="6">
        <f t="shared" si="26"/>
        <v>3</v>
      </c>
      <c r="V374" s="5" t="str">
        <f t="shared" si="27"/>
        <v>VERY GOOD</v>
      </c>
      <c r="W374" s="6" t="str">
        <f t="shared" si="28"/>
        <v>35-44</v>
      </c>
      <c r="X374" s="6" t="str">
        <f t="shared" si="29"/>
        <v>Low</v>
      </c>
    </row>
    <row r="375" spans="1:24">
      <c r="A375" s="6" t="s">
        <v>55</v>
      </c>
      <c r="B375" s="6" t="s">
        <v>1051</v>
      </c>
      <c r="C375" s="6" t="s">
        <v>39</v>
      </c>
      <c r="D375" s="6" t="s">
        <v>58</v>
      </c>
      <c r="E375" s="6" t="s">
        <v>122</v>
      </c>
      <c r="F375" s="6">
        <v>55</v>
      </c>
      <c r="G375" s="6" t="s">
        <v>24</v>
      </c>
      <c r="H375" s="6" t="s">
        <v>1052</v>
      </c>
      <c r="I375" s="6" t="s">
        <v>3843</v>
      </c>
      <c r="J375" s="8">
        <v>43395</v>
      </c>
      <c r="K375" s="8">
        <v>45300</v>
      </c>
      <c r="L375" s="6">
        <v>190200.4</v>
      </c>
      <c r="M375" s="6">
        <v>93000.75</v>
      </c>
      <c r="N375" s="6">
        <v>685</v>
      </c>
      <c r="O375" s="6">
        <v>201000</v>
      </c>
      <c r="P375" s="6" t="s">
        <v>76</v>
      </c>
      <c r="Q375" s="6" t="s">
        <v>27</v>
      </c>
      <c r="R375" s="6">
        <v>0</v>
      </c>
      <c r="S375" s="6" t="s">
        <v>28</v>
      </c>
      <c r="T375" s="7">
        <f t="shared" si="25"/>
        <v>0.46269029850746268</v>
      </c>
      <c r="U375" s="6">
        <f t="shared" si="26"/>
        <v>6</v>
      </c>
      <c r="V375" s="5" t="str">
        <f t="shared" si="27"/>
        <v>GOOD</v>
      </c>
      <c r="W375" s="6" t="str">
        <f t="shared" si="28"/>
        <v>55+</v>
      </c>
      <c r="X375" s="6" t="str">
        <f t="shared" si="29"/>
        <v>High</v>
      </c>
    </row>
    <row r="376" spans="1:24">
      <c r="A376" s="6" t="s">
        <v>469</v>
      </c>
      <c r="B376" s="6" t="s">
        <v>1053</v>
      </c>
      <c r="C376" s="6" t="s">
        <v>52</v>
      </c>
      <c r="D376" s="6" t="s">
        <v>471</v>
      </c>
      <c r="E376" s="6" t="s">
        <v>472</v>
      </c>
      <c r="F376" s="6">
        <v>46</v>
      </c>
      <c r="G376" s="6" t="s">
        <v>34</v>
      </c>
      <c r="H376" s="6" t="s">
        <v>1054</v>
      </c>
      <c r="I376" s="6" t="s">
        <v>3844</v>
      </c>
      <c r="J376" s="8">
        <v>44040</v>
      </c>
      <c r="K376" s="8">
        <v>45301</v>
      </c>
      <c r="L376" s="6">
        <v>52200.800000000003</v>
      </c>
      <c r="M376" s="6">
        <v>25300.6</v>
      </c>
      <c r="N376" s="6">
        <v>715</v>
      </c>
      <c r="O376" s="6">
        <v>100000</v>
      </c>
      <c r="P376" s="6" t="s">
        <v>26</v>
      </c>
      <c r="Q376" s="6" t="s">
        <v>27</v>
      </c>
      <c r="R376" s="6">
        <v>0</v>
      </c>
      <c r="S376" s="6" t="s">
        <v>28</v>
      </c>
      <c r="T376" s="7">
        <f t="shared" si="25"/>
        <v>0.25300600000000001</v>
      </c>
      <c r="U376" s="6">
        <f t="shared" si="26"/>
        <v>5</v>
      </c>
      <c r="V376" s="5" t="str">
        <f t="shared" si="27"/>
        <v>GOOD</v>
      </c>
      <c r="W376" s="6" t="str">
        <f t="shared" si="28"/>
        <v>45-54</v>
      </c>
      <c r="X376" s="6" t="str">
        <f t="shared" si="29"/>
        <v>Lower-Middle</v>
      </c>
    </row>
    <row r="377" spans="1:24">
      <c r="A377" s="6" t="s">
        <v>474</v>
      </c>
      <c r="B377" s="6" t="s">
        <v>1055</v>
      </c>
      <c r="C377" s="6" t="s">
        <v>46</v>
      </c>
      <c r="D377" s="6" t="s">
        <v>345</v>
      </c>
      <c r="E377" s="6" t="s">
        <v>346</v>
      </c>
      <c r="F377" s="6">
        <v>49</v>
      </c>
      <c r="G377" s="6" t="s">
        <v>24</v>
      </c>
      <c r="H377" s="6" t="s">
        <v>1056</v>
      </c>
      <c r="I377" s="6" t="s">
        <v>3845</v>
      </c>
      <c r="J377" s="8">
        <v>43936</v>
      </c>
      <c r="K377" s="8">
        <v>45302</v>
      </c>
      <c r="L377" s="6">
        <v>80000.25</v>
      </c>
      <c r="M377" s="6">
        <v>35300.400000000001</v>
      </c>
      <c r="N377" s="6">
        <v>680</v>
      </c>
      <c r="O377" s="6">
        <v>129000</v>
      </c>
      <c r="P377" s="6" t="s">
        <v>26</v>
      </c>
      <c r="Q377" s="6" t="s">
        <v>27</v>
      </c>
      <c r="R377" s="6">
        <v>0</v>
      </c>
      <c r="S377" s="6" t="s">
        <v>28</v>
      </c>
      <c r="T377" s="7">
        <f t="shared" si="25"/>
        <v>0.27364651162790699</v>
      </c>
      <c r="U377" s="6">
        <f t="shared" si="26"/>
        <v>4</v>
      </c>
      <c r="V377" s="5" t="str">
        <f t="shared" si="27"/>
        <v>GOOD</v>
      </c>
      <c r="W377" s="6" t="str">
        <f t="shared" si="28"/>
        <v>45-54</v>
      </c>
      <c r="X377" s="6" t="str">
        <f t="shared" si="29"/>
        <v>Upper-Middle</v>
      </c>
    </row>
    <row r="378" spans="1:24">
      <c r="A378" s="6" t="s">
        <v>592</v>
      </c>
      <c r="B378" s="6" t="s">
        <v>1057</v>
      </c>
      <c r="C378" s="6" t="s">
        <v>84</v>
      </c>
      <c r="D378" s="6" t="s">
        <v>32</v>
      </c>
      <c r="E378" s="6" t="s">
        <v>90</v>
      </c>
      <c r="F378" s="6">
        <v>29</v>
      </c>
      <c r="G378" s="6" t="s">
        <v>34</v>
      </c>
      <c r="H378" s="6" t="s">
        <v>1058</v>
      </c>
      <c r="I378" s="6" t="s">
        <v>3634</v>
      </c>
      <c r="J378" s="8">
        <v>45299</v>
      </c>
      <c r="K378" s="8">
        <v>45304</v>
      </c>
      <c r="L378" s="6">
        <v>2550.4</v>
      </c>
      <c r="M378" s="6">
        <v>10400.75</v>
      </c>
      <c r="N378" s="6">
        <v>610</v>
      </c>
      <c r="O378" s="6">
        <v>25000</v>
      </c>
      <c r="P378" s="6" t="s">
        <v>76</v>
      </c>
      <c r="Q378" s="6" t="s">
        <v>43</v>
      </c>
      <c r="R378" s="6">
        <v>0</v>
      </c>
      <c r="S378" s="6" t="s">
        <v>28</v>
      </c>
      <c r="T378" s="7">
        <f t="shared" si="25"/>
        <v>0.41603000000000001</v>
      </c>
      <c r="U378" s="6">
        <f t="shared" si="26"/>
        <v>2</v>
      </c>
      <c r="V378" s="5" t="str">
        <f t="shared" si="27"/>
        <v>FAIR</v>
      </c>
      <c r="W378" s="6" t="str">
        <f t="shared" si="28"/>
        <v>25-34</v>
      </c>
      <c r="X378" s="6" t="str">
        <f t="shared" si="29"/>
        <v>Low</v>
      </c>
    </row>
    <row r="379" spans="1:24">
      <c r="A379" s="6" t="s">
        <v>595</v>
      </c>
      <c r="B379" s="6" t="s">
        <v>1059</v>
      </c>
      <c r="C379" s="6" t="s">
        <v>21</v>
      </c>
      <c r="D379" s="6" t="s">
        <v>209</v>
      </c>
      <c r="E379" s="6" t="s">
        <v>210</v>
      </c>
      <c r="F379" s="6">
        <v>61</v>
      </c>
      <c r="G379" s="6" t="s">
        <v>24</v>
      </c>
      <c r="H379" s="6" t="s">
        <v>1060</v>
      </c>
      <c r="I379" s="6" t="s">
        <v>3846</v>
      </c>
      <c r="J379" s="8">
        <v>43084</v>
      </c>
      <c r="K379" s="8">
        <v>45299</v>
      </c>
      <c r="L379" s="6">
        <v>288200.8</v>
      </c>
      <c r="M379" s="6">
        <v>84000.25</v>
      </c>
      <c r="N379" s="6">
        <v>825</v>
      </c>
      <c r="O379" s="6">
        <v>281000</v>
      </c>
      <c r="P379" s="6" t="s">
        <v>36</v>
      </c>
      <c r="Q379" s="6" t="s">
        <v>27</v>
      </c>
      <c r="R379" s="6">
        <v>0</v>
      </c>
      <c r="S379" s="6" t="s">
        <v>28</v>
      </c>
      <c r="T379" s="7">
        <f t="shared" si="25"/>
        <v>0.29893327402135234</v>
      </c>
      <c r="U379" s="6">
        <f t="shared" si="26"/>
        <v>7</v>
      </c>
      <c r="V379" s="5" t="str">
        <f t="shared" si="27"/>
        <v>EXCEPTIONAL</v>
      </c>
      <c r="W379" s="6" t="str">
        <f t="shared" si="28"/>
        <v>55+</v>
      </c>
      <c r="X379" s="6" t="str">
        <f t="shared" si="29"/>
        <v>High</v>
      </c>
    </row>
    <row r="380" spans="1:24">
      <c r="A380" s="6" t="s">
        <v>226</v>
      </c>
      <c r="B380" s="6" t="s">
        <v>1061</v>
      </c>
      <c r="C380" s="6" t="s">
        <v>57</v>
      </c>
      <c r="D380" s="6" t="s">
        <v>228</v>
      </c>
      <c r="E380" s="6" t="s">
        <v>229</v>
      </c>
      <c r="F380" s="6">
        <v>36</v>
      </c>
      <c r="G380" s="6" t="s">
        <v>34</v>
      </c>
      <c r="H380" s="6" t="s">
        <v>1062</v>
      </c>
      <c r="I380" s="6" t="s">
        <v>3847</v>
      </c>
      <c r="J380" s="8">
        <v>44832</v>
      </c>
      <c r="K380" s="8">
        <v>45305</v>
      </c>
      <c r="L380" s="6">
        <v>18900.75</v>
      </c>
      <c r="M380" s="6">
        <v>7600.4</v>
      </c>
      <c r="N380" s="6">
        <v>725</v>
      </c>
      <c r="O380" s="6">
        <v>57000</v>
      </c>
      <c r="P380" s="6" t="s">
        <v>36</v>
      </c>
      <c r="Q380" s="6" t="s">
        <v>27</v>
      </c>
      <c r="R380" s="6">
        <v>0</v>
      </c>
      <c r="S380" s="6" t="s">
        <v>28</v>
      </c>
      <c r="T380" s="7">
        <f t="shared" si="25"/>
        <v>0.13334035087719298</v>
      </c>
      <c r="U380" s="6">
        <f t="shared" si="26"/>
        <v>1</v>
      </c>
      <c r="V380" s="5" t="str">
        <f t="shared" si="27"/>
        <v>GOOD</v>
      </c>
      <c r="W380" s="6" t="str">
        <f t="shared" si="28"/>
        <v>35-44</v>
      </c>
      <c r="X380" s="6" t="str">
        <f t="shared" si="29"/>
        <v>Low</v>
      </c>
    </row>
    <row r="381" spans="1:24">
      <c r="A381" s="6" t="s">
        <v>488</v>
      </c>
      <c r="B381" s="6" t="s">
        <v>1063</v>
      </c>
      <c r="C381" s="6" t="s">
        <v>39</v>
      </c>
      <c r="D381" s="6" t="s">
        <v>304</v>
      </c>
      <c r="E381" s="6" t="s">
        <v>304</v>
      </c>
      <c r="F381" s="6">
        <v>53</v>
      </c>
      <c r="G381" s="6" t="s">
        <v>24</v>
      </c>
      <c r="H381" s="6" t="s">
        <v>1064</v>
      </c>
      <c r="I381" s="6" t="s">
        <v>3848</v>
      </c>
      <c r="J381" s="8">
        <v>43573</v>
      </c>
      <c r="K381" s="8">
        <v>45300</v>
      </c>
      <c r="L381" s="6">
        <v>168400.6</v>
      </c>
      <c r="M381" s="6">
        <v>84000.9</v>
      </c>
      <c r="N381" s="6">
        <v>675</v>
      </c>
      <c r="O381" s="6">
        <v>181000</v>
      </c>
      <c r="P381" s="6" t="s">
        <v>76</v>
      </c>
      <c r="Q381" s="6" t="s">
        <v>27</v>
      </c>
      <c r="R381" s="6">
        <v>0</v>
      </c>
      <c r="S381" s="6" t="s">
        <v>28</v>
      </c>
      <c r="T381" s="7">
        <f t="shared" si="25"/>
        <v>0.46409337016574581</v>
      </c>
      <c r="U381" s="6">
        <f t="shared" si="26"/>
        <v>6</v>
      </c>
      <c r="V381" s="5" t="str">
        <f t="shared" si="27"/>
        <v>GOOD</v>
      </c>
      <c r="W381" s="6" t="str">
        <f t="shared" si="28"/>
        <v>45-54</v>
      </c>
      <c r="X381" s="6" t="str">
        <f t="shared" si="29"/>
        <v>Upper-Middle</v>
      </c>
    </row>
    <row r="382" spans="1:24">
      <c r="A382" s="6" t="s">
        <v>491</v>
      </c>
      <c r="B382" s="6" t="s">
        <v>1065</v>
      </c>
      <c r="C382" s="6" t="s">
        <v>52</v>
      </c>
      <c r="D382" s="6" t="s">
        <v>493</v>
      </c>
      <c r="E382" s="6" t="s">
        <v>494</v>
      </c>
      <c r="F382" s="6">
        <v>44</v>
      </c>
      <c r="G382" s="6" t="s">
        <v>34</v>
      </c>
      <c r="H382" s="6" t="s">
        <v>1066</v>
      </c>
      <c r="I382" s="6" t="s">
        <v>3849</v>
      </c>
      <c r="J382" s="8">
        <v>44338</v>
      </c>
      <c r="K382" s="8">
        <v>45302</v>
      </c>
      <c r="L382" s="6">
        <v>46400.4</v>
      </c>
      <c r="M382" s="6">
        <v>21100.25</v>
      </c>
      <c r="N382" s="6">
        <v>705</v>
      </c>
      <c r="O382" s="6">
        <v>89000</v>
      </c>
      <c r="P382" s="6" t="s">
        <v>26</v>
      </c>
      <c r="Q382" s="6" t="s">
        <v>27</v>
      </c>
      <c r="R382" s="6">
        <v>0</v>
      </c>
      <c r="S382" s="6" t="s">
        <v>28</v>
      </c>
      <c r="T382" s="7">
        <f t="shared" si="25"/>
        <v>0.23708146067415731</v>
      </c>
      <c r="U382" s="6">
        <f t="shared" si="26"/>
        <v>4</v>
      </c>
      <c r="V382" s="5" t="str">
        <f t="shared" si="27"/>
        <v>GOOD</v>
      </c>
      <c r="W382" s="6" t="str">
        <f t="shared" si="28"/>
        <v>35-44</v>
      </c>
      <c r="X382" s="6" t="str">
        <f t="shared" si="29"/>
        <v>Lower-Middle</v>
      </c>
    </row>
    <row r="383" spans="1:24">
      <c r="A383" s="6" t="s">
        <v>496</v>
      </c>
      <c r="B383" s="6" t="s">
        <v>1067</v>
      </c>
      <c r="C383" s="6" t="s">
        <v>46</v>
      </c>
      <c r="D383" s="6" t="s">
        <v>321</v>
      </c>
      <c r="E383" s="6" t="s">
        <v>322</v>
      </c>
      <c r="F383" s="6">
        <v>47</v>
      </c>
      <c r="G383" s="6" t="s">
        <v>24</v>
      </c>
      <c r="H383" s="6" t="s">
        <v>1068</v>
      </c>
      <c r="I383" s="6" t="s">
        <v>3850</v>
      </c>
      <c r="J383" s="8">
        <v>43821</v>
      </c>
      <c r="K383" s="8">
        <v>45301</v>
      </c>
      <c r="L383" s="6">
        <v>93300.75</v>
      </c>
      <c r="M383" s="6">
        <v>42200.800000000003</v>
      </c>
      <c r="N383" s="6">
        <v>730</v>
      </c>
      <c r="O383" s="6">
        <v>155000</v>
      </c>
      <c r="P383" s="6" t="s">
        <v>26</v>
      </c>
      <c r="Q383" s="6" t="s">
        <v>27</v>
      </c>
      <c r="R383" s="6">
        <v>0</v>
      </c>
      <c r="S383" s="6" t="s">
        <v>28</v>
      </c>
      <c r="T383" s="7">
        <f t="shared" si="25"/>
        <v>0.27226322580645163</v>
      </c>
      <c r="U383" s="6">
        <f t="shared" si="26"/>
        <v>5</v>
      </c>
      <c r="V383" s="5" t="str">
        <f t="shared" si="27"/>
        <v>GOOD</v>
      </c>
      <c r="W383" s="6" t="str">
        <f t="shared" si="28"/>
        <v>45-54</v>
      </c>
      <c r="X383" s="6" t="str">
        <f t="shared" si="29"/>
        <v>Upper-Middle</v>
      </c>
    </row>
    <row r="384" spans="1:24">
      <c r="A384" s="6" t="s">
        <v>324</v>
      </c>
      <c r="B384" s="6" t="s">
        <v>1069</v>
      </c>
      <c r="C384" s="6" t="s">
        <v>31</v>
      </c>
      <c r="D384" s="6" t="s">
        <v>313</v>
      </c>
      <c r="E384" s="6" t="s">
        <v>385</v>
      </c>
      <c r="F384" s="6">
        <v>32</v>
      </c>
      <c r="G384" s="6" t="s">
        <v>34</v>
      </c>
      <c r="H384" s="6" t="s">
        <v>1070</v>
      </c>
      <c r="I384" s="6" t="s">
        <v>3851</v>
      </c>
      <c r="J384" s="8">
        <v>45191</v>
      </c>
      <c r="K384" s="8">
        <v>45306</v>
      </c>
      <c r="L384" s="6">
        <v>10200.9</v>
      </c>
      <c r="M384" s="6">
        <v>6300.75</v>
      </c>
      <c r="N384" s="6">
        <v>685</v>
      </c>
      <c r="O384" s="6">
        <v>42000</v>
      </c>
      <c r="P384" s="6" t="s">
        <v>26</v>
      </c>
      <c r="Q384" s="6" t="s">
        <v>43</v>
      </c>
      <c r="R384" s="6">
        <v>0</v>
      </c>
      <c r="S384" s="6" t="s">
        <v>28</v>
      </c>
      <c r="T384" s="7">
        <f t="shared" si="25"/>
        <v>0.15001785714285715</v>
      </c>
      <c r="U384" s="6">
        <f t="shared" si="26"/>
        <v>0</v>
      </c>
      <c r="V384" s="5" t="str">
        <f t="shared" si="27"/>
        <v>GOOD</v>
      </c>
      <c r="W384" s="6" t="str">
        <f t="shared" si="28"/>
        <v>25-34</v>
      </c>
      <c r="X384" s="6" t="str">
        <f t="shared" si="29"/>
        <v>Low</v>
      </c>
    </row>
    <row r="385" spans="1:24">
      <c r="A385" s="6" t="s">
        <v>503</v>
      </c>
      <c r="B385" s="6" t="s">
        <v>1071</v>
      </c>
      <c r="C385" s="6" t="s">
        <v>21</v>
      </c>
      <c r="D385" s="6" t="s">
        <v>32</v>
      </c>
      <c r="E385" s="6" t="s">
        <v>33</v>
      </c>
      <c r="F385" s="6">
        <v>64</v>
      </c>
      <c r="G385" s="6" t="s">
        <v>24</v>
      </c>
      <c r="H385" s="6" t="s">
        <v>1072</v>
      </c>
      <c r="I385" s="6" t="s">
        <v>3852</v>
      </c>
      <c r="J385" s="8">
        <v>42822</v>
      </c>
      <c r="K385" s="8">
        <v>45299</v>
      </c>
      <c r="L385" s="6">
        <v>299100.25</v>
      </c>
      <c r="M385" s="6">
        <v>88000.4</v>
      </c>
      <c r="N385" s="6">
        <v>840</v>
      </c>
      <c r="O385" s="6">
        <v>296000</v>
      </c>
      <c r="P385" s="6" t="s">
        <v>36</v>
      </c>
      <c r="Q385" s="6" t="s">
        <v>27</v>
      </c>
      <c r="R385" s="6">
        <v>0</v>
      </c>
      <c r="S385" s="6" t="s">
        <v>28</v>
      </c>
      <c r="T385" s="7">
        <f t="shared" si="25"/>
        <v>0.29729864864864863</v>
      </c>
      <c r="U385" s="6">
        <f t="shared" si="26"/>
        <v>7</v>
      </c>
      <c r="V385" s="5" t="str">
        <f t="shared" si="27"/>
        <v>EXCEPTIONAL</v>
      </c>
      <c r="W385" s="6" t="str">
        <f t="shared" si="28"/>
        <v>55+</v>
      </c>
      <c r="X385" s="6" t="str">
        <f t="shared" si="29"/>
        <v>High</v>
      </c>
    </row>
    <row r="386" spans="1:24">
      <c r="A386" s="6" t="s">
        <v>506</v>
      </c>
      <c r="B386" s="6" t="s">
        <v>1073</v>
      </c>
      <c r="C386" s="6" t="s">
        <v>39</v>
      </c>
      <c r="D386" s="6" t="s">
        <v>68</v>
      </c>
      <c r="E386" s="6" t="s">
        <v>69</v>
      </c>
      <c r="F386" s="6">
        <v>56</v>
      </c>
      <c r="G386" s="6" t="s">
        <v>34</v>
      </c>
      <c r="H386" s="6" t="s">
        <v>1074</v>
      </c>
      <c r="I386" s="6" t="s">
        <v>3809</v>
      </c>
      <c r="J386" s="8">
        <v>43334</v>
      </c>
      <c r="K386" s="8">
        <v>45300</v>
      </c>
      <c r="L386" s="6">
        <v>179500.4</v>
      </c>
      <c r="M386" s="6">
        <v>88000.75</v>
      </c>
      <c r="N386" s="6">
        <v>650</v>
      </c>
      <c r="O386" s="6">
        <v>191000</v>
      </c>
      <c r="P386" s="6" t="s">
        <v>76</v>
      </c>
      <c r="Q386" s="6" t="s">
        <v>27</v>
      </c>
      <c r="R386" s="6">
        <v>0</v>
      </c>
      <c r="S386" s="6" t="s">
        <v>28</v>
      </c>
      <c r="T386" s="7">
        <f t="shared" ref="T386:T449" si="30">IFERROR(M386/O386,"")</f>
        <v>0.46073691099476438</v>
      </c>
      <c r="U386" s="6">
        <f t="shared" ref="U386:U449" si="31">MAX($K$2:$K$1599)-K386</f>
        <v>6</v>
      </c>
      <c r="V386" s="5" t="str">
        <f t="shared" ref="V386:V449" si="32">IF(N386&lt;670,"FAIR", IF(N386&lt;750,"GOOD",IF(N386&lt;800,"VERY GOOD","EXCEPTIONAL")))</f>
        <v>FAIR</v>
      </c>
      <c r="W386" s="6" t="str">
        <f t="shared" ref="W386:W449" si="33">IF(F386&lt;25,"18-24",IF(F386&lt;35,"25-34",IF(F386&lt;45,"35-44",IF(F386&lt;55,"45-54","55+"))))</f>
        <v>55+</v>
      </c>
      <c r="X386" s="6" t="str">
        <f t="shared" ref="X386:X449" si="34">IF(O386&lt;=_xlfn.QUARTILE.INC($O$2:$O$1599,1),"Low",IF(O386&lt;=_xlfn.QUARTILE.INC($O$2:$O$1599,2),"Lower-Middle",IF(O386&lt;=_xlfn.QUARTILE.INC($O$2:$O$1599,3),"Upper-Middle","High")))</f>
        <v>High</v>
      </c>
    </row>
    <row r="387" spans="1:24">
      <c r="A387" s="6" t="s">
        <v>509</v>
      </c>
      <c r="B387" s="6" t="s">
        <v>1075</v>
      </c>
      <c r="C387" s="6" t="s">
        <v>46</v>
      </c>
      <c r="D387" s="6" t="s">
        <v>73</v>
      </c>
      <c r="E387" s="6" t="s">
        <v>74</v>
      </c>
      <c r="F387" s="6">
        <v>43</v>
      </c>
      <c r="G387" s="6" t="s">
        <v>24</v>
      </c>
      <c r="H387" s="6" t="s">
        <v>1076</v>
      </c>
      <c r="I387" s="6" t="s">
        <v>3853</v>
      </c>
      <c r="J387" s="8">
        <v>44552</v>
      </c>
      <c r="K387" s="8">
        <v>45303</v>
      </c>
      <c r="L387" s="6">
        <v>81100.399999999994</v>
      </c>
      <c r="M387" s="6">
        <v>36400.25</v>
      </c>
      <c r="N387" s="6">
        <v>745</v>
      </c>
      <c r="O387" s="6">
        <v>135000</v>
      </c>
      <c r="P387" s="6" t="s">
        <v>26</v>
      </c>
      <c r="Q387" s="6" t="s">
        <v>27</v>
      </c>
      <c r="R387" s="6">
        <v>0</v>
      </c>
      <c r="S387" s="6" t="s">
        <v>28</v>
      </c>
      <c r="T387" s="7">
        <f t="shared" si="30"/>
        <v>0.26963148148148147</v>
      </c>
      <c r="U387" s="6">
        <f t="shared" si="31"/>
        <v>3</v>
      </c>
      <c r="V387" s="5" t="str">
        <f t="shared" si="32"/>
        <v>GOOD</v>
      </c>
      <c r="W387" s="6" t="str">
        <f t="shared" si="33"/>
        <v>35-44</v>
      </c>
      <c r="X387" s="6" t="str">
        <f t="shared" si="34"/>
        <v>Upper-Middle</v>
      </c>
    </row>
    <row r="388" spans="1:24">
      <c r="A388" s="6" t="s">
        <v>513</v>
      </c>
      <c r="B388" s="6" t="s">
        <v>1077</v>
      </c>
      <c r="C388" s="6" t="s">
        <v>57</v>
      </c>
      <c r="D388" s="6" t="s">
        <v>58</v>
      </c>
      <c r="E388" s="6" t="s">
        <v>59</v>
      </c>
      <c r="F388" s="6">
        <v>38</v>
      </c>
      <c r="G388" s="6" t="s">
        <v>34</v>
      </c>
      <c r="H388" s="6" t="s">
        <v>1078</v>
      </c>
      <c r="I388" s="6" t="s">
        <v>3854</v>
      </c>
      <c r="J388" s="8">
        <v>44740</v>
      </c>
      <c r="K388" s="8">
        <v>45302</v>
      </c>
      <c r="L388" s="6">
        <v>21100.799999999999</v>
      </c>
      <c r="M388" s="6">
        <v>8800.9</v>
      </c>
      <c r="N388" s="6">
        <v>765</v>
      </c>
      <c r="O388" s="6">
        <v>67000</v>
      </c>
      <c r="P388" s="6" t="s">
        <v>36</v>
      </c>
      <c r="Q388" s="6" t="s">
        <v>27</v>
      </c>
      <c r="R388" s="6">
        <v>0</v>
      </c>
      <c r="S388" s="6" t="s">
        <v>28</v>
      </c>
      <c r="T388" s="7">
        <f t="shared" si="30"/>
        <v>0.13135671641791044</v>
      </c>
      <c r="U388" s="6">
        <f t="shared" si="31"/>
        <v>4</v>
      </c>
      <c r="V388" s="5" t="str">
        <f t="shared" si="32"/>
        <v>VERY GOOD</v>
      </c>
      <c r="W388" s="6" t="str">
        <f t="shared" si="33"/>
        <v>35-44</v>
      </c>
      <c r="X388" s="6" t="str">
        <f t="shared" si="34"/>
        <v>Low</v>
      </c>
    </row>
    <row r="389" spans="1:24">
      <c r="A389" s="6" t="s">
        <v>516</v>
      </c>
      <c r="B389" s="6" t="s">
        <v>1079</v>
      </c>
      <c r="C389" s="6" t="s">
        <v>52</v>
      </c>
      <c r="D389" s="6" t="s">
        <v>277</v>
      </c>
      <c r="E389" s="6" t="s">
        <v>404</v>
      </c>
      <c r="F389" s="6">
        <v>51</v>
      </c>
      <c r="G389" s="6" t="s">
        <v>24</v>
      </c>
      <c r="H389" s="6" t="s">
        <v>1080</v>
      </c>
      <c r="I389" s="6" t="s">
        <v>3855</v>
      </c>
      <c r="J389" s="8">
        <v>44004</v>
      </c>
      <c r="K389" s="8">
        <v>45301</v>
      </c>
      <c r="L389" s="6">
        <v>54400.75</v>
      </c>
      <c r="M389" s="6">
        <v>27500.400000000001</v>
      </c>
      <c r="N389" s="6">
        <v>675</v>
      </c>
      <c r="O389" s="6">
        <v>107000</v>
      </c>
      <c r="P389" s="6" t="s">
        <v>26</v>
      </c>
      <c r="Q389" s="6" t="s">
        <v>27</v>
      </c>
      <c r="R389" s="6">
        <v>0</v>
      </c>
      <c r="S389" s="6" t="s">
        <v>28</v>
      </c>
      <c r="T389" s="7">
        <f t="shared" si="30"/>
        <v>0.25701308411214957</v>
      </c>
      <c r="U389" s="6">
        <f t="shared" si="31"/>
        <v>5</v>
      </c>
      <c r="V389" s="5" t="str">
        <f t="shared" si="32"/>
        <v>GOOD</v>
      </c>
      <c r="W389" s="6" t="str">
        <f t="shared" si="33"/>
        <v>45-54</v>
      </c>
      <c r="X389" s="6" t="str">
        <f t="shared" si="34"/>
        <v>Lower-Middle</v>
      </c>
    </row>
    <row r="390" spans="1:24">
      <c r="A390" s="6" t="s">
        <v>519</v>
      </c>
      <c r="B390" s="6" t="s">
        <v>1081</v>
      </c>
      <c r="C390" s="6" t="s">
        <v>84</v>
      </c>
      <c r="D390" s="6" t="s">
        <v>183</v>
      </c>
      <c r="E390" s="6" t="s">
        <v>184</v>
      </c>
      <c r="F390" s="6">
        <v>30</v>
      </c>
      <c r="G390" s="6" t="s">
        <v>34</v>
      </c>
      <c r="H390" s="6" t="s">
        <v>1082</v>
      </c>
      <c r="I390" s="6" t="s">
        <v>3856</v>
      </c>
      <c r="J390" s="8">
        <v>45306</v>
      </c>
      <c r="K390" s="8">
        <v>45304</v>
      </c>
      <c r="L390" s="6">
        <v>2800.25</v>
      </c>
      <c r="M390" s="6">
        <v>11600.6</v>
      </c>
      <c r="N390" s="6">
        <v>615</v>
      </c>
      <c r="O390" s="6">
        <v>27000</v>
      </c>
      <c r="P390" s="6" t="s">
        <v>76</v>
      </c>
      <c r="Q390" s="6" t="s">
        <v>43</v>
      </c>
      <c r="R390" s="6">
        <v>0</v>
      </c>
      <c r="S390" s="6" t="s">
        <v>28</v>
      </c>
      <c r="T390" s="7">
        <f t="shared" si="30"/>
        <v>0.42965185185185184</v>
      </c>
      <c r="U390" s="6">
        <f t="shared" si="31"/>
        <v>2</v>
      </c>
      <c r="V390" s="5" t="str">
        <f t="shared" si="32"/>
        <v>FAIR</v>
      </c>
      <c r="W390" s="6" t="str">
        <f t="shared" si="33"/>
        <v>25-34</v>
      </c>
      <c r="X390" s="6" t="str">
        <f t="shared" si="34"/>
        <v>Low</v>
      </c>
    </row>
    <row r="391" spans="1:24">
      <c r="A391" s="6" t="s">
        <v>522</v>
      </c>
      <c r="B391" s="6" t="s">
        <v>1083</v>
      </c>
      <c r="C391" s="6" t="s">
        <v>39</v>
      </c>
      <c r="D391" s="6" t="s">
        <v>40</v>
      </c>
      <c r="E391" s="6" t="s">
        <v>41</v>
      </c>
      <c r="F391" s="6">
        <v>58</v>
      </c>
      <c r="G391" s="6" t="s">
        <v>24</v>
      </c>
      <c r="H391" s="6" t="s">
        <v>1084</v>
      </c>
      <c r="I391" s="6" t="s">
        <v>3510</v>
      </c>
      <c r="J391" s="8">
        <v>43296</v>
      </c>
      <c r="K391" s="8">
        <v>45299</v>
      </c>
      <c r="L391" s="6">
        <v>214100.8</v>
      </c>
      <c r="M391" s="6">
        <v>101000.25</v>
      </c>
      <c r="N391" s="6">
        <v>660</v>
      </c>
      <c r="O391" s="6">
        <v>226000</v>
      </c>
      <c r="P391" s="6" t="s">
        <v>76</v>
      </c>
      <c r="Q391" s="6" t="s">
        <v>27</v>
      </c>
      <c r="R391" s="6">
        <v>0</v>
      </c>
      <c r="S391" s="6" t="s">
        <v>28</v>
      </c>
      <c r="T391" s="7">
        <f t="shared" si="30"/>
        <v>0.4469037610619469</v>
      </c>
      <c r="U391" s="6">
        <f t="shared" si="31"/>
        <v>7</v>
      </c>
      <c r="V391" s="5" t="str">
        <f t="shared" si="32"/>
        <v>FAIR</v>
      </c>
      <c r="W391" s="6" t="str">
        <f t="shared" si="33"/>
        <v>55+</v>
      </c>
      <c r="X391" s="6" t="str">
        <f t="shared" si="34"/>
        <v>High</v>
      </c>
    </row>
    <row r="392" spans="1:24">
      <c r="A392" s="6" t="s">
        <v>306</v>
      </c>
      <c r="B392" s="6" t="s">
        <v>1085</v>
      </c>
      <c r="C392" s="6" t="s">
        <v>46</v>
      </c>
      <c r="D392" s="6" t="s">
        <v>209</v>
      </c>
      <c r="E392" s="6" t="s">
        <v>447</v>
      </c>
      <c r="F392" s="6">
        <v>45</v>
      </c>
      <c r="G392" s="6" t="s">
        <v>34</v>
      </c>
      <c r="H392" s="6" t="s">
        <v>1086</v>
      </c>
      <c r="I392" s="6" t="s">
        <v>3857</v>
      </c>
      <c r="J392" s="8">
        <v>44163</v>
      </c>
      <c r="K392" s="8">
        <v>45302</v>
      </c>
      <c r="L392" s="6">
        <v>75500.899999999994</v>
      </c>
      <c r="M392" s="6">
        <v>33300.75</v>
      </c>
      <c r="N392" s="6">
        <v>730</v>
      </c>
      <c r="O392" s="6">
        <v>130000</v>
      </c>
      <c r="P392" s="6" t="s">
        <v>26</v>
      </c>
      <c r="Q392" s="6" t="s">
        <v>27</v>
      </c>
      <c r="R392" s="6">
        <v>0</v>
      </c>
      <c r="S392" s="6" t="s">
        <v>28</v>
      </c>
      <c r="T392" s="7">
        <f t="shared" si="30"/>
        <v>0.2561596153846154</v>
      </c>
      <c r="U392" s="6">
        <f t="shared" si="31"/>
        <v>4</v>
      </c>
      <c r="V392" s="5" t="str">
        <f t="shared" si="32"/>
        <v>GOOD</v>
      </c>
      <c r="W392" s="6" t="str">
        <f t="shared" si="33"/>
        <v>45-54</v>
      </c>
      <c r="X392" s="6" t="str">
        <f t="shared" si="34"/>
        <v>Upper-Middle</v>
      </c>
    </row>
    <row r="393" spans="1:24">
      <c r="A393" s="6" t="s">
        <v>527</v>
      </c>
      <c r="B393" s="6" t="s">
        <v>1087</v>
      </c>
      <c r="C393" s="6" t="s">
        <v>31</v>
      </c>
      <c r="D393" s="6" t="s">
        <v>32</v>
      </c>
      <c r="E393" s="6" t="s">
        <v>90</v>
      </c>
      <c r="F393" s="6">
        <v>34</v>
      </c>
      <c r="G393" s="6" t="s">
        <v>34</v>
      </c>
      <c r="H393" s="6" t="s">
        <v>1088</v>
      </c>
      <c r="I393" s="6" t="s">
        <v>3620</v>
      </c>
      <c r="J393" s="8">
        <v>45227</v>
      </c>
      <c r="K393" s="8">
        <v>45305</v>
      </c>
      <c r="L393" s="6">
        <v>11300.4</v>
      </c>
      <c r="M393" s="6">
        <v>6600.25</v>
      </c>
      <c r="N393" s="6">
        <v>705</v>
      </c>
      <c r="O393" s="6">
        <v>44000</v>
      </c>
      <c r="P393" s="6" t="s">
        <v>26</v>
      </c>
      <c r="Q393" s="6" t="s">
        <v>43</v>
      </c>
      <c r="R393" s="6">
        <v>0</v>
      </c>
      <c r="S393" s="6" t="s">
        <v>28</v>
      </c>
      <c r="T393" s="7">
        <f t="shared" si="30"/>
        <v>0.15000568181818183</v>
      </c>
      <c r="U393" s="6">
        <f t="shared" si="31"/>
        <v>1</v>
      </c>
      <c r="V393" s="5" t="str">
        <f t="shared" si="32"/>
        <v>GOOD</v>
      </c>
      <c r="W393" s="6" t="str">
        <f t="shared" si="33"/>
        <v>25-34</v>
      </c>
      <c r="X393" s="6" t="str">
        <f t="shared" si="34"/>
        <v>Low</v>
      </c>
    </row>
    <row r="394" spans="1:24">
      <c r="A394" s="6" t="s">
        <v>530</v>
      </c>
      <c r="B394" s="6" t="s">
        <v>1089</v>
      </c>
      <c r="C394" s="6" t="s">
        <v>57</v>
      </c>
      <c r="D394" s="6" t="s">
        <v>219</v>
      </c>
      <c r="E394" s="6" t="s">
        <v>220</v>
      </c>
      <c r="F394" s="6">
        <v>39</v>
      </c>
      <c r="G394" s="6" t="s">
        <v>24</v>
      </c>
      <c r="H394" s="6" t="s">
        <v>1090</v>
      </c>
      <c r="I394" s="6" t="s">
        <v>3858</v>
      </c>
      <c r="J394" s="8">
        <v>44703</v>
      </c>
      <c r="K394" s="8">
        <v>45303</v>
      </c>
      <c r="L394" s="6">
        <v>20000.599999999999</v>
      </c>
      <c r="M394" s="6">
        <v>8200.7999999999993</v>
      </c>
      <c r="N394" s="6">
        <v>710</v>
      </c>
      <c r="O394" s="6">
        <v>60000</v>
      </c>
      <c r="P394" s="6" t="s">
        <v>36</v>
      </c>
      <c r="Q394" s="6" t="s">
        <v>27</v>
      </c>
      <c r="R394" s="6">
        <v>0</v>
      </c>
      <c r="S394" s="6" t="s">
        <v>28</v>
      </c>
      <c r="T394" s="7">
        <f t="shared" si="30"/>
        <v>0.13668</v>
      </c>
      <c r="U394" s="6">
        <f t="shared" si="31"/>
        <v>3</v>
      </c>
      <c r="V394" s="5" t="str">
        <f t="shared" si="32"/>
        <v>GOOD</v>
      </c>
      <c r="W394" s="6" t="str">
        <f t="shared" si="33"/>
        <v>35-44</v>
      </c>
      <c r="X394" s="6" t="str">
        <f t="shared" si="34"/>
        <v>Low</v>
      </c>
    </row>
    <row r="395" spans="1:24">
      <c r="A395" s="6" t="s">
        <v>533</v>
      </c>
      <c r="B395" s="6" t="s">
        <v>1091</v>
      </c>
      <c r="C395" s="6" t="s">
        <v>52</v>
      </c>
      <c r="D395" s="6" t="s">
        <v>204</v>
      </c>
      <c r="E395" s="6" t="s">
        <v>259</v>
      </c>
      <c r="F395" s="6">
        <v>46</v>
      </c>
      <c r="G395" s="6" t="s">
        <v>34</v>
      </c>
      <c r="H395" s="6" t="s">
        <v>1092</v>
      </c>
      <c r="I395" s="6" t="s">
        <v>3859</v>
      </c>
      <c r="J395" s="8">
        <v>44010</v>
      </c>
      <c r="K395" s="8">
        <v>45301</v>
      </c>
      <c r="L395" s="6">
        <v>51300.25</v>
      </c>
      <c r="M395" s="6">
        <v>24400.9</v>
      </c>
      <c r="N395" s="6">
        <v>695</v>
      </c>
      <c r="O395" s="6">
        <v>95000</v>
      </c>
      <c r="P395" s="6" t="s">
        <v>26</v>
      </c>
      <c r="Q395" s="6" t="s">
        <v>27</v>
      </c>
      <c r="R395" s="6">
        <v>0</v>
      </c>
      <c r="S395" s="6" t="s">
        <v>28</v>
      </c>
      <c r="T395" s="7">
        <f t="shared" si="30"/>
        <v>0.25685157894736843</v>
      </c>
      <c r="U395" s="6">
        <f t="shared" si="31"/>
        <v>5</v>
      </c>
      <c r="V395" s="5" t="str">
        <f t="shared" si="32"/>
        <v>GOOD</v>
      </c>
      <c r="W395" s="6" t="str">
        <f t="shared" si="33"/>
        <v>45-54</v>
      </c>
      <c r="X395" s="6" t="str">
        <f t="shared" si="34"/>
        <v>Lower-Middle</v>
      </c>
    </row>
    <row r="396" spans="1:24">
      <c r="A396" s="6" t="s">
        <v>536</v>
      </c>
      <c r="B396" s="6" t="s">
        <v>1093</v>
      </c>
      <c r="C396" s="6" t="s">
        <v>39</v>
      </c>
      <c r="D396" s="6" t="s">
        <v>195</v>
      </c>
      <c r="E396" s="6" t="s">
        <v>300</v>
      </c>
      <c r="F396" s="6">
        <v>54</v>
      </c>
      <c r="G396" s="6" t="s">
        <v>24</v>
      </c>
      <c r="H396" s="6" t="s">
        <v>1094</v>
      </c>
      <c r="I396" s="6" t="s">
        <v>3860</v>
      </c>
      <c r="J396" s="8">
        <v>43462</v>
      </c>
      <c r="K396" s="8">
        <v>45300</v>
      </c>
      <c r="L396" s="6">
        <v>146300.4</v>
      </c>
      <c r="M396" s="6">
        <v>75000.600000000006</v>
      </c>
      <c r="N396" s="6">
        <v>670</v>
      </c>
      <c r="O396" s="6">
        <v>162000</v>
      </c>
      <c r="P396" s="6" t="s">
        <v>76</v>
      </c>
      <c r="Q396" s="6" t="s">
        <v>27</v>
      </c>
      <c r="R396" s="6">
        <v>0</v>
      </c>
      <c r="S396" s="6" t="s">
        <v>28</v>
      </c>
      <c r="T396" s="7">
        <f t="shared" si="30"/>
        <v>0.46296666666666669</v>
      </c>
      <c r="U396" s="6">
        <f t="shared" si="31"/>
        <v>6</v>
      </c>
      <c r="V396" s="5" t="str">
        <f t="shared" si="32"/>
        <v>GOOD</v>
      </c>
      <c r="W396" s="6" t="str">
        <f t="shared" si="33"/>
        <v>45-54</v>
      </c>
      <c r="X396" s="6" t="str">
        <f t="shared" si="34"/>
        <v>Upper-Middle</v>
      </c>
    </row>
    <row r="397" spans="1:24">
      <c r="A397" s="6" t="s">
        <v>539</v>
      </c>
      <c r="B397" s="6" t="s">
        <v>1095</v>
      </c>
      <c r="C397" s="6" t="s">
        <v>21</v>
      </c>
      <c r="D397" s="6" t="s">
        <v>58</v>
      </c>
      <c r="E397" s="6" t="s">
        <v>122</v>
      </c>
      <c r="F397" s="6">
        <v>62</v>
      </c>
      <c r="G397" s="6" t="s">
        <v>34</v>
      </c>
      <c r="H397" s="6" t="s">
        <v>1096</v>
      </c>
      <c r="I397" s="6" t="s">
        <v>3861</v>
      </c>
      <c r="J397" s="8">
        <v>43030</v>
      </c>
      <c r="K397" s="8">
        <v>45299</v>
      </c>
      <c r="L397" s="6">
        <v>313200.75</v>
      </c>
      <c r="M397" s="6">
        <v>92000.8</v>
      </c>
      <c r="N397" s="6">
        <v>835</v>
      </c>
      <c r="O397" s="6">
        <v>307000</v>
      </c>
      <c r="P397" s="6" t="s">
        <v>36</v>
      </c>
      <c r="Q397" s="6" t="s">
        <v>27</v>
      </c>
      <c r="R397" s="6">
        <v>0</v>
      </c>
      <c r="S397" s="6" t="s">
        <v>28</v>
      </c>
      <c r="T397" s="7">
        <f t="shared" si="30"/>
        <v>0.29967687296416939</v>
      </c>
      <c r="U397" s="6">
        <f t="shared" si="31"/>
        <v>7</v>
      </c>
      <c r="V397" s="5" t="str">
        <f t="shared" si="32"/>
        <v>EXCEPTIONAL</v>
      </c>
      <c r="W397" s="6" t="str">
        <f t="shared" si="33"/>
        <v>55+</v>
      </c>
      <c r="X397" s="6" t="str">
        <f t="shared" si="34"/>
        <v>High</v>
      </c>
    </row>
    <row r="398" spans="1:24">
      <c r="A398" s="6" t="s">
        <v>542</v>
      </c>
      <c r="B398" s="6" t="s">
        <v>1097</v>
      </c>
      <c r="C398" s="6" t="s">
        <v>52</v>
      </c>
      <c r="D398" s="6" t="s">
        <v>68</v>
      </c>
      <c r="E398" s="6" t="s">
        <v>69</v>
      </c>
      <c r="F398" s="6">
        <v>49</v>
      </c>
      <c r="G398" s="6" t="s">
        <v>34</v>
      </c>
      <c r="H398" s="6" t="s">
        <v>1098</v>
      </c>
      <c r="I398" s="6" t="s">
        <v>3839</v>
      </c>
      <c r="J398" s="8">
        <v>43966</v>
      </c>
      <c r="K398" s="8">
        <v>45302</v>
      </c>
      <c r="L398" s="6">
        <v>60000.6</v>
      </c>
      <c r="M398" s="6">
        <v>30000.25</v>
      </c>
      <c r="N398" s="6">
        <v>665</v>
      </c>
      <c r="O398" s="6">
        <v>115000</v>
      </c>
      <c r="P398" s="6" t="s">
        <v>26</v>
      </c>
      <c r="Q398" s="6" t="s">
        <v>27</v>
      </c>
      <c r="R398" s="6">
        <v>0</v>
      </c>
      <c r="S398" s="6" t="s">
        <v>28</v>
      </c>
      <c r="T398" s="7">
        <f t="shared" si="30"/>
        <v>0.26087173913043477</v>
      </c>
      <c r="U398" s="6">
        <f t="shared" si="31"/>
        <v>4</v>
      </c>
      <c r="V398" s="5" t="str">
        <f t="shared" si="32"/>
        <v>FAIR</v>
      </c>
      <c r="W398" s="6" t="str">
        <f t="shared" si="33"/>
        <v>45-54</v>
      </c>
      <c r="X398" s="6" t="str">
        <f t="shared" si="34"/>
        <v>Lower-Middle</v>
      </c>
    </row>
    <row r="399" spans="1:24">
      <c r="A399" s="6" t="s">
        <v>545</v>
      </c>
      <c r="B399" s="6" t="s">
        <v>1099</v>
      </c>
      <c r="C399" s="6" t="s">
        <v>46</v>
      </c>
      <c r="D399" s="6" t="s">
        <v>241</v>
      </c>
      <c r="E399" s="6" t="s">
        <v>389</v>
      </c>
      <c r="F399" s="6">
        <v>41</v>
      </c>
      <c r="G399" s="6" t="s">
        <v>24</v>
      </c>
      <c r="H399" s="6" t="s">
        <v>1100</v>
      </c>
      <c r="I399" s="6" t="s">
        <v>3862</v>
      </c>
      <c r="J399" s="8">
        <v>44607</v>
      </c>
      <c r="K399" s="8">
        <v>45303</v>
      </c>
      <c r="L399" s="6">
        <v>83300.800000000003</v>
      </c>
      <c r="M399" s="6">
        <v>37500.400000000001</v>
      </c>
      <c r="N399" s="6">
        <v>750</v>
      </c>
      <c r="O399" s="6">
        <v>141000</v>
      </c>
      <c r="P399" s="6" t="s">
        <v>26</v>
      </c>
      <c r="Q399" s="6" t="s">
        <v>27</v>
      </c>
      <c r="R399" s="6">
        <v>0</v>
      </c>
      <c r="S399" s="6" t="s">
        <v>28</v>
      </c>
      <c r="T399" s="7">
        <f t="shared" si="30"/>
        <v>0.26596028368794328</v>
      </c>
      <c r="U399" s="6">
        <f t="shared" si="31"/>
        <v>3</v>
      </c>
      <c r="V399" s="5" t="str">
        <f t="shared" si="32"/>
        <v>VERY GOOD</v>
      </c>
      <c r="W399" s="6" t="str">
        <f t="shared" si="33"/>
        <v>35-44</v>
      </c>
      <c r="X399" s="6" t="str">
        <f t="shared" si="34"/>
        <v>Upper-Middle</v>
      </c>
    </row>
    <row r="400" spans="1:24">
      <c r="A400" s="6" t="s">
        <v>548</v>
      </c>
      <c r="B400" s="6" t="s">
        <v>1101</v>
      </c>
      <c r="C400" s="6" t="s">
        <v>57</v>
      </c>
      <c r="D400" s="6" t="s">
        <v>22</v>
      </c>
      <c r="E400" s="6" t="s">
        <v>381</v>
      </c>
      <c r="F400" s="6">
        <v>37</v>
      </c>
      <c r="G400" s="6" t="s">
        <v>34</v>
      </c>
      <c r="H400" s="6" t="s">
        <v>1102</v>
      </c>
      <c r="I400" s="6" t="s">
        <v>3863</v>
      </c>
      <c r="J400" s="8">
        <v>44795</v>
      </c>
      <c r="K400" s="8">
        <v>45305</v>
      </c>
      <c r="L400" s="6">
        <v>22200.9</v>
      </c>
      <c r="M400" s="6">
        <v>9200.75</v>
      </c>
      <c r="N400" s="6">
        <v>770</v>
      </c>
      <c r="O400" s="6">
        <v>72000</v>
      </c>
      <c r="P400" s="6" t="s">
        <v>36</v>
      </c>
      <c r="Q400" s="6" t="s">
        <v>27</v>
      </c>
      <c r="R400" s="6">
        <v>0</v>
      </c>
      <c r="S400" s="6" t="s">
        <v>28</v>
      </c>
      <c r="T400" s="7">
        <f t="shared" si="30"/>
        <v>0.12778819444444445</v>
      </c>
      <c r="U400" s="6">
        <f t="shared" si="31"/>
        <v>1</v>
      </c>
      <c r="V400" s="5" t="str">
        <f t="shared" si="32"/>
        <v>VERY GOOD</v>
      </c>
      <c r="W400" s="6" t="str">
        <f t="shared" si="33"/>
        <v>35-44</v>
      </c>
      <c r="X400" s="6" t="str">
        <f t="shared" si="34"/>
        <v>Low</v>
      </c>
    </row>
    <row r="401" spans="1:24">
      <c r="A401" s="6" t="s">
        <v>551</v>
      </c>
      <c r="B401" s="6" t="s">
        <v>1103</v>
      </c>
      <c r="C401" s="6" t="s">
        <v>39</v>
      </c>
      <c r="D401" s="6" t="s">
        <v>313</v>
      </c>
      <c r="E401" s="6" t="s">
        <v>501</v>
      </c>
      <c r="F401" s="6">
        <v>60</v>
      </c>
      <c r="G401" s="6" t="s">
        <v>24</v>
      </c>
      <c r="H401" s="6" t="s">
        <v>1104</v>
      </c>
      <c r="I401" s="6" t="s">
        <v>3864</v>
      </c>
      <c r="J401" s="8">
        <v>43208</v>
      </c>
      <c r="K401" s="8">
        <v>45299</v>
      </c>
      <c r="L401" s="6">
        <v>199400.25</v>
      </c>
      <c r="M401" s="6">
        <v>96000.8</v>
      </c>
      <c r="N401" s="6">
        <v>645</v>
      </c>
      <c r="O401" s="6">
        <v>212000</v>
      </c>
      <c r="P401" s="6" t="s">
        <v>76</v>
      </c>
      <c r="Q401" s="6" t="s">
        <v>27</v>
      </c>
      <c r="R401" s="6">
        <v>0</v>
      </c>
      <c r="S401" s="6" t="s">
        <v>28</v>
      </c>
      <c r="T401" s="7">
        <f t="shared" si="30"/>
        <v>0.45283396226415096</v>
      </c>
      <c r="U401" s="6">
        <f t="shared" si="31"/>
        <v>7</v>
      </c>
      <c r="V401" s="5" t="str">
        <f t="shared" si="32"/>
        <v>FAIR</v>
      </c>
      <c r="W401" s="6" t="str">
        <f t="shared" si="33"/>
        <v>55+</v>
      </c>
      <c r="X401" s="6" t="str">
        <f t="shared" si="34"/>
        <v>High</v>
      </c>
    </row>
    <row r="402" spans="1:24">
      <c r="A402" s="6" t="s">
        <v>554</v>
      </c>
      <c r="B402" s="6" t="s">
        <v>1105</v>
      </c>
      <c r="C402" s="6" t="s">
        <v>31</v>
      </c>
      <c r="D402" s="6" t="s">
        <v>214</v>
      </c>
      <c r="E402" s="6" t="s">
        <v>483</v>
      </c>
      <c r="F402" s="6">
        <v>33</v>
      </c>
      <c r="G402" s="6" t="s">
        <v>34</v>
      </c>
      <c r="H402" s="6" t="s">
        <v>1106</v>
      </c>
      <c r="I402" s="6" t="s">
        <v>3865</v>
      </c>
      <c r="J402" s="8">
        <v>45242</v>
      </c>
      <c r="K402" s="8">
        <v>45306</v>
      </c>
      <c r="L402" s="6">
        <v>17200.5</v>
      </c>
      <c r="M402" s="6">
        <v>8800.4</v>
      </c>
      <c r="N402" s="6">
        <v>720</v>
      </c>
      <c r="O402" s="6">
        <v>49000</v>
      </c>
      <c r="P402" s="6" t="s">
        <v>36</v>
      </c>
      <c r="Q402" s="6" t="s">
        <v>27</v>
      </c>
      <c r="R402" s="6">
        <v>0</v>
      </c>
      <c r="S402" s="6" t="s">
        <v>28</v>
      </c>
      <c r="T402" s="7">
        <f t="shared" si="30"/>
        <v>0.17959999999999998</v>
      </c>
      <c r="U402" s="6">
        <f t="shared" si="31"/>
        <v>0</v>
      </c>
      <c r="V402" s="5" t="str">
        <f t="shared" si="32"/>
        <v>GOOD</v>
      </c>
      <c r="W402" s="6" t="str">
        <f t="shared" si="33"/>
        <v>25-34</v>
      </c>
      <c r="X402" s="6" t="str">
        <f t="shared" si="34"/>
        <v>Low</v>
      </c>
    </row>
    <row r="403" spans="1:24">
      <c r="A403" s="6" t="s">
        <v>108</v>
      </c>
      <c r="B403" s="6" t="s">
        <v>1107</v>
      </c>
      <c r="C403" s="6" t="s">
        <v>84</v>
      </c>
      <c r="D403" s="6" t="s">
        <v>32</v>
      </c>
      <c r="E403" s="6" t="s">
        <v>33</v>
      </c>
      <c r="F403" s="6">
        <v>29</v>
      </c>
      <c r="G403" s="6" t="s">
        <v>24</v>
      </c>
      <c r="H403" s="6" t="s">
        <v>1108</v>
      </c>
      <c r="I403" s="6" t="s">
        <v>3634</v>
      </c>
      <c r="J403" s="8">
        <v>45309</v>
      </c>
      <c r="K403" s="8">
        <v>45304</v>
      </c>
      <c r="L403" s="6">
        <v>2550.8000000000002</v>
      </c>
      <c r="M403" s="6">
        <v>10000.25</v>
      </c>
      <c r="N403" s="6">
        <v>605</v>
      </c>
      <c r="O403" s="6">
        <v>25000</v>
      </c>
      <c r="P403" s="6" t="s">
        <v>76</v>
      </c>
      <c r="Q403" s="6" t="s">
        <v>43</v>
      </c>
      <c r="R403" s="6">
        <v>0</v>
      </c>
      <c r="S403" s="6" t="s">
        <v>28</v>
      </c>
      <c r="T403" s="7">
        <f t="shared" si="30"/>
        <v>0.40000999999999998</v>
      </c>
      <c r="U403" s="6">
        <f t="shared" si="31"/>
        <v>2</v>
      </c>
      <c r="V403" s="5" t="str">
        <f t="shared" si="32"/>
        <v>FAIR</v>
      </c>
      <c r="W403" s="6" t="str">
        <f t="shared" si="33"/>
        <v>25-34</v>
      </c>
      <c r="X403" s="6" t="str">
        <f t="shared" si="34"/>
        <v>Low</v>
      </c>
    </row>
    <row r="404" spans="1:24">
      <c r="A404" s="6" t="s">
        <v>559</v>
      </c>
      <c r="B404" s="6" t="s">
        <v>1109</v>
      </c>
      <c r="C404" s="6" t="s">
        <v>46</v>
      </c>
      <c r="D404" s="6" t="s">
        <v>254</v>
      </c>
      <c r="E404" s="6" t="s">
        <v>255</v>
      </c>
      <c r="F404" s="6">
        <v>43</v>
      </c>
      <c r="G404" s="6" t="s">
        <v>34</v>
      </c>
      <c r="H404" s="6" t="s">
        <v>1110</v>
      </c>
      <c r="I404" s="6" t="s">
        <v>3866</v>
      </c>
      <c r="J404" s="8">
        <v>44491</v>
      </c>
      <c r="K404" s="8">
        <v>45302</v>
      </c>
      <c r="L404" s="6">
        <v>70000.399999999994</v>
      </c>
      <c r="M404" s="6">
        <v>32200.75</v>
      </c>
      <c r="N404" s="6">
        <v>710</v>
      </c>
      <c r="O404" s="6">
        <v>123000</v>
      </c>
      <c r="P404" s="6" t="s">
        <v>26</v>
      </c>
      <c r="Q404" s="6" t="s">
        <v>27</v>
      </c>
      <c r="R404" s="6">
        <v>0</v>
      </c>
      <c r="S404" s="6" t="s">
        <v>28</v>
      </c>
      <c r="T404" s="7">
        <f t="shared" si="30"/>
        <v>0.26179471544715449</v>
      </c>
      <c r="U404" s="6">
        <f t="shared" si="31"/>
        <v>4</v>
      </c>
      <c r="V404" s="5" t="str">
        <f t="shared" si="32"/>
        <v>GOOD</v>
      </c>
      <c r="W404" s="6" t="str">
        <f t="shared" si="33"/>
        <v>35-44</v>
      </c>
      <c r="X404" s="6" t="str">
        <f t="shared" si="34"/>
        <v>Lower-Middle</v>
      </c>
    </row>
    <row r="405" spans="1:24">
      <c r="A405" s="6" t="s">
        <v>562</v>
      </c>
      <c r="B405" s="6" t="s">
        <v>1111</v>
      </c>
      <c r="C405" s="6" t="s">
        <v>39</v>
      </c>
      <c r="D405" s="6" t="s">
        <v>47</v>
      </c>
      <c r="E405" s="6" t="s">
        <v>48</v>
      </c>
      <c r="F405" s="6">
        <v>57</v>
      </c>
      <c r="G405" s="6" t="s">
        <v>24</v>
      </c>
      <c r="H405" s="6" t="s">
        <v>1112</v>
      </c>
      <c r="I405" s="6" t="s">
        <v>3867</v>
      </c>
      <c r="J405" s="8">
        <v>43358</v>
      </c>
      <c r="K405" s="8">
        <v>45300</v>
      </c>
      <c r="L405" s="6">
        <v>179600.6</v>
      </c>
      <c r="M405" s="6">
        <v>89000.25</v>
      </c>
      <c r="N405" s="6">
        <v>675</v>
      </c>
      <c r="O405" s="6">
        <v>192000</v>
      </c>
      <c r="P405" s="6" t="s">
        <v>76</v>
      </c>
      <c r="Q405" s="6" t="s">
        <v>27</v>
      </c>
      <c r="R405" s="6">
        <v>0</v>
      </c>
      <c r="S405" s="6" t="s">
        <v>28</v>
      </c>
      <c r="T405" s="7">
        <f t="shared" si="30"/>
        <v>0.46354296875000001</v>
      </c>
      <c r="U405" s="6">
        <f t="shared" si="31"/>
        <v>6</v>
      </c>
      <c r="V405" s="5" t="str">
        <f t="shared" si="32"/>
        <v>GOOD</v>
      </c>
      <c r="W405" s="6" t="str">
        <f t="shared" si="33"/>
        <v>55+</v>
      </c>
      <c r="X405" s="6" t="str">
        <f t="shared" si="34"/>
        <v>High</v>
      </c>
    </row>
    <row r="406" spans="1:24">
      <c r="A406" s="6" t="s">
        <v>565</v>
      </c>
      <c r="B406" s="6" t="s">
        <v>1113</v>
      </c>
      <c r="C406" s="6" t="s">
        <v>52</v>
      </c>
      <c r="D406" s="6" t="s">
        <v>233</v>
      </c>
      <c r="E406" s="6" t="s">
        <v>296</v>
      </c>
      <c r="F406" s="6">
        <v>42</v>
      </c>
      <c r="G406" s="6" t="s">
        <v>34</v>
      </c>
      <c r="H406" s="6" t="s">
        <v>1114</v>
      </c>
      <c r="I406" s="6" t="s">
        <v>3557</v>
      </c>
      <c r="J406" s="8">
        <v>44283</v>
      </c>
      <c r="K406" s="8">
        <v>45301</v>
      </c>
      <c r="L406" s="6">
        <v>46400.75</v>
      </c>
      <c r="M406" s="6">
        <v>23300.799999999999</v>
      </c>
      <c r="N406" s="6">
        <v>725</v>
      </c>
      <c r="O406" s="6">
        <v>89000</v>
      </c>
      <c r="P406" s="6" t="s">
        <v>26</v>
      </c>
      <c r="Q406" s="6" t="s">
        <v>27</v>
      </c>
      <c r="R406" s="6">
        <v>0</v>
      </c>
      <c r="S406" s="6" t="s">
        <v>28</v>
      </c>
      <c r="T406" s="7">
        <f t="shared" si="30"/>
        <v>0.26180674157303369</v>
      </c>
      <c r="U406" s="6">
        <f t="shared" si="31"/>
        <v>5</v>
      </c>
      <c r="V406" s="5" t="str">
        <f t="shared" si="32"/>
        <v>GOOD</v>
      </c>
      <c r="W406" s="6" t="str">
        <f t="shared" si="33"/>
        <v>35-44</v>
      </c>
      <c r="X406" s="6" t="str">
        <f t="shared" si="34"/>
        <v>Lower-Middle</v>
      </c>
    </row>
    <row r="407" spans="1:24">
      <c r="A407" s="6" t="s">
        <v>568</v>
      </c>
      <c r="B407" s="6" t="s">
        <v>1115</v>
      </c>
      <c r="C407" s="6" t="s">
        <v>57</v>
      </c>
      <c r="D407" s="6" t="s">
        <v>79</v>
      </c>
      <c r="E407" s="6" t="s">
        <v>102</v>
      </c>
      <c r="F407" s="6">
        <v>40</v>
      </c>
      <c r="G407" s="6" t="s">
        <v>24</v>
      </c>
      <c r="H407" s="6" t="s">
        <v>1116</v>
      </c>
      <c r="I407" s="6" t="s">
        <v>3519</v>
      </c>
      <c r="J407" s="8">
        <v>44740</v>
      </c>
      <c r="K407" s="8">
        <v>45303</v>
      </c>
      <c r="L407" s="6">
        <v>24400.400000000001</v>
      </c>
      <c r="M407" s="6">
        <v>10000.9</v>
      </c>
      <c r="N407" s="6">
        <v>740</v>
      </c>
      <c r="O407" s="6">
        <v>75000</v>
      </c>
      <c r="P407" s="6" t="s">
        <v>36</v>
      </c>
      <c r="Q407" s="6" t="s">
        <v>27</v>
      </c>
      <c r="R407" s="6">
        <v>0</v>
      </c>
      <c r="S407" s="6" t="s">
        <v>28</v>
      </c>
      <c r="T407" s="7">
        <f t="shared" si="30"/>
        <v>0.13334533333333332</v>
      </c>
      <c r="U407" s="6">
        <f t="shared" si="31"/>
        <v>3</v>
      </c>
      <c r="V407" s="5" t="str">
        <f t="shared" si="32"/>
        <v>GOOD</v>
      </c>
      <c r="W407" s="6" t="str">
        <f t="shared" si="33"/>
        <v>35-44</v>
      </c>
      <c r="X407" s="6" t="str">
        <f t="shared" si="34"/>
        <v>Lower-Middle</v>
      </c>
    </row>
    <row r="408" spans="1:24">
      <c r="A408" s="6" t="s">
        <v>571</v>
      </c>
      <c r="B408" s="6" t="s">
        <v>1117</v>
      </c>
      <c r="C408" s="6" t="s">
        <v>21</v>
      </c>
      <c r="D408" s="6" t="s">
        <v>63</v>
      </c>
      <c r="E408" s="6" t="s">
        <v>106</v>
      </c>
      <c r="F408" s="6">
        <v>63</v>
      </c>
      <c r="G408" s="6" t="s">
        <v>34</v>
      </c>
      <c r="H408" s="6" t="s">
        <v>1118</v>
      </c>
      <c r="I408" s="6" t="s">
        <v>3868</v>
      </c>
      <c r="J408" s="8">
        <v>42914</v>
      </c>
      <c r="K408" s="8">
        <v>45299</v>
      </c>
      <c r="L408" s="6">
        <v>268500.90000000002</v>
      </c>
      <c r="M408" s="6">
        <v>79000.600000000006</v>
      </c>
      <c r="N408" s="6">
        <v>830</v>
      </c>
      <c r="O408" s="6">
        <v>287000</v>
      </c>
      <c r="P408" s="6" t="s">
        <v>36</v>
      </c>
      <c r="Q408" s="6" t="s">
        <v>27</v>
      </c>
      <c r="R408" s="6">
        <v>0</v>
      </c>
      <c r="S408" s="6" t="s">
        <v>28</v>
      </c>
      <c r="T408" s="7">
        <f t="shared" si="30"/>
        <v>0.27526341463414639</v>
      </c>
      <c r="U408" s="6">
        <f t="shared" si="31"/>
        <v>7</v>
      </c>
      <c r="V408" s="5" t="str">
        <f t="shared" si="32"/>
        <v>EXCEPTIONAL</v>
      </c>
      <c r="W408" s="6" t="str">
        <f t="shared" si="33"/>
        <v>55+</v>
      </c>
      <c r="X408" s="6" t="str">
        <f t="shared" si="34"/>
        <v>High</v>
      </c>
    </row>
    <row r="409" spans="1:24">
      <c r="A409" s="6" t="s">
        <v>574</v>
      </c>
      <c r="B409" s="6" t="s">
        <v>1119</v>
      </c>
      <c r="C409" s="6" t="s">
        <v>39</v>
      </c>
      <c r="D409" s="6" t="s">
        <v>68</v>
      </c>
      <c r="E409" s="6" t="s">
        <v>179</v>
      </c>
      <c r="F409" s="6">
        <v>55</v>
      </c>
      <c r="G409" s="6" t="s">
        <v>24</v>
      </c>
      <c r="H409" s="6" t="s">
        <v>1120</v>
      </c>
      <c r="I409" s="6" t="s">
        <v>3869</v>
      </c>
      <c r="J409" s="8">
        <v>43518</v>
      </c>
      <c r="K409" s="8">
        <v>45300</v>
      </c>
      <c r="L409" s="6">
        <v>157400.25</v>
      </c>
      <c r="M409" s="6">
        <v>81000.399999999994</v>
      </c>
      <c r="N409" s="6">
        <v>655</v>
      </c>
      <c r="O409" s="6">
        <v>177000</v>
      </c>
      <c r="P409" s="6" t="s">
        <v>76</v>
      </c>
      <c r="Q409" s="6" t="s">
        <v>27</v>
      </c>
      <c r="R409" s="6">
        <v>0</v>
      </c>
      <c r="S409" s="6" t="s">
        <v>28</v>
      </c>
      <c r="T409" s="7">
        <f t="shared" si="30"/>
        <v>0.45762937853107344</v>
      </c>
      <c r="U409" s="6">
        <f t="shared" si="31"/>
        <v>6</v>
      </c>
      <c r="V409" s="5" t="str">
        <f t="shared" si="32"/>
        <v>FAIR</v>
      </c>
      <c r="W409" s="6" t="str">
        <f t="shared" si="33"/>
        <v>55+</v>
      </c>
      <c r="X409" s="6" t="str">
        <f t="shared" si="34"/>
        <v>Upper-Middle</v>
      </c>
    </row>
    <row r="410" spans="1:24">
      <c r="A410" s="6" t="s">
        <v>577</v>
      </c>
      <c r="B410" s="6" t="s">
        <v>1121</v>
      </c>
      <c r="C410" s="6" t="s">
        <v>46</v>
      </c>
      <c r="D410" s="6" t="s">
        <v>85</v>
      </c>
      <c r="E410" s="6" t="s">
        <v>130</v>
      </c>
      <c r="F410" s="6">
        <v>44</v>
      </c>
      <c r="G410" s="6" t="s">
        <v>34</v>
      </c>
      <c r="H410" s="6" t="s">
        <v>1122</v>
      </c>
      <c r="I410" s="6" t="s">
        <v>3870</v>
      </c>
      <c r="J410" s="8">
        <v>44399</v>
      </c>
      <c r="K410" s="8">
        <v>45302</v>
      </c>
      <c r="L410" s="6">
        <v>88900.6</v>
      </c>
      <c r="M410" s="6">
        <v>40200.75</v>
      </c>
      <c r="N410" s="6">
        <v>760</v>
      </c>
      <c r="O410" s="6">
        <v>146000</v>
      </c>
      <c r="P410" s="6" t="s">
        <v>26</v>
      </c>
      <c r="Q410" s="6" t="s">
        <v>27</v>
      </c>
      <c r="R410" s="6">
        <v>0</v>
      </c>
      <c r="S410" s="6" t="s">
        <v>28</v>
      </c>
      <c r="T410" s="7">
        <f t="shared" si="30"/>
        <v>0.27534760273972603</v>
      </c>
      <c r="U410" s="6">
        <f t="shared" si="31"/>
        <v>4</v>
      </c>
      <c r="V410" s="5" t="str">
        <f t="shared" si="32"/>
        <v>VERY GOOD</v>
      </c>
      <c r="W410" s="6" t="str">
        <f t="shared" si="33"/>
        <v>35-44</v>
      </c>
      <c r="X410" s="6" t="str">
        <f t="shared" si="34"/>
        <v>Upper-Middle</v>
      </c>
    </row>
    <row r="411" spans="1:24">
      <c r="A411" s="6" t="s">
        <v>458</v>
      </c>
      <c r="B411" s="6" t="s">
        <v>1123</v>
      </c>
      <c r="C411" s="6" t="s">
        <v>31</v>
      </c>
      <c r="D411" s="6" t="s">
        <v>460</v>
      </c>
      <c r="E411" s="6" t="s">
        <v>461</v>
      </c>
      <c r="F411" s="6">
        <v>35</v>
      </c>
      <c r="G411" s="6" t="s">
        <v>24</v>
      </c>
      <c r="H411" s="6" t="s">
        <v>1124</v>
      </c>
      <c r="I411" s="6" t="s">
        <v>3871</v>
      </c>
      <c r="J411" s="8">
        <v>45187</v>
      </c>
      <c r="K411" s="8">
        <v>45306</v>
      </c>
      <c r="L411" s="6">
        <v>11900.25</v>
      </c>
      <c r="M411" s="6">
        <v>7000.8</v>
      </c>
      <c r="N411" s="6">
        <v>695</v>
      </c>
      <c r="O411" s="6">
        <v>46000</v>
      </c>
      <c r="P411" s="6" t="s">
        <v>26</v>
      </c>
      <c r="Q411" s="6" t="s">
        <v>43</v>
      </c>
      <c r="R411" s="6">
        <v>0</v>
      </c>
      <c r="S411" s="6" t="s">
        <v>28</v>
      </c>
      <c r="T411" s="7">
        <f t="shared" si="30"/>
        <v>0.1521913043478261</v>
      </c>
      <c r="U411" s="6">
        <f t="shared" si="31"/>
        <v>0</v>
      </c>
      <c r="V411" s="5" t="str">
        <f t="shared" si="32"/>
        <v>GOOD</v>
      </c>
      <c r="W411" s="6" t="str">
        <f t="shared" si="33"/>
        <v>35-44</v>
      </c>
      <c r="X411" s="6" t="str">
        <f t="shared" si="34"/>
        <v>Low</v>
      </c>
    </row>
    <row r="412" spans="1:24">
      <c r="A412" s="6" t="s">
        <v>582</v>
      </c>
      <c r="B412" s="6" t="s">
        <v>1125</v>
      </c>
      <c r="C412" s="6" t="s">
        <v>57</v>
      </c>
      <c r="D412" s="6" t="s">
        <v>22</v>
      </c>
      <c r="E412" s="6" t="s">
        <v>53</v>
      </c>
      <c r="F412" s="6">
        <v>38</v>
      </c>
      <c r="G412" s="6" t="s">
        <v>34</v>
      </c>
      <c r="H412" s="6" t="s">
        <v>1126</v>
      </c>
      <c r="I412" s="6" t="s">
        <v>3872</v>
      </c>
      <c r="J412" s="8">
        <v>44679</v>
      </c>
      <c r="K412" s="8">
        <v>45303</v>
      </c>
      <c r="L412" s="6">
        <v>23300.9</v>
      </c>
      <c r="M412" s="6">
        <v>9600.25</v>
      </c>
      <c r="N412" s="6">
        <v>755</v>
      </c>
      <c r="O412" s="6">
        <v>68000</v>
      </c>
      <c r="P412" s="6" t="s">
        <v>36</v>
      </c>
      <c r="Q412" s="6" t="s">
        <v>27</v>
      </c>
      <c r="R412" s="6">
        <v>0</v>
      </c>
      <c r="S412" s="6" t="s">
        <v>28</v>
      </c>
      <c r="T412" s="7">
        <f t="shared" si="30"/>
        <v>0.14118014705882354</v>
      </c>
      <c r="U412" s="6">
        <f t="shared" si="31"/>
        <v>3</v>
      </c>
      <c r="V412" s="5" t="str">
        <f t="shared" si="32"/>
        <v>VERY GOOD</v>
      </c>
      <c r="W412" s="6" t="str">
        <f t="shared" si="33"/>
        <v>35-44</v>
      </c>
      <c r="X412" s="6" t="str">
        <f t="shared" si="34"/>
        <v>Low</v>
      </c>
    </row>
    <row r="413" spans="1:24">
      <c r="A413" s="6" t="s">
        <v>55</v>
      </c>
      <c r="B413" s="6" t="s">
        <v>1127</v>
      </c>
      <c r="C413" s="6" t="s">
        <v>39</v>
      </c>
      <c r="D413" s="6" t="s">
        <v>58</v>
      </c>
      <c r="E413" s="6" t="s">
        <v>122</v>
      </c>
      <c r="F413" s="6">
        <v>56</v>
      </c>
      <c r="G413" s="6" t="s">
        <v>24</v>
      </c>
      <c r="H413" s="6" t="s">
        <v>1128</v>
      </c>
      <c r="I413" s="6" t="s">
        <v>3873</v>
      </c>
      <c r="J413" s="8">
        <v>43432</v>
      </c>
      <c r="K413" s="8">
        <v>45300</v>
      </c>
      <c r="L413" s="6">
        <v>190300.4</v>
      </c>
      <c r="M413" s="6">
        <v>94000.75</v>
      </c>
      <c r="N413" s="6">
        <v>685</v>
      </c>
      <c r="O413" s="6">
        <v>202000</v>
      </c>
      <c r="P413" s="6" t="s">
        <v>76</v>
      </c>
      <c r="Q413" s="6" t="s">
        <v>27</v>
      </c>
      <c r="R413" s="6">
        <v>0</v>
      </c>
      <c r="S413" s="6" t="s">
        <v>28</v>
      </c>
      <c r="T413" s="7">
        <f t="shared" si="30"/>
        <v>0.46535024752475246</v>
      </c>
      <c r="U413" s="6">
        <f t="shared" si="31"/>
        <v>6</v>
      </c>
      <c r="V413" s="5" t="str">
        <f t="shared" si="32"/>
        <v>GOOD</v>
      </c>
      <c r="W413" s="6" t="str">
        <f t="shared" si="33"/>
        <v>55+</v>
      </c>
      <c r="X413" s="6" t="str">
        <f t="shared" si="34"/>
        <v>High</v>
      </c>
    </row>
    <row r="414" spans="1:24">
      <c r="A414" s="6" t="s">
        <v>469</v>
      </c>
      <c r="B414" s="6" t="s">
        <v>1129</v>
      </c>
      <c r="C414" s="6" t="s">
        <v>52</v>
      </c>
      <c r="D414" s="6" t="s">
        <v>471</v>
      </c>
      <c r="E414" s="6" t="s">
        <v>472</v>
      </c>
      <c r="F414" s="6">
        <v>47</v>
      </c>
      <c r="G414" s="6" t="s">
        <v>34</v>
      </c>
      <c r="H414" s="6" t="s">
        <v>1130</v>
      </c>
      <c r="I414" s="6" t="s">
        <v>3874</v>
      </c>
      <c r="J414" s="8">
        <v>44058</v>
      </c>
      <c r="K414" s="8">
        <v>45301</v>
      </c>
      <c r="L414" s="6">
        <v>53300.800000000003</v>
      </c>
      <c r="M414" s="6">
        <v>26400.6</v>
      </c>
      <c r="N414" s="6">
        <v>715</v>
      </c>
      <c r="O414" s="6">
        <v>101000</v>
      </c>
      <c r="P414" s="6" t="s">
        <v>26</v>
      </c>
      <c r="Q414" s="6" t="s">
        <v>27</v>
      </c>
      <c r="R414" s="6">
        <v>0</v>
      </c>
      <c r="S414" s="6" t="s">
        <v>28</v>
      </c>
      <c r="T414" s="7">
        <f t="shared" si="30"/>
        <v>0.26139207920792079</v>
      </c>
      <c r="U414" s="6">
        <f t="shared" si="31"/>
        <v>5</v>
      </c>
      <c r="V414" s="5" t="str">
        <f t="shared" si="32"/>
        <v>GOOD</v>
      </c>
      <c r="W414" s="6" t="str">
        <f t="shared" si="33"/>
        <v>45-54</v>
      </c>
      <c r="X414" s="6" t="str">
        <f t="shared" si="34"/>
        <v>Lower-Middle</v>
      </c>
    </row>
    <row r="415" spans="1:24">
      <c r="A415" s="6" t="s">
        <v>474</v>
      </c>
      <c r="B415" s="6" t="s">
        <v>1131</v>
      </c>
      <c r="C415" s="6" t="s">
        <v>46</v>
      </c>
      <c r="D415" s="6" t="s">
        <v>345</v>
      </c>
      <c r="E415" s="6" t="s">
        <v>476</v>
      </c>
      <c r="F415" s="6">
        <v>50</v>
      </c>
      <c r="G415" s="6" t="s">
        <v>24</v>
      </c>
      <c r="H415" s="6" t="s">
        <v>1132</v>
      </c>
      <c r="I415" s="6" t="s">
        <v>3875</v>
      </c>
      <c r="J415" s="8">
        <v>43973</v>
      </c>
      <c r="K415" s="8">
        <v>45302</v>
      </c>
      <c r="L415" s="6">
        <v>81100.25</v>
      </c>
      <c r="M415" s="6">
        <v>36400.400000000001</v>
      </c>
      <c r="N415" s="6">
        <v>680</v>
      </c>
      <c r="O415" s="6">
        <v>130000</v>
      </c>
      <c r="P415" s="6" t="s">
        <v>26</v>
      </c>
      <c r="Q415" s="6" t="s">
        <v>27</v>
      </c>
      <c r="R415" s="6">
        <v>0</v>
      </c>
      <c r="S415" s="6" t="s">
        <v>28</v>
      </c>
      <c r="T415" s="7">
        <f t="shared" si="30"/>
        <v>0.28000307692307691</v>
      </c>
      <c r="U415" s="6">
        <f t="shared" si="31"/>
        <v>4</v>
      </c>
      <c r="V415" s="5" t="str">
        <f t="shared" si="32"/>
        <v>GOOD</v>
      </c>
      <c r="W415" s="6" t="str">
        <f t="shared" si="33"/>
        <v>45-54</v>
      </c>
      <c r="X415" s="6" t="str">
        <f t="shared" si="34"/>
        <v>Upper-Middle</v>
      </c>
    </row>
    <row r="416" spans="1:24">
      <c r="A416" s="6" t="s">
        <v>592</v>
      </c>
      <c r="B416" s="6" t="s">
        <v>1133</v>
      </c>
      <c r="C416" s="6" t="s">
        <v>84</v>
      </c>
      <c r="D416" s="6" t="s">
        <v>32</v>
      </c>
      <c r="E416" s="6" t="s">
        <v>90</v>
      </c>
      <c r="F416" s="6">
        <v>30</v>
      </c>
      <c r="G416" s="6" t="s">
        <v>34</v>
      </c>
      <c r="H416" s="6" t="s">
        <v>1134</v>
      </c>
      <c r="I416" s="6" t="s">
        <v>3667</v>
      </c>
      <c r="J416" s="8">
        <v>45313</v>
      </c>
      <c r="K416" s="8">
        <v>45304</v>
      </c>
      <c r="L416" s="6">
        <v>2650.4</v>
      </c>
      <c r="M416" s="6">
        <v>10600.75</v>
      </c>
      <c r="N416" s="6">
        <v>610</v>
      </c>
      <c r="O416" s="6">
        <v>26000</v>
      </c>
      <c r="P416" s="6" t="s">
        <v>76</v>
      </c>
      <c r="Q416" s="6" t="s">
        <v>43</v>
      </c>
      <c r="R416" s="6">
        <v>0</v>
      </c>
      <c r="S416" s="6" t="s">
        <v>28</v>
      </c>
      <c r="T416" s="7">
        <f t="shared" si="30"/>
        <v>0.40772115384615387</v>
      </c>
      <c r="U416" s="6">
        <f t="shared" si="31"/>
        <v>2</v>
      </c>
      <c r="V416" s="5" t="str">
        <f t="shared" si="32"/>
        <v>FAIR</v>
      </c>
      <c r="W416" s="6" t="str">
        <f t="shared" si="33"/>
        <v>25-34</v>
      </c>
      <c r="X416" s="6" t="str">
        <f t="shared" si="34"/>
        <v>Low</v>
      </c>
    </row>
    <row r="417" spans="1:24">
      <c r="A417" s="6" t="s">
        <v>595</v>
      </c>
      <c r="B417" s="6" t="s">
        <v>1135</v>
      </c>
      <c r="C417" s="6" t="s">
        <v>21</v>
      </c>
      <c r="D417" s="6" t="s">
        <v>209</v>
      </c>
      <c r="E417" s="6" t="s">
        <v>210</v>
      </c>
      <c r="F417" s="6">
        <v>62</v>
      </c>
      <c r="G417" s="6" t="s">
        <v>24</v>
      </c>
      <c r="H417" s="6" t="s">
        <v>1136</v>
      </c>
      <c r="I417" s="6" t="s">
        <v>3552</v>
      </c>
      <c r="J417" s="8">
        <v>43108</v>
      </c>
      <c r="K417" s="8">
        <v>45299</v>
      </c>
      <c r="L417" s="6">
        <v>288300.79999999999</v>
      </c>
      <c r="M417" s="6">
        <v>85000.25</v>
      </c>
      <c r="N417" s="6">
        <v>825</v>
      </c>
      <c r="O417" s="6">
        <v>282000</v>
      </c>
      <c r="P417" s="6" t="s">
        <v>36</v>
      </c>
      <c r="Q417" s="6" t="s">
        <v>27</v>
      </c>
      <c r="R417" s="6">
        <v>0</v>
      </c>
      <c r="S417" s="6" t="s">
        <v>28</v>
      </c>
      <c r="T417" s="7">
        <f t="shared" si="30"/>
        <v>0.30141932624113477</v>
      </c>
      <c r="U417" s="6">
        <f t="shared" si="31"/>
        <v>7</v>
      </c>
      <c r="V417" s="5" t="str">
        <f t="shared" si="32"/>
        <v>EXCEPTIONAL</v>
      </c>
      <c r="W417" s="6" t="str">
        <f t="shared" si="33"/>
        <v>55+</v>
      </c>
      <c r="X417" s="6" t="str">
        <f t="shared" si="34"/>
        <v>High</v>
      </c>
    </row>
    <row r="418" spans="1:24">
      <c r="A418" s="6" t="s">
        <v>226</v>
      </c>
      <c r="B418" s="6" t="s">
        <v>1137</v>
      </c>
      <c r="C418" s="6" t="s">
        <v>57</v>
      </c>
      <c r="D418" s="6" t="s">
        <v>228</v>
      </c>
      <c r="E418" s="6" t="s">
        <v>678</v>
      </c>
      <c r="F418" s="6">
        <v>37</v>
      </c>
      <c r="G418" s="6" t="s">
        <v>34</v>
      </c>
      <c r="H418" s="6" t="s">
        <v>1138</v>
      </c>
      <c r="I418" s="6" t="s">
        <v>3876</v>
      </c>
      <c r="J418" s="8">
        <v>44862</v>
      </c>
      <c r="K418" s="8">
        <v>45305</v>
      </c>
      <c r="L418" s="6">
        <v>20000.75</v>
      </c>
      <c r="M418" s="6">
        <v>8000.4</v>
      </c>
      <c r="N418" s="6">
        <v>725</v>
      </c>
      <c r="O418" s="6">
        <v>58000</v>
      </c>
      <c r="P418" s="6" t="s">
        <v>36</v>
      </c>
      <c r="Q418" s="6" t="s">
        <v>27</v>
      </c>
      <c r="R418" s="6">
        <v>0</v>
      </c>
      <c r="S418" s="6" t="s">
        <v>28</v>
      </c>
      <c r="T418" s="7">
        <f t="shared" si="30"/>
        <v>0.13793793103448276</v>
      </c>
      <c r="U418" s="6">
        <f t="shared" si="31"/>
        <v>1</v>
      </c>
      <c r="V418" s="5" t="str">
        <f t="shared" si="32"/>
        <v>GOOD</v>
      </c>
      <c r="W418" s="6" t="str">
        <f t="shared" si="33"/>
        <v>35-44</v>
      </c>
      <c r="X418" s="6" t="str">
        <f t="shared" si="34"/>
        <v>Low</v>
      </c>
    </row>
    <row r="419" spans="1:24">
      <c r="A419" s="6" t="s">
        <v>488</v>
      </c>
      <c r="B419" s="6" t="s">
        <v>1139</v>
      </c>
      <c r="C419" s="6" t="s">
        <v>39</v>
      </c>
      <c r="D419" s="6" t="s">
        <v>304</v>
      </c>
      <c r="E419" s="6" t="s">
        <v>304</v>
      </c>
      <c r="F419" s="6">
        <v>54</v>
      </c>
      <c r="G419" s="6" t="s">
        <v>24</v>
      </c>
      <c r="H419" s="6" t="s">
        <v>1140</v>
      </c>
      <c r="I419" s="6" t="s">
        <v>3877</v>
      </c>
      <c r="J419" s="8">
        <v>43597</v>
      </c>
      <c r="K419" s="8">
        <v>45300</v>
      </c>
      <c r="L419" s="6">
        <v>168500.6</v>
      </c>
      <c r="M419" s="6">
        <v>85000.9</v>
      </c>
      <c r="N419" s="6">
        <v>675</v>
      </c>
      <c r="O419" s="6">
        <v>182000</v>
      </c>
      <c r="P419" s="6" t="s">
        <v>76</v>
      </c>
      <c r="Q419" s="6" t="s">
        <v>27</v>
      </c>
      <c r="R419" s="6">
        <v>0</v>
      </c>
      <c r="S419" s="6" t="s">
        <v>28</v>
      </c>
      <c r="T419" s="7">
        <f t="shared" si="30"/>
        <v>0.46703791208791207</v>
      </c>
      <c r="U419" s="6">
        <f t="shared" si="31"/>
        <v>6</v>
      </c>
      <c r="V419" s="5" t="str">
        <f t="shared" si="32"/>
        <v>GOOD</v>
      </c>
      <c r="W419" s="6" t="str">
        <f t="shared" si="33"/>
        <v>45-54</v>
      </c>
      <c r="X419" s="6" t="str">
        <f t="shared" si="34"/>
        <v>Upper-Middle</v>
      </c>
    </row>
    <row r="420" spans="1:24">
      <c r="A420" s="6" t="s">
        <v>491</v>
      </c>
      <c r="B420" s="6" t="s">
        <v>1141</v>
      </c>
      <c r="C420" s="6" t="s">
        <v>52</v>
      </c>
      <c r="D420" s="6" t="s">
        <v>493</v>
      </c>
      <c r="E420" s="6" t="s">
        <v>494</v>
      </c>
      <c r="F420" s="6">
        <v>45</v>
      </c>
      <c r="G420" s="6" t="s">
        <v>34</v>
      </c>
      <c r="H420" s="6" t="s">
        <v>1142</v>
      </c>
      <c r="I420" s="6" t="s">
        <v>3878</v>
      </c>
      <c r="J420" s="8">
        <v>44375</v>
      </c>
      <c r="K420" s="8">
        <v>45302</v>
      </c>
      <c r="L420" s="6">
        <v>47500.4</v>
      </c>
      <c r="M420" s="6">
        <v>22200.25</v>
      </c>
      <c r="N420" s="6">
        <v>705</v>
      </c>
      <c r="O420" s="6">
        <v>90000</v>
      </c>
      <c r="P420" s="6" t="s">
        <v>26</v>
      </c>
      <c r="Q420" s="6" t="s">
        <v>27</v>
      </c>
      <c r="R420" s="6">
        <v>0</v>
      </c>
      <c r="S420" s="6" t="s">
        <v>28</v>
      </c>
      <c r="T420" s="7">
        <f t="shared" si="30"/>
        <v>0.24666944444444444</v>
      </c>
      <c r="U420" s="6">
        <f t="shared" si="31"/>
        <v>4</v>
      </c>
      <c r="V420" s="5" t="str">
        <f t="shared" si="32"/>
        <v>GOOD</v>
      </c>
      <c r="W420" s="6" t="str">
        <f t="shared" si="33"/>
        <v>45-54</v>
      </c>
      <c r="X420" s="6" t="str">
        <f t="shared" si="34"/>
        <v>Lower-Middle</v>
      </c>
    </row>
    <row r="421" spans="1:24">
      <c r="A421" s="6" t="s">
        <v>496</v>
      </c>
      <c r="B421" s="6" t="s">
        <v>1143</v>
      </c>
      <c r="C421" s="6" t="s">
        <v>46</v>
      </c>
      <c r="D421" s="6" t="s">
        <v>321</v>
      </c>
      <c r="E421" s="6" t="s">
        <v>498</v>
      </c>
      <c r="F421" s="6">
        <v>48</v>
      </c>
      <c r="G421" s="6" t="s">
        <v>24</v>
      </c>
      <c r="H421" s="6" t="s">
        <v>1144</v>
      </c>
      <c r="I421" s="6" t="s">
        <v>3879</v>
      </c>
      <c r="J421" s="8">
        <v>43845</v>
      </c>
      <c r="K421" s="8">
        <v>45301</v>
      </c>
      <c r="L421" s="6">
        <v>94400.75</v>
      </c>
      <c r="M421" s="6">
        <v>43300.800000000003</v>
      </c>
      <c r="N421" s="6">
        <v>730</v>
      </c>
      <c r="O421" s="6">
        <v>156000</v>
      </c>
      <c r="P421" s="6" t="s">
        <v>26</v>
      </c>
      <c r="Q421" s="6" t="s">
        <v>27</v>
      </c>
      <c r="R421" s="6">
        <v>0</v>
      </c>
      <c r="S421" s="6" t="s">
        <v>28</v>
      </c>
      <c r="T421" s="7">
        <f t="shared" si="30"/>
        <v>0.27756923076923079</v>
      </c>
      <c r="U421" s="6">
        <f t="shared" si="31"/>
        <v>5</v>
      </c>
      <c r="V421" s="5" t="str">
        <f t="shared" si="32"/>
        <v>GOOD</v>
      </c>
      <c r="W421" s="6" t="str">
        <f t="shared" si="33"/>
        <v>45-54</v>
      </c>
      <c r="X421" s="6" t="str">
        <f t="shared" si="34"/>
        <v>Upper-Middle</v>
      </c>
    </row>
    <row r="422" spans="1:24">
      <c r="A422" s="6" t="s">
        <v>324</v>
      </c>
      <c r="B422" s="6" t="s">
        <v>1145</v>
      </c>
      <c r="C422" s="6" t="s">
        <v>31</v>
      </c>
      <c r="D422" s="6" t="s">
        <v>313</v>
      </c>
      <c r="E422" s="6" t="s">
        <v>314</v>
      </c>
      <c r="F422" s="6">
        <v>33</v>
      </c>
      <c r="G422" s="6" t="s">
        <v>34</v>
      </c>
      <c r="H422" s="6" t="s">
        <v>1146</v>
      </c>
      <c r="I422" s="6" t="s">
        <v>3880</v>
      </c>
      <c r="J422" s="8">
        <v>45221</v>
      </c>
      <c r="K422" s="8">
        <v>45306</v>
      </c>
      <c r="L422" s="6">
        <v>10600.9</v>
      </c>
      <c r="M422" s="6">
        <v>6600.75</v>
      </c>
      <c r="N422" s="6">
        <v>685</v>
      </c>
      <c r="O422" s="6">
        <v>43000</v>
      </c>
      <c r="P422" s="6" t="s">
        <v>26</v>
      </c>
      <c r="Q422" s="6" t="s">
        <v>43</v>
      </c>
      <c r="R422" s="6">
        <v>0</v>
      </c>
      <c r="S422" s="6" t="s">
        <v>28</v>
      </c>
      <c r="T422" s="7">
        <f t="shared" si="30"/>
        <v>0.15350581395348836</v>
      </c>
      <c r="U422" s="6">
        <f t="shared" si="31"/>
        <v>0</v>
      </c>
      <c r="V422" s="5" t="str">
        <f t="shared" si="32"/>
        <v>GOOD</v>
      </c>
      <c r="W422" s="6" t="str">
        <f t="shared" si="33"/>
        <v>25-34</v>
      </c>
      <c r="X422" s="6" t="str">
        <f t="shared" si="34"/>
        <v>Low</v>
      </c>
    </row>
    <row r="423" spans="1:24">
      <c r="A423" s="6" t="s">
        <v>503</v>
      </c>
      <c r="B423" s="6" t="s">
        <v>1147</v>
      </c>
      <c r="C423" s="6" t="s">
        <v>21</v>
      </c>
      <c r="D423" s="6" t="s">
        <v>32</v>
      </c>
      <c r="E423" s="6" t="s">
        <v>33</v>
      </c>
      <c r="F423" s="6">
        <v>65</v>
      </c>
      <c r="G423" s="6" t="s">
        <v>24</v>
      </c>
      <c r="H423" s="6" t="s">
        <v>1148</v>
      </c>
      <c r="I423" s="6" t="s">
        <v>3881</v>
      </c>
      <c r="J423" s="8">
        <v>42847</v>
      </c>
      <c r="K423" s="8">
        <v>45299</v>
      </c>
      <c r="L423" s="6">
        <v>299200.25</v>
      </c>
      <c r="M423" s="6">
        <v>89000.4</v>
      </c>
      <c r="N423" s="6">
        <v>840</v>
      </c>
      <c r="O423" s="6">
        <v>297000</v>
      </c>
      <c r="P423" s="6" t="s">
        <v>36</v>
      </c>
      <c r="Q423" s="6" t="s">
        <v>27</v>
      </c>
      <c r="R423" s="6">
        <v>0</v>
      </c>
      <c r="S423" s="6" t="s">
        <v>28</v>
      </c>
      <c r="T423" s="7">
        <f t="shared" si="30"/>
        <v>0.29966464646464647</v>
      </c>
      <c r="U423" s="6">
        <f t="shared" si="31"/>
        <v>7</v>
      </c>
      <c r="V423" s="5" t="str">
        <f t="shared" si="32"/>
        <v>EXCEPTIONAL</v>
      </c>
      <c r="W423" s="6" t="str">
        <f t="shared" si="33"/>
        <v>55+</v>
      </c>
      <c r="X423" s="6" t="str">
        <f t="shared" si="34"/>
        <v>High</v>
      </c>
    </row>
    <row r="424" spans="1:24">
      <c r="A424" s="6" t="s">
        <v>506</v>
      </c>
      <c r="B424" s="6" t="s">
        <v>1149</v>
      </c>
      <c r="C424" s="6" t="s">
        <v>39</v>
      </c>
      <c r="D424" s="6" t="s">
        <v>68</v>
      </c>
      <c r="E424" s="6" t="s">
        <v>69</v>
      </c>
      <c r="F424" s="6">
        <v>57</v>
      </c>
      <c r="G424" s="6" t="s">
        <v>34</v>
      </c>
      <c r="H424" s="6" t="s">
        <v>1150</v>
      </c>
      <c r="I424" s="6" t="s">
        <v>3839</v>
      </c>
      <c r="J424" s="8">
        <v>43371</v>
      </c>
      <c r="K424" s="8">
        <v>45300</v>
      </c>
      <c r="L424" s="6">
        <v>179600.4</v>
      </c>
      <c r="M424" s="6">
        <v>89000.75</v>
      </c>
      <c r="N424" s="6">
        <v>650</v>
      </c>
      <c r="O424" s="6">
        <v>192000</v>
      </c>
      <c r="P424" s="6" t="s">
        <v>76</v>
      </c>
      <c r="Q424" s="6" t="s">
        <v>27</v>
      </c>
      <c r="R424" s="6">
        <v>0</v>
      </c>
      <c r="S424" s="6" t="s">
        <v>28</v>
      </c>
      <c r="T424" s="7">
        <f t="shared" si="30"/>
        <v>0.46354557291666665</v>
      </c>
      <c r="U424" s="6">
        <f t="shared" si="31"/>
        <v>6</v>
      </c>
      <c r="V424" s="5" t="str">
        <f t="shared" si="32"/>
        <v>FAIR</v>
      </c>
      <c r="W424" s="6" t="str">
        <f t="shared" si="33"/>
        <v>55+</v>
      </c>
      <c r="X424" s="6" t="str">
        <f t="shared" si="34"/>
        <v>High</v>
      </c>
    </row>
    <row r="425" spans="1:24">
      <c r="A425" s="6" t="s">
        <v>509</v>
      </c>
      <c r="B425" s="6" t="s">
        <v>1151</v>
      </c>
      <c r="C425" s="6" t="s">
        <v>46</v>
      </c>
      <c r="D425" s="6" t="s">
        <v>73</v>
      </c>
      <c r="E425" s="6" t="s">
        <v>126</v>
      </c>
      <c r="F425" s="6">
        <v>44</v>
      </c>
      <c r="G425" s="6" t="s">
        <v>24</v>
      </c>
      <c r="H425" s="6" t="s">
        <v>1152</v>
      </c>
      <c r="I425" s="6" t="s">
        <v>3882</v>
      </c>
      <c r="J425" s="8">
        <v>44579</v>
      </c>
      <c r="K425" s="8">
        <v>45303</v>
      </c>
      <c r="L425" s="6">
        <v>82200.399999999994</v>
      </c>
      <c r="M425" s="6">
        <v>37500.25</v>
      </c>
      <c r="N425" s="6">
        <v>745</v>
      </c>
      <c r="O425" s="6">
        <v>136000</v>
      </c>
      <c r="P425" s="6" t="s">
        <v>26</v>
      </c>
      <c r="Q425" s="6" t="s">
        <v>27</v>
      </c>
      <c r="R425" s="6">
        <v>0</v>
      </c>
      <c r="S425" s="6" t="s">
        <v>28</v>
      </c>
      <c r="T425" s="7">
        <f t="shared" si="30"/>
        <v>0.27573713235294117</v>
      </c>
      <c r="U425" s="6">
        <f t="shared" si="31"/>
        <v>3</v>
      </c>
      <c r="V425" s="5" t="str">
        <f t="shared" si="32"/>
        <v>GOOD</v>
      </c>
      <c r="W425" s="6" t="str">
        <f t="shared" si="33"/>
        <v>35-44</v>
      </c>
      <c r="X425" s="6" t="str">
        <f t="shared" si="34"/>
        <v>Upper-Middle</v>
      </c>
    </row>
    <row r="426" spans="1:24">
      <c r="A426" s="6" t="s">
        <v>513</v>
      </c>
      <c r="B426" s="6" t="s">
        <v>1153</v>
      </c>
      <c r="C426" s="6" t="s">
        <v>57</v>
      </c>
      <c r="D426" s="6" t="s">
        <v>58</v>
      </c>
      <c r="E426" s="6" t="s">
        <v>59</v>
      </c>
      <c r="F426" s="6">
        <v>39</v>
      </c>
      <c r="G426" s="6" t="s">
        <v>34</v>
      </c>
      <c r="H426" s="6" t="s">
        <v>1154</v>
      </c>
      <c r="I426" s="6" t="s">
        <v>3883</v>
      </c>
      <c r="J426" s="8">
        <v>44764</v>
      </c>
      <c r="K426" s="8">
        <v>45302</v>
      </c>
      <c r="L426" s="6">
        <v>22200.799999999999</v>
      </c>
      <c r="M426" s="6">
        <v>9200.9</v>
      </c>
      <c r="N426" s="6">
        <v>765</v>
      </c>
      <c r="O426" s="6">
        <v>68000</v>
      </c>
      <c r="P426" s="6" t="s">
        <v>36</v>
      </c>
      <c r="Q426" s="6" t="s">
        <v>27</v>
      </c>
      <c r="R426" s="6">
        <v>0</v>
      </c>
      <c r="S426" s="6" t="s">
        <v>28</v>
      </c>
      <c r="T426" s="7">
        <f t="shared" si="30"/>
        <v>0.13530735294117646</v>
      </c>
      <c r="U426" s="6">
        <f t="shared" si="31"/>
        <v>4</v>
      </c>
      <c r="V426" s="5" t="str">
        <f t="shared" si="32"/>
        <v>VERY GOOD</v>
      </c>
      <c r="W426" s="6" t="str">
        <f t="shared" si="33"/>
        <v>35-44</v>
      </c>
      <c r="X426" s="6" t="str">
        <f t="shared" si="34"/>
        <v>Low</v>
      </c>
    </row>
    <row r="427" spans="1:24">
      <c r="A427" s="6" t="s">
        <v>516</v>
      </c>
      <c r="B427" s="6" t="s">
        <v>1155</v>
      </c>
      <c r="C427" s="6" t="s">
        <v>52</v>
      </c>
      <c r="D427" s="6" t="s">
        <v>277</v>
      </c>
      <c r="E427" s="6" t="s">
        <v>278</v>
      </c>
      <c r="F427" s="6">
        <v>52</v>
      </c>
      <c r="G427" s="6" t="s">
        <v>24</v>
      </c>
      <c r="H427" s="6" t="s">
        <v>1156</v>
      </c>
      <c r="I427" s="6" t="s">
        <v>3884</v>
      </c>
      <c r="J427" s="8">
        <v>44040</v>
      </c>
      <c r="K427" s="8">
        <v>45301</v>
      </c>
      <c r="L427" s="6">
        <v>55500.75</v>
      </c>
      <c r="M427" s="6">
        <v>28600.400000000001</v>
      </c>
      <c r="N427" s="6">
        <v>675</v>
      </c>
      <c r="O427" s="6">
        <v>108000</v>
      </c>
      <c r="P427" s="6" t="s">
        <v>26</v>
      </c>
      <c r="Q427" s="6" t="s">
        <v>27</v>
      </c>
      <c r="R427" s="6">
        <v>0</v>
      </c>
      <c r="S427" s="6" t="s">
        <v>28</v>
      </c>
      <c r="T427" s="7">
        <f t="shared" si="30"/>
        <v>0.26481851851851851</v>
      </c>
      <c r="U427" s="6">
        <f t="shared" si="31"/>
        <v>5</v>
      </c>
      <c r="V427" s="5" t="str">
        <f t="shared" si="32"/>
        <v>GOOD</v>
      </c>
      <c r="W427" s="6" t="str">
        <f t="shared" si="33"/>
        <v>45-54</v>
      </c>
      <c r="X427" s="6" t="str">
        <f t="shared" si="34"/>
        <v>Lower-Middle</v>
      </c>
    </row>
    <row r="428" spans="1:24">
      <c r="A428" s="6" t="s">
        <v>519</v>
      </c>
      <c r="B428" s="6" t="s">
        <v>1157</v>
      </c>
      <c r="C428" s="6" t="s">
        <v>84</v>
      </c>
      <c r="D428" s="6" t="s">
        <v>183</v>
      </c>
      <c r="E428" s="6" t="s">
        <v>273</v>
      </c>
      <c r="F428" s="6">
        <v>31</v>
      </c>
      <c r="G428" s="6" t="s">
        <v>34</v>
      </c>
      <c r="H428" s="6" t="s">
        <v>1158</v>
      </c>
      <c r="I428" s="6" t="s">
        <v>3546</v>
      </c>
      <c r="J428" s="8">
        <v>45319</v>
      </c>
      <c r="K428" s="8">
        <v>45304</v>
      </c>
      <c r="L428" s="6">
        <v>2900.25</v>
      </c>
      <c r="M428" s="6">
        <v>11800.6</v>
      </c>
      <c r="N428" s="6">
        <v>615</v>
      </c>
      <c r="O428" s="6">
        <v>28000</v>
      </c>
      <c r="P428" s="6" t="s">
        <v>76</v>
      </c>
      <c r="Q428" s="6" t="s">
        <v>43</v>
      </c>
      <c r="R428" s="6">
        <v>0</v>
      </c>
      <c r="S428" s="6" t="s">
        <v>28</v>
      </c>
      <c r="T428" s="7">
        <f t="shared" si="30"/>
        <v>0.42144999999999999</v>
      </c>
      <c r="U428" s="6">
        <f t="shared" si="31"/>
        <v>2</v>
      </c>
      <c r="V428" s="5" t="str">
        <f t="shared" si="32"/>
        <v>FAIR</v>
      </c>
      <c r="W428" s="6" t="str">
        <f t="shared" si="33"/>
        <v>25-34</v>
      </c>
      <c r="X428" s="6" t="str">
        <f t="shared" si="34"/>
        <v>Low</v>
      </c>
    </row>
    <row r="429" spans="1:24">
      <c r="A429" s="6" t="s">
        <v>522</v>
      </c>
      <c r="B429" s="6" t="s">
        <v>1159</v>
      </c>
      <c r="C429" s="6" t="s">
        <v>39</v>
      </c>
      <c r="D429" s="6" t="s">
        <v>40</v>
      </c>
      <c r="E429" s="6" t="s">
        <v>94</v>
      </c>
      <c r="F429" s="6">
        <v>59</v>
      </c>
      <c r="G429" s="6" t="s">
        <v>24</v>
      </c>
      <c r="H429" s="6" t="s">
        <v>1160</v>
      </c>
      <c r="I429" s="6" t="s">
        <v>3510</v>
      </c>
      <c r="J429" s="8">
        <v>43334</v>
      </c>
      <c r="K429" s="8">
        <v>45299</v>
      </c>
      <c r="L429" s="6">
        <v>214200.8</v>
      </c>
      <c r="M429" s="6">
        <v>102000.25</v>
      </c>
      <c r="N429" s="6">
        <v>660</v>
      </c>
      <c r="O429" s="6">
        <v>227000</v>
      </c>
      <c r="P429" s="6" t="s">
        <v>76</v>
      </c>
      <c r="Q429" s="6" t="s">
        <v>27</v>
      </c>
      <c r="R429" s="6">
        <v>0</v>
      </c>
      <c r="S429" s="6" t="s">
        <v>28</v>
      </c>
      <c r="T429" s="7">
        <f t="shared" si="30"/>
        <v>0.44934030837004407</v>
      </c>
      <c r="U429" s="6">
        <f t="shared" si="31"/>
        <v>7</v>
      </c>
      <c r="V429" s="5" t="str">
        <f t="shared" si="32"/>
        <v>FAIR</v>
      </c>
      <c r="W429" s="6" t="str">
        <f t="shared" si="33"/>
        <v>55+</v>
      </c>
      <c r="X429" s="6" t="str">
        <f t="shared" si="34"/>
        <v>High</v>
      </c>
    </row>
    <row r="430" spans="1:24">
      <c r="A430" s="6" t="s">
        <v>306</v>
      </c>
      <c r="B430" s="6" t="s">
        <v>1161</v>
      </c>
      <c r="C430" s="6" t="s">
        <v>46</v>
      </c>
      <c r="D430" s="6" t="s">
        <v>209</v>
      </c>
      <c r="E430" s="6" t="s">
        <v>210</v>
      </c>
      <c r="F430" s="6">
        <v>46</v>
      </c>
      <c r="G430" s="6" t="s">
        <v>34</v>
      </c>
      <c r="H430" s="6" t="s">
        <v>1162</v>
      </c>
      <c r="I430" s="6" t="s">
        <v>3633</v>
      </c>
      <c r="J430" s="8">
        <v>44187</v>
      </c>
      <c r="K430" s="8">
        <v>45302</v>
      </c>
      <c r="L430" s="6">
        <v>76600.899999999994</v>
      </c>
      <c r="M430" s="6">
        <v>34400.75</v>
      </c>
      <c r="N430" s="6">
        <v>730</v>
      </c>
      <c r="O430" s="6">
        <v>131000</v>
      </c>
      <c r="P430" s="6" t="s">
        <v>26</v>
      </c>
      <c r="Q430" s="6" t="s">
        <v>27</v>
      </c>
      <c r="R430" s="6">
        <v>0</v>
      </c>
      <c r="S430" s="6" t="s">
        <v>28</v>
      </c>
      <c r="T430" s="7">
        <f t="shared" si="30"/>
        <v>0.26260114503816795</v>
      </c>
      <c r="U430" s="6">
        <f t="shared" si="31"/>
        <v>4</v>
      </c>
      <c r="V430" s="5" t="str">
        <f t="shared" si="32"/>
        <v>GOOD</v>
      </c>
      <c r="W430" s="6" t="str">
        <f t="shared" si="33"/>
        <v>45-54</v>
      </c>
      <c r="X430" s="6" t="str">
        <f t="shared" si="34"/>
        <v>Upper-Middle</v>
      </c>
    </row>
    <row r="431" spans="1:24">
      <c r="A431" s="6" t="s">
        <v>527</v>
      </c>
      <c r="B431" s="6" t="s">
        <v>1163</v>
      </c>
      <c r="C431" s="6" t="s">
        <v>31</v>
      </c>
      <c r="D431" s="6" t="s">
        <v>32</v>
      </c>
      <c r="E431" s="6" t="s">
        <v>90</v>
      </c>
      <c r="F431" s="6">
        <v>35</v>
      </c>
      <c r="G431" s="6" t="s">
        <v>34</v>
      </c>
      <c r="H431" s="6" t="s">
        <v>1164</v>
      </c>
      <c r="I431" s="6" t="s">
        <v>3784</v>
      </c>
      <c r="J431" s="8">
        <v>45258</v>
      </c>
      <c r="K431" s="8">
        <v>45305</v>
      </c>
      <c r="L431" s="6">
        <v>11700.4</v>
      </c>
      <c r="M431" s="6">
        <v>6800.25</v>
      </c>
      <c r="N431" s="6">
        <v>705</v>
      </c>
      <c r="O431" s="6">
        <v>45000</v>
      </c>
      <c r="P431" s="6" t="s">
        <v>26</v>
      </c>
      <c r="Q431" s="6" t="s">
        <v>43</v>
      </c>
      <c r="R431" s="6">
        <v>0</v>
      </c>
      <c r="S431" s="6" t="s">
        <v>28</v>
      </c>
      <c r="T431" s="7">
        <f t="shared" si="30"/>
        <v>0.15111666666666668</v>
      </c>
      <c r="U431" s="6">
        <f t="shared" si="31"/>
        <v>1</v>
      </c>
      <c r="V431" s="5" t="str">
        <f t="shared" si="32"/>
        <v>GOOD</v>
      </c>
      <c r="W431" s="6" t="str">
        <f t="shared" si="33"/>
        <v>35-44</v>
      </c>
      <c r="X431" s="6" t="str">
        <f t="shared" si="34"/>
        <v>Low</v>
      </c>
    </row>
    <row r="432" spans="1:24">
      <c r="A432" s="6" t="s">
        <v>530</v>
      </c>
      <c r="B432" s="6" t="s">
        <v>1165</v>
      </c>
      <c r="C432" s="6" t="s">
        <v>57</v>
      </c>
      <c r="D432" s="6" t="s">
        <v>219</v>
      </c>
      <c r="E432" s="6" t="s">
        <v>220</v>
      </c>
      <c r="F432" s="6">
        <v>40</v>
      </c>
      <c r="G432" s="6" t="s">
        <v>24</v>
      </c>
      <c r="H432" s="6" t="s">
        <v>1166</v>
      </c>
      <c r="I432" s="6" t="s">
        <v>3885</v>
      </c>
      <c r="J432" s="8">
        <v>44740</v>
      </c>
      <c r="K432" s="8">
        <v>45303</v>
      </c>
      <c r="L432" s="6">
        <v>21100.6</v>
      </c>
      <c r="M432" s="6">
        <v>8600.7999999999993</v>
      </c>
      <c r="N432" s="6">
        <v>710</v>
      </c>
      <c r="O432" s="6">
        <v>61000</v>
      </c>
      <c r="P432" s="6" t="s">
        <v>36</v>
      </c>
      <c r="Q432" s="6" t="s">
        <v>27</v>
      </c>
      <c r="R432" s="6">
        <v>0</v>
      </c>
      <c r="S432" s="6" t="s">
        <v>28</v>
      </c>
      <c r="T432" s="7">
        <f t="shared" si="30"/>
        <v>0.14099672131147539</v>
      </c>
      <c r="U432" s="6">
        <f t="shared" si="31"/>
        <v>3</v>
      </c>
      <c r="V432" s="5" t="str">
        <f t="shared" si="32"/>
        <v>GOOD</v>
      </c>
      <c r="W432" s="6" t="str">
        <f t="shared" si="33"/>
        <v>35-44</v>
      </c>
      <c r="X432" s="6" t="str">
        <f t="shared" si="34"/>
        <v>Low</v>
      </c>
    </row>
    <row r="433" spans="1:24">
      <c r="A433" s="6" t="s">
        <v>533</v>
      </c>
      <c r="B433" s="6" t="s">
        <v>1167</v>
      </c>
      <c r="C433" s="6" t="s">
        <v>52</v>
      </c>
      <c r="D433" s="6" t="s">
        <v>204</v>
      </c>
      <c r="E433" s="6" t="s">
        <v>205</v>
      </c>
      <c r="F433" s="6">
        <v>47</v>
      </c>
      <c r="G433" s="6" t="s">
        <v>34</v>
      </c>
      <c r="H433" s="6" t="s">
        <v>1168</v>
      </c>
      <c r="I433" s="6" t="s">
        <v>3886</v>
      </c>
      <c r="J433" s="8">
        <v>44034</v>
      </c>
      <c r="K433" s="8">
        <v>45301</v>
      </c>
      <c r="L433" s="6">
        <v>52400.25</v>
      </c>
      <c r="M433" s="6">
        <v>25500.9</v>
      </c>
      <c r="N433" s="6">
        <v>695</v>
      </c>
      <c r="O433" s="6">
        <v>96000</v>
      </c>
      <c r="P433" s="6" t="s">
        <v>26</v>
      </c>
      <c r="Q433" s="6" t="s">
        <v>27</v>
      </c>
      <c r="R433" s="6">
        <v>0</v>
      </c>
      <c r="S433" s="6" t="s">
        <v>28</v>
      </c>
      <c r="T433" s="7">
        <f t="shared" si="30"/>
        <v>0.26563437500000003</v>
      </c>
      <c r="U433" s="6">
        <f t="shared" si="31"/>
        <v>5</v>
      </c>
      <c r="V433" s="5" t="str">
        <f t="shared" si="32"/>
        <v>GOOD</v>
      </c>
      <c r="W433" s="6" t="str">
        <f t="shared" si="33"/>
        <v>45-54</v>
      </c>
      <c r="X433" s="6" t="str">
        <f t="shared" si="34"/>
        <v>Lower-Middle</v>
      </c>
    </row>
    <row r="434" spans="1:24">
      <c r="A434" s="6" t="s">
        <v>536</v>
      </c>
      <c r="B434" s="6" t="s">
        <v>1169</v>
      </c>
      <c r="C434" s="6" t="s">
        <v>39</v>
      </c>
      <c r="D434" s="6" t="s">
        <v>195</v>
      </c>
      <c r="E434" s="6" t="s">
        <v>196</v>
      </c>
      <c r="F434" s="6">
        <v>55</v>
      </c>
      <c r="G434" s="6" t="s">
        <v>24</v>
      </c>
      <c r="H434" s="6" t="s">
        <v>1170</v>
      </c>
      <c r="I434" s="6" t="s">
        <v>3887</v>
      </c>
      <c r="J434" s="8">
        <v>43493</v>
      </c>
      <c r="K434" s="8">
        <v>45300</v>
      </c>
      <c r="L434" s="6">
        <v>146400.4</v>
      </c>
      <c r="M434" s="6">
        <v>76000.600000000006</v>
      </c>
      <c r="N434" s="6">
        <v>670</v>
      </c>
      <c r="O434" s="6">
        <v>163000</v>
      </c>
      <c r="P434" s="6" t="s">
        <v>76</v>
      </c>
      <c r="Q434" s="6" t="s">
        <v>27</v>
      </c>
      <c r="R434" s="6">
        <v>0</v>
      </c>
      <c r="S434" s="6" t="s">
        <v>28</v>
      </c>
      <c r="T434" s="7">
        <f t="shared" si="30"/>
        <v>0.46626134969325156</v>
      </c>
      <c r="U434" s="6">
        <f t="shared" si="31"/>
        <v>6</v>
      </c>
      <c r="V434" s="5" t="str">
        <f t="shared" si="32"/>
        <v>GOOD</v>
      </c>
      <c r="W434" s="6" t="str">
        <f t="shared" si="33"/>
        <v>55+</v>
      </c>
      <c r="X434" s="6" t="str">
        <f t="shared" si="34"/>
        <v>Upper-Middle</v>
      </c>
    </row>
    <row r="435" spans="1:24">
      <c r="A435" s="6" t="s">
        <v>539</v>
      </c>
      <c r="B435" s="6" t="s">
        <v>1171</v>
      </c>
      <c r="C435" s="6" t="s">
        <v>21</v>
      </c>
      <c r="D435" s="6" t="s">
        <v>58</v>
      </c>
      <c r="E435" s="6" t="s">
        <v>122</v>
      </c>
      <c r="F435" s="6">
        <v>63</v>
      </c>
      <c r="G435" s="6" t="s">
        <v>34</v>
      </c>
      <c r="H435" s="6" t="s">
        <v>1172</v>
      </c>
      <c r="I435" s="6" t="s">
        <v>3888</v>
      </c>
      <c r="J435" s="8">
        <v>43067</v>
      </c>
      <c r="K435" s="8">
        <v>45299</v>
      </c>
      <c r="L435" s="6">
        <v>313300.75</v>
      </c>
      <c r="M435" s="6">
        <v>93000.8</v>
      </c>
      <c r="N435" s="6">
        <v>835</v>
      </c>
      <c r="O435" s="6">
        <v>308000</v>
      </c>
      <c r="P435" s="6" t="s">
        <v>36</v>
      </c>
      <c r="Q435" s="6" t="s">
        <v>27</v>
      </c>
      <c r="R435" s="6">
        <v>0</v>
      </c>
      <c r="S435" s="6" t="s">
        <v>28</v>
      </c>
      <c r="T435" s="7">
        <f t="shared" si="30"/>
        <v>0.30195064935064936</v>
      </c>
      <c r="U435" s="6">
        <f t="shared" si="31"/>
        <v>7</v>
      </c>
      <c r="V435" s="5" t="str">
        <f t="shared" si="32"/>
        <v>EXCEPTIONAL</v>
      </c>
      <c r="W435" s="6" t="str">
        <f t="shared" si="33"/>
        <v>55+</v>
      </c>
      <c r="X435" s="6" t="str">
        <f t="shared" si="34"/>
        <v>High</v>
      </c>
    </row>
    <row r="436" spans="1:24">
      <c r="A436" s="6" t="s">
        <v>542</v>
      </c>
      <c r="B436" s="6" t="s">
        <v>1173</v>
      </c>
      <c r="C436" s="6" t="s">
        <v>52</v>
      </c>
      <c r="D436" s="6" t="s">
        <v>68</v>
      </c>
      <c r="E436" s="6" t="s">
        <v>114</v>
      </c>
      <c r="F436" s="6">
        <v>50</v>
      </c>
      <c r="G436" s="6" t="s">
        <v>34</v>
      </c>
      <c r="H436" s="6" t="s">
        <v>1174</v>
      </c>
      <c r="I436" s="6" t="s">
        <v>3869</v>
      </c>
      <c r="J436" s="8">
        <v>43994</v>
      </c>
      <c r="K436" s="8">
        <v>45302</v>
      </c>
      <c r="L436" s="6">
        <v>61100.6</v>
      </c>
      <c r="M436" s="6">
        <v>31100.25</v>
      </c>
      <c r="N436" s="6">
        <v>665</v>
      </c>
      <c r="O436" s="6">
        <v>116000</v>
      </c>
      <c r="P436" s="6" t="s">
        <v>26</v>
      </c>
      <c r="Q436" s="6" t="s">
        <v>27</v>
      </c>
      <c r="R436" s="6">
        <v>0</v>
      </c>
      <c r="S436" s="6" t="s">
        <v>28</v>
      </c>
      <c r="T436" s="7">
        <f t="shared" si="30"/>
        <v>0.26810560344827589</v>
      </c>
      <c r="U436" s="6">
        <f t="shared" si="31"/>
        <v>4</v>
      </c>
      <c r="V436" s="5" t="str">
        <f t="shared" si="32"/>
        <v>FAIR</v>
      </c>
      <c r="W436" s="6" t="str">
        <f t="shared" si="33"/>
        <v>45-54</v>
      </c>
      <c r="X436" s="6" t="str">
        <f t="shared" si="34"/>
        <v>Lower-Middle</v>
      </c>
    </row>
    <row r="437" spans="1:24">
      <c r="A437" s="6" t="s">
        <v>545</v>
      </c>
      <c r="B437" s="6" t="s">
        <v>1175</v>
      </c>
      <c r="C437" s="6" t="s">
        <v>46</v>
      </c>
      <c r="D437" s="6" t="s">
        <v>241</v>
      </c>
      <c r="E437" s="6" t="s">
        <v>242</v>
      </c>
      <c r="F437" s="6">
        <v>42</v>
      </c>
      <c r="G437" s="6" t="s">
        <v>24</v>
      </c>
      <c r="H437" s="6" t="s">
        <v>1176</v>
      </c>
      <c r="I437" s="6" t="s">
        <v>3889</v>
      </c>
      <c r="J437" s="8">
        <v>44642</v>
      </c>
      <c r="K437" s="8">
        <v>45303</v>
      </c>
      <c r="L437" s="6">
        <v>84400.8</v>
      </c>
      <c r="M437" s="6">
        <v>38600.400000000001</v>
      </c>
      <c r="N437" s="6">
        <v>750</v>
      </c>
      <c r="O437" s="6">
        <v>142000</v>
      </c>
      <c r="P437" s="6" t="s">
        <v>26</v>
      </c>
      <c r="Q437" s="6" t="s">
        <v>27</v>
      </c>
      <c r="R437" s="6">
        <v>0</v>
      </c>
      <c r="S437" s="6" t="s">
        <v>28</v>
      </c>
      <c r="T437" s="7">
        <f t="shared" si="30"/>
        <v>0.27183380281690139</v>
      </c>
      <c r="U437" s="6">
        <f t="shared" si="31"/>
        <v>3</v>
      </c>
      <c r="V437" s="5" t="str">
        <f t="shared" si="32"/>
        <v>VERY GOOD</v>
      </c>
      <c r="W437" s="6" t="str">
        <f t="shared" si="33"/>
        <v>35-44</v>
      </c>
      <c r="X437" s="6" t="str">
        <f t="shared" si="34"/>
        <v>Upper-Middle</v>
      </c>
    </row>
    <row r="438" spans="1:24">
      <c r="A438" s="6" t="s">
        <v>548</v>
      </c>
      <c r="B438" s="6" t="s">
        <v>1177</v>
      </c>
      <c r="C438" s="6" t="s">
        <v>57</v>
      </c>
      <c r="D438" s="6" t="s">
        <v>22</v>
      </c>
      <c r="E438" s="6" t="s">
        <v>282</v>
      </c>
      <c r="F438" s="6">
        <v>38</v>
      </c>
      <c r="G438" s="6" t="s">
        <v>34</v>
      </c>
      <c r="H438" s="6" t="s">
        <v>1178</v>
      </c>
      <c r="I438" s="6" t="s">
        <v>3890</v>
      </c>
      <c r="J438" s="8">
        <v>44826</v>
      </c>
      <c r="K438" s="8">
        <v>45305</v>
      </c>
      <c r="L438" s="6">
        <v>23300.9</v>
      </c>
      <c r="M438" s="6">
        <v>9600.75</v>
      </c>
      <c r="N438" s="6">
        <v>770</v>
      </c>
      <c r="O438" s="6">
        <v>73000</v>
      </c>
      <c r="P438" s="6" t="s">
        <v>36</v>
      </c>
      <c r="Q438" s="6" t="s">
        <v>27</v>
      </c>
      <c r="R438" s="6">
        <v>0</v>
      </c>
      <c r="S438" s="6" t="s">
        <v>28</v>
      </c>
      <c r="T438" s="7">
        <f t="shared" si="30"/>
        <v>0.13151712328767123</v>
      </c>
      <c r="U438" s="6">
        <f t="shared" si="31"/>
        <v>1</v>
      </c>
      <c r="V438" s="5" t="str">
        <f t="shared" si="32"/>
        <v>VERY GOOD</v>
      </c>
      <c r="W438" s="6" t="str">
        <f t="shared" si="33"/>
        <v>35-44</v>
      </c>
      <c r="X438" s="6" t="str">
        <f t="shared" si="34"/>
        <v>Low</v>
      </c>
    </row>
    <row r="439" spans="1:24">
      <c r="A439" s="6" t="s">
        <v>551</v>
      </c>
      <c r="B439" s="6" t="s">
        <v>1179</v>
      </c>
      <c r="C439" s="6" t="s">
        <v>39</v>
      </c>
      <c r="D439" s="6" t="s">
        <v>313</v>
      </c>
      <c r="E439" s="6" t="s">
        <v>385</v>
      </c>
      <c r="F439" s="6">
        <v>61</v>
      </c>
      <c r="G439" s="6" t="s">
        <v>24</v>
      </c>
      <c r="H439" s="6" t="s">
        <v>1180</v>
      </c>
      <c r="I439" s="6" t="s">
        <v>3891</v>
      </c>
      <c r="J439" s="8">
        <v>43242</v>
      </c>
      <c r="K439" s="8">
        <v>45299</v>
      </c>
      <c r="L439" s="6">
        <v>199500.25</v>
      </c>
      <c r="M439" s="6">
        <v>97000.8</v>
      </c>
      <c r="N439" s="6">
        <v>645</v>
      </c>
      <c r="O439" s="6">
        <v>213000</v>
      </c>
      <c r="P439" s="6" t="s">
        <v>76</v>
      </c>
      <c r="Q439" s="6" t="s">
        <v>27</v>
      </c>
      <c r="R439" s="6">
        <v>0</v>
      </c>
      <c r="S439" s="6" t="s">
        <v>28</v>
      </c>
      <c r="T439" s="7">
        <f t="shared" si="30"/>
        <v>0.45540281690140849</v>
      </c>
      <c r="U439" s="6">
        <f t="shared" si="31"/>
        <v>7</v>
      </c>
      <c r="V439" s="5" t="str">
        <f t="shared" si="32"/>
        <v>FAIR</v>
      </c>
      <c r="W439" s="6" t="str">
        <f t="shared" si="33"/>
        <v>55+</v>
      </c>
      <c r="X439" s="6" t="str">
        <f t="shared" si="34"/>
        <v>High</v>
      </c>
    </row>
    <row r="440" spans="1:24">
      <c r="A440" s="6" t="s">
        <v>554</v>
      </c>
      <c r="B440" s="6" t="s">
        <v>1181</v>
      </c>
      <c r="C440" s="6" t="s">
        <v>31</v>
      </c>
      <c r="D440" s="6" t="s">
        <v>214</v>
      </c>
      <c r="E440" s="6" t="s">
        <v>215</v>
      </c>
      <c r="F440" s="6">
        <v>34</v>
      </c>
      <c r="G440" s="6" t="s">
        <v>34</v>
      </c>
      <c r="H440" s="6" t="s">
        <v>1182</v>
      </c>
      <c r="I440" s="6" t="s">
        <v>3892</v>
      </c>
      <c r="J440" s="8">
        <v>45275</v>
      </c>
      <c r="K440" s="8">
        <v>45306</v>
      </c>
      <c r="L440" s="6">
        <v>18200.5</v>
      </c>
      <c r="M440" s="6">
        <v>9200.4</v>
      </c>
      <c r="N440" s="6">
        <v>720</v>
      </c>
      <c r="O440" s="6">
        <v>50000</v>
      </c>
      <c r="P440" s="6" t="s">
        <v>36</v>
      </c>
      <c r="Q440" s="6" t="s">
        <v>27</v>
      </c>
      <c r="R440" s="6">
        <v>0</v>
      </c>
      <c r="S440" s="6" t="s">
        <v>28</v>
      </c>
      <c r="T440" s="7">
        <f t="shared" si="30"/>
        <v>0.184008</v>
      </c>
      <c r="U440" s="6">
        <f t="shared" si="31"/>
        <v>0</v>
      </c>
      <c r="V440" s="5" t="str">
        <f t="shared" si="32"/>
        <v>GOOD</v>
      </c>
      <c r="W440" s="6" t="str">
        <f t="shared" si="33"/>
        <v>25-34</v>
      </c>
      <c r="X440" s="6" t="str">
        <f t="shared" si="34"/>
        <v>Low</v>
      </c>
    </row>
    <row r="441" spans="1:24">
      <c r="A441" s="6" t="s">
        <v>108</v>
      </c>
      <c r="B441" s="6" t="s">
        <v>1183</v>
      </c>
      <c r="C441" s="6" t="s">
        <v>84</v>
      </c>
      <c r="D441" s="6" t="s">
        <v>32</v>
      </c>
      <c r="E441" s="6" t="s">
        <v>33</v>
      </c>
      <c r="F441" s="6">
        <v>30</v>
      </c>
      <c r="G441" s="6" t="s">
        <v>24</v>
      </c>
      <c r="H441" s="6" t="s">
        <v>1184</v>
      </c>
      <c r="I441" s="6" t="s">
        <v>3667</v>
      </c>
      <c r="J441" s="8">
        <v>45316</v>
      </c>
      <c r="K441" s="8">
        <v>45304</v>
      </c>
      <c r="L441" s="6">
        <v>2650.8</v>
      </c>
      <c r="M441" s="6">
        <v>10200.25</v>
      </c>
      <c r="N441" s="6">
        <v>605</v>
      </c>
      <c r="O441" s="6">
        <v>26000</v>
      </c>
      <c r="P441" s="6" t="s">
        <v>76</v>
      </c>
      <c r="Q441" s="6" t="s">
        <v>43</v>
      </c>
      <c r="R441" s="6">
        <v>0</v>
      </c>
      <c r="S441" s="6" t="s">
        <v>28</v>
      </c>
      <c r="T441" s="7">
        <f t="shared" si="30"/>
        <v>0.39231730769230772</v>
      </c>
      <c r="U441" s="6">
        <f t="shared" si="31"/>
        <v>2</v>
      </c>
      <c r="V441" s="5" t="str">
        <f t="shared" si="32"/>
        <v>FAIR</v>
      </c>
      <c r="W441" s="6" t="str">
        <f t="shared" si="33"/>
        <v>25-34</v>
      </c>
      <c r="X441" s="6" t="str">
        <f t="shared" si="34"/>
        <v>Low</v>
      </c>
    </row>
    <row r="442" spans="1:24">
      <c r="A442" s="6" t="s">
        <v>559</v>
      </c>
      <c r="B442" s="6" t="s">
        <v>1185</v>
      </c>
      <c r="C442" s="6" t="s">
        <v>46</v>
      </c>
      <c r="D442" s="6" t="s">
        <v>254</v>
      </c>
      <c r="E442" s="6" t="s">
        <v>255</v>
      </c>
      <c r="F442" s="6">
        <v>44</v>
      </c>
      <c r="G442" s="6" t="s">
        <v>34</v>
      </c>
      <c r="H442" s="6" t="s">
        <v>1186</v>
      </c>
      <c r="I442" s="6" t="s">
        <v>3893</v>
      </c>
      <c r="J442" s="8">
        <v>44528</v>
      </c>
      <c r="K442" s="8">
        <v>45302</v>
      </c>
      <c r="L442" s="6">
        <v>71100.399999999994</v>
      </c>
      <c r="M442" s="6">
        <v>33300.75</v>
      </c>
      <c r="N442" s="6">
        <v>710</v>
      </c>
      <c r="O442" s="6">
        <v>124000</v>
      </c>
      <c r="P442" s="6" t="s">
        <v>26</v>
      </c>
      <c r="Q442" s="6" t="s">
        <v>27</v>
      </c>
      <c r="R442" s="6">
        <v>0</v>
      </c>
      <c r="S442" s="6" t="s">
        <v>28</v>
      </c>
      <c r="T442" s="7">
        <f t="shared" si="30"/>
        <v>0.26855443548387098</v>
      </c>
      <c r="U442" s="6">
        <f t="shared" si="31"/>
        <v>4</v>
      </c>
      <c r="V442" s="5" t="str">
        <f t="shared" si="32"/>
        <v>GOOD</v>
      </c>
      <c r="W442" s="6" t="str">
        <f t="shared" si="33"/>
        <v>35-44</v>
      </c>
      <c r="X442" s="6" t="str">
        <f t="shared" si="34"/>
        <v>Lower-Middle</v>
      </c>
    </row>
    <row r="443" spans="1:24">
      <c r="A443" s="6" t="s">
        <v>562</v>
      </c>
      <c r="B443" s="6" t="s">
        <v>1187</v>
      </c>
      <c r="C443" s="6" t="s">
        <v>39</v>
      </c>
      <c r="D443" s="6" t="s">
        <v>47</v>
      </c>
      <c r="E443" s="6" t="s">
        <v>98</v>
      </c>
      <c r="F443" s="6">
        <v>58</v>
      </c>
      <c r="G443" s="6" t="s">
        <v>24</v>
      </c>
      <c r="H443" s="6" t="s">
        <v>1188</v>
      </c>
      <c r="I443" s="6" t="s">
        <v>3894</v>
      </c>
      <c r="J443" s="8">
        <v>43395</v>
      </c>
      <c r="K443" s="8">
        <v>45300</v>
      </c>
      <c r="L443" s="6">
        <v>179700.6</v>
      </c>
      <c r="M443" s="6">
        <v>90000.25</v>
      </c>
      <c r="N443" s="6">
        <v>675</v>
      </c>
      <c r="O443" s="6">
        <v>193000</v>
      </c>
      <c r="P443" s="6" t="s">
        <v>76</v>
      </c>
      <c r="Q443" s="6" t="s">
        <v>27</v>
      </c>
      <c r="R443" s="6">
        <v>0</v>
      </c>
      <c r="S443" s="6" t="s">
        <v>28</v>
      </c>
      <c r="T443" s="7">
        <f t="shared" si="30"/>
        <v>0.46632253886010361</v>
      </c>
      <c r="U443" s="6">
        <f t="shared" si="31"/>
        <v>6</v>
      </c>
      <c r="V443" s="5" t="str">
        <f t="shared" si="32"/>
        <v>GOOD</v>
      </c>
      <c r="W443" s="6" t="str">
        <f t="shared" si="33"/>
        <v>55+</v>
      </c>
      <c r="X443" s="6" t="str">
        <f t="shared" si="34"/>
        <v>High</v>
      </c>
    </row>
    <row r="444" spans="1:24">
      <c r="A444" s="6" t="s">
        <v>565</v>
      </c>
      <c r="B444" s="6" t="s">
        <v>1189</v>
      </c>
      <c r="C444" s="6" t="s">
        <v>52</v>
      </c>
      <c r="D444" s="6" t="s">
        <v>233</v>
      </c>
      <c r="E444" s="6" t="s">
        <v>234</v>
      </c>
      <c r="F444" s="6">
        <v>43</v>
      </c>
      <c r="G444" s="6" t="s">
        <v>34</v>
      </c>
      <c r="H444" s="6" t="s">
        <v>1190</v>
      </c>
      <c r="I444" s="6" t="s">
        <v>3590</v>
      </c>
      <c r="J444" s="8">
        <v>44314</v>
      </c>
      <c r="K444" s="8">
        <v>45301</v>
      </c>
      <c r="L444" s="6">
        <v>47500.75</v>
      </c>
      <c r="M444" s="6">
        <v>24400.799999999999</v>
      </c>
      <c r="N444" s="6">
        <v>725</v>
      </c>
      <c r="O444" s="6">
        <v>90000</v>
      </c>
      <c r="P444" s="6" t="s">
        <v>26</v>
      </c>
      <c r="Q444" s="6" t="s">
        <v>27</v>
      </c>
      <c r="R444" s="6">
        <v>0</v>
      </c>
      <c r="S444" s="6" t="s">
        <v>28</v>
      </c>
      <c r="T444" s="7">
        <f t="shared" si="30"/>
        <v>0.27111999999999997</v>
      </c>
      <c r="U444" s="6">
        <f t="shared" si="31"/>
        <v>5</v>
      </c>
      <c r="V444" s="5" t="str">
        <f t="shared" si="32"/>
        <v>GOOD</v>
      </c>
      <c r="W444" s="6" t="str">
        <f t="shared" si="33"/>
        <v>35-44</v>
      </c>
      <c r="X444" s="6" t="str">
        <f t="shared" si="34"/>
        <v>Lower-Middle</v>
      </c>
    </row>
    <row r="445" spans="1:24">
      <c r="A445" s="6" t="s">
        <v>568</v>
      </c>
      <c r="B445" s="6" t="s">
        <v>1191</v>
      </c>
      <c r="C445" s="6" t="s">
        <v>57</v>
      </c>
      <c r="D445" s="6" t="s">
        <v>79</v>
      </c>
      <c r="E445" s="6" t="s">
        <v>80</v>
      </c>
      <c r="F445" s="6">
        <v>41</v>
      </c>
      <c r="G445" s="6" t="s">
        <v>24</v>
      </c>
      <c r="H445" s="6" t="s">
        <v>1192</v>
      </c>
      <c r="I445" s="6" t="s">
        <v>3895</v>
      </c>
      <c r="J445" s="8">
        <v>44764</v>
      </c>
      <c r="K445" s="8">
        <v>45303</v>
      </c>
      <c r="L445" s="6">
        <v>25500.400000000001</v>
      </c>
      <c r="M445" s="6">
        <v>10400.9</v>
      </c>
      <c r="N445" s="6">
        <v>740</v>
      </c>
      <c r="O445" s="6">
        <v>76000</v>
      </c>
      <c r="P445" s="6" t="s">
        <v>36</v>
      </c>
      <c r="Q445" s="6" t="s">
        <v>27</v>
      </c>
      <c r="R445" s="6">
        <v>0</v>
      </c>
      <c r="S445" s="6" t="s">
        <v>28</v>
      </c>
      <c r="T445" s="7">
        <f t="shared" si="30"/>
        <v>0.13685394736842105</v>
      </c>
      <c r="U445" s="6">
        <f t="shared" si="31"/>
        <v>3</v>
      </c>
      <c r="V445" s="5" t="str">
        <f t="shared" si="32"/>
        <v>GOOD</v>
      </c>
      <c r="W445" s="6" t="str">
        <f t="shared" si="33"/>
        <v>35-44</v>
      </c>
      <c r="X445" s="6" t="str">
        <f t="shared" si="34"/>
        <v>Lower-Middle</v>
      </c>
    </row>
    <row r="446" spans="1:24">
      <c r="A446" s="6" t="s">
        <v>571</v>
      </c>
      <c r="B446" s="6" t="s">
        <v>1193</v>
      </c>
      <c r="C446" s="6" t="s">
        <v>21</v>
      </c>
      <c r="D446" s="6" t="s">
        <v>63</v>
      </c>
      <c r="E446" s="6" t="s">
        <v>3514</v>
      </c>
      <c r="F446" s="6">
        <v>64</v>
      </c>
      <c r="G446" s="6" t="s">
        <v>34</v>
      </c>
      <c r="H446" s="6" t="s">
        <v>1194</v>
      </c>
      <c r="I446" s="6" t="s">
        <v>3896</v>
      </c>
      <c r="J446" s="8">
        <v>42944</v>
      </c>
      <c r="K446" s="8">
        <v>45299</v>
      </c>
      <c r="L446" s="6">
        <v>268600.90000000002</v>
      </c>
      <c r="M446" s="6">
        <v>80000.600000000006</v>
      </c>
      <c r="N446" s="6">
        <v>830</v>
      </c>
      <c r="O446" s="6">
        <v>288000</v>
      </c>
      <c r="P446" s="6" t="s">
        <v>36</v>
      </c>
      <c r="Q446" s="6" t="s">
        <v>27</v>
      </c>
      <c r="R446" s="6">
        <v>0</v>
      </c>
      <c r="S446" s="6" t="s">
        <v>28</v>
      </c>
      <c r="T446" s="7">
        <f t="shared" si="30"/>
        <v>0.27777986111111114</v>
      </c>
      <c r="U446" s="6">
        <f t="shared" si="31"/>
        <v>7</v>
      </c>
      <c r="V446" s="5" t="str">
        <f t="shared" si="32"/>
        <v>EXCEPTIONAL</v>
      </c>
      <c r="W446" s="6" t="str">
        <f t="shared" si="33"/>
        <v>55+</v>
      </c>
      <c r="X446" s="6" t="str">
        <f t="shared" si="34"/>
        <v>High</v>
      </c>
    </row>
    <row r="447" spans="1:24">
      <c r="A447" s="6" t="s">
        <v>574</v>
      </c>
      <c r="B447" s="6" t="s">
        <v>1195</v>
      </c>
      <c r="C447" s="6" t="s">
        <v>39</v>
      </c>
      <c r="D447" s="6" t="s">
        <v>68</v>
      </c>
      <c r="E447" s="6" t="s">
        <v>179</v>
      </c>
      <c r="F447" s="6">
        <v>56</v>
      </c>
      <c r="G447" s="6" t="s">
        <v>24</v>
      </c>
      <c r="H447" s="6" t="s">
        <v>1196</v>
      </c>
      <c r="I447" s="6" t="s">
        <v>3897</v>
      </c>
      <c r="J447" s="8">
        <v>43539</v>
      </c>
      <c r="K447" s="8">
        <v>45300</v>
      </c>
      <c r="L447" s="6">
        <v>157500.25</v>
      </c>
      <c r="M447" s="6">
        <v>82000.399999999994</v>
      </c>
      <c r="N447" s="6">
        <v>655</v>
      </c>
      <c r="O447" s="6">
        <v>178000</v>
      </c>
      <c r="P447" s="6" t="s">
        <v>76</v>
      </c>
      <c r="Q447" s="6" t="s">
        <v>27</v>
      </c>
      <c r="R447" s="6">
        <v>0</v>
      </c>
      <c r="S447" s="6" t="s">
        <v>28</v>
      </c>
      <c r="T447" s="7">
        <f t="shared" si="30"/>
        <v>0.46067640449438196</v>
      </c>
      <c r="U447" s="6">
        <f t="shared" si="31"/>
        <v>6</v>
      </c>
      <c r="V447" s="5" t="str">
        <f t="shared" si="32"/>
        <v>FAIR</v>
      </c>
      <c r="W447" s="6" t="str">
        <f t="shared" si="33"/>
        <v>55+</v>
      </c>
      <c r="X447" s="6" t="str">
        <f t="shared" si="34"/>
        <v>Upper-Middle</v>
      </c>
    </row>
    <row r="448" spans="1:24">
      <c r="A448" s="6" t="s">
        <v>577</v>
      </c>
      <c r="B448" s="6" t="s">
        <v>1197</v>
      </c>
      <c r="C448" s="6" t="s">
        <v>46</v>
      </c>
      <c r="D448" s="6" t="s">
        <v>85</v>
      </c>
      <c r="E448" s="6" t="s">
        <v>86</v>
      </c>
      <c r="F448" s="6">
        <v>45</v>
      </c>
      <c r="G448" s="6" t="s">
        <v>34</v>
      </c>
      <c r="H448" s="6" t="s">
        <v>1198</v>
      </c>
      <c r="I448" s="6" t="s">
        <v>3898</v>
      </c>
      <c r="J448" s="8">
        <v>44436</v>
      </c>
      <c r="K448" s="8">
        <v>45302</v>
      </c>
      <c r="L448" s="6">
        <v>90000.6</v>
      </c>
      <c r="M448" s="6">
        <v>41300.75</v>
      </c>
      <c r="N448" s="6">
        <v>760</v>
      </c>
      <c r="O448" s="6">
        <v>147000</v>
      </c>
      <c r="P448" s="6" t="s">
        <v>26</v>
      </c>
      <c r="Q448" s="6" t="s">
        <v>27</v>
      </c>
      <c r="R448" s="6">
        <v>0</v>
      </c>
      <c r="S448" s="6" t="s">
        <v>28</v>
      </c>
      <c r="T448" s="7">
        <f t="shared" si="30"/>
        <v>0.28095748299319728</v>
      </c>
      <c r="U448" s="6">
        <f t="shared" si="31"/>
        <v>4</v>
      </c>
      <c r="V448" s="5" t="str">
        <f t="shared" si="32"/>
        <v>VERY GOOD</v>
      </c>
      <c r="W448" s="6" t="str">
        <f t="shared" si="33"/>
        <v>45-54</v>
      </c>
      <c r="X448" s="6" t="str">
        <f t="shared" si="34"/>
        <v>Upper-Middle</v>
      </c>
    </row>
    <row r="449" spans="1:24">
      <c r="A449" s="6" t="s">
        <v>458</v>
      </c>
      <c r="B449" s="6" t="s">
        <v>1199</v>
      </c>
      <c r="C449" s="6" t="s">
        <v>31</v>
      </c>
      <c r="D449" s="6" t="s">
        <v>460</v>
      </c>
      <c r="E449" s="6" t="s">
        <v>663</v>
      </c>
      <c r="F449" s="6">
        <v>36</v>
      </c>
      <c r="G449" s="6" t="s">
        <v>24</v>
      </c>
      <c r="H449" s="6" t="s">
        <v>1200</v>
      </c>
      <c r="I449" s="6" t="s">
        <v>3899</v>
      </c>
      <c r="J449" s="8">
        <v>45221</v>
      </c>
      <c r="K449" s="8">
        <v>45306</v>
      </c>
      <c r="L449" s="6">
        <v>12400.25</v>
      </c>
      <c r="M449" s="6">
        <v>7300.8</v>
      </c>
      <c r="N449" s="6">
        <v>695</v>
      </c>
      <c r="O449" s="6">
        <v>47000</v>
      </c>
      <c r="P449" s="6" t="s">
        <v>26</v>
      </c>
      <c r="Q449" s="6" t="s">
        <v>43</v>
      </c>
      <c r="R449" s="6">
        <v>0</v>
      </c>
      <c r="S449" s="6" t="s">
        <v>28</v>
      </c>
      <c r="T449" s="7">
        <f t="shared" si="30"/>
        <v>0.15533617021276597</v>
      </c>
      <c r="U449" s="6">
        <f t="shared" si="31"/>
        <v>0</v>
      </c>
      <c r="V449" s="5" t="str">
        <f t="shared" si="32"/>
        <v>GOOD</v>
      </c>
      <c r="W449" s="6" t="str">
        <f t="shared" si="33"/>
        <v>35-44</v>
      </c>
      <c r="X449" s="6" t="str">
        <f t="shared" si="34"/>
        <v>Low</v>
      </c>
    </row>
    <row r="450" spans="1:24">
      <c r="A450" s="6" t="s">
        <v>582</v>
      </c>
      <c r="B450" s="6" t="s">
        <v>1201</v>
      </c>
      <c r="C450" s="6" t="s">
        <v>57</v>
      </c>
      <c r="D450" s="6" t="s">
        <v>22</v>
      </c>
      <c r="E450" s="6" t="s">
        <v>23</v>
      </c>
      <c r="F450" s="6">
        <v>39</v>
      </c>
      <c r="G450" s="6" t="s">
        <v>34</v>
      </c>
      <c r="H450" s="6" t="s">
        <v>1202</v>
      </c>
      <c r="I450" s="6" t="s">
        <v>3900</v>
      </c>
      <c r="J450" s="8">
        <v>44703</v>
      </c>
      <c r="K450" s="8">
        <v>45303</v>
      </c>
      <c r="L450" s="6">
        <v>24400.9</v>
      </c>
      <c r="M450" s="6">
        <v>10000.25</v>
      </c>
      <c r="N450" s="6">
        <v>755</v>
      </c>
      <c r="O450" s="6">
        <v>69000</v>
      </c>
      <c r="P450" s="6" t="s">
        <v>36</v>
      </c>
      <c r="Q450" s="6" t="s">
        <v>27</v>
      </c>
      <c r="R450" s="6">
        <v>0</v>
      </c>
      <c r="S450" s="6" t="s">
        <v>28</v>
      </c>
      <c r="T450" s="7">
        <f t="shared" ref="T450:T513" si="35">IFERROR(M450/O450,"")</f>
        <v>0.14493115942028986</v>
      </c>
      <c r="U450" s="6">
        <f t="shared" ref="U450:U513" si="36">MAX($K$2:$K$1599)-K450</f>
        <v>3</v>
      </c>
      <c r="V450" s="5" t="str">
        <f t="shared" ref="V450:V513" si="37">IF(N450&lt;670,"FAIR", IF(N450&lt;750,"GOOD",IF(N450&lt;800,"VERY GOOD","EXCEPTIONAL")))</f>
        <v>VERY GOOD</v>
      </c>
      <c r="W450" s="6" t="str">
        <f t="shared" ref="W450:W513" si="38">IF(F450&lt;25,"18-24",IF(F450&lt;35,"25-34",IF(F450&lt;45,"35-44",IF(F450&lt;55,"45-54","55+"))))</f>
        <v>35-44</v>
      </c>
      <c r="X450" s="6" t="str">
        <f t="shared" ref="X450:X513" si="39">IF(O450&lt;=_xlfn.QUARTILE.INC($O$2:$O$1599,1),"Low",IF(O450&lt;=_xlfn.QUARTILE.INC($O$2:$O$1599,2),"Lower-Middle",IF(O450&lt;=_xlfn.QUARTILE.INC($O$2:$O$1599,3),"Upper-Middle","High")))</f>
        <v>Low</v>
      </c>
    </row>
    <row r="451" spans="1:24">
      <c r="A451" s="6" t="s">
        <v>55</v>
      </c>
      <c r="B451" s="6" t="s">
        <v>1203</v>
      </c>
      <c r="C451" s="6" t="s">
        <v>39</v>
      </c>
      <c r="D451" s="6" t="s">
        <v>58</v>
      </c>
      <c r="E451" s="6" t="s">
        <v>122</v>
      </c>
      <c r="F451" s="6">
        <v>57</v>
      </c>
      <c r="G451" s="6" t="s">
        <v>24</v>
      </c>
      <c r="H451" s="6" t="s">
        <v>1204</v>
      </c>
      <c r="I451" s="6" t="s">
        <v>3617</v>
      </c>
      <c r="J451" s="8">
        <v>43456</v>
      </c>
      <c r="K451" s="8">
        <v>45300</v>
      </c>
      <c r="L451" s="6">
        <v>190400.4</v>
      </c>
      <c r="M451" s="6">
        <v>95000.75</v>
      </c>
      <c r="N451" s="6">
        <v>685</v>
      </c>
      <c r="O451" s="6">
        <v>203000</v>
      </c>
      <c r="P451" s="6" t="s">
        <v>76</v>
      </c>
      <c r="Q451" s="6" t="s">
        <v>27</v>
      </c>
      <c r="R451" s="6">
        <v>0</v>
      </c>
      <c r="S451" s="6" t="s">
        <v>28</v>
      </c>
      <c r="T451" s="7">
        <f t="shared" si="35"/>
        <v>0.46798399014778325</v>
      </c>
      <c r="U451" s="6">
        <f t="shared" si="36"/>
        <v>6</v>
      </c>
      <c r="V451" s="5" t="str">
        <f t="shared" si="37"/>
        <v>GOOD</v>
      </c>
      <c r="W451" s="6" t="str">
        <f t="shared" si="38"/>
        <v>55+</v>
      </c>
      <c r="X451" s="6" t="str">
        <f t="shared" si="39"/>
        <v>High</v>
      </c>
    </row>
    <row r="452" spans="1:24">
      <c r="A452" s="6" t="s">
        <v>469</v>
      </c>
      <c r="B452" s="6" t="s">
        <v>1205</v>
      </c>
      <c r="C452" s="6" t="s">
        <v>52</v>
      </c>
      <c r="D452" s="6" t="s">
        <v>471</v>
      </c>
      <c r="E452" s="6" t="s">
        <v>472</v>
      </c>
      <c r="F452" s="6">
        <v>48</v>
      </c>
      <c r="G452" s="6" t="s">
        <v>34</v>
      </c>
      <c r="H452" s="6" t="s">
        <v>1206</v>
      </c>
      <c r="I452" s="6" t="s">
        <v>3901</v>
      </c>
      <c r="J452" s="8">
        <v>44086</v>
      </c>
      <c r="K452" s="8">
        <v>45301</v>
      </c>
      <c r="L452" s="6">
        <v>54400.800000000003</v>
      </c>
      <c r="M452" s="6">
        <v>27500.6</v>
      </c>
      <c r="N452" s="6">
        <v>715</v>
      </c>
      <c r="O452" s="6">
        <v>102000</v>
      </c>
      <c r="P452" s="6" t="s">
        <v>26</v>
      </c>
      <c r="Q452" s="6" t="s">
        <v>27</v>
      </c>
      <c r="R452" s="6">
        <v>0</v>
      </c>
      <c r="S452" s="6" t="s">
        <v>28</v>
      </c>
      <c r="T452" s="7">
        <f t="shared" si="35"/>
        <v>0.26961372549019608</v>
      </c>
      <c r="U452" s="6">
        <f t="shared" si="36"/>
        <v>5</v>
      </c>
      <c r="V452" s="5" t="str">
        <f t="shared" si="37"/>
        <v>GOOD</v>
      </c>
      <c r="W452" s="6" t="str">
        <f t="shared" si="38"/>
        <v>45-54</v>
      </c>
      <c r="X452" s="6" t="str">
        <f t="shared" si="39"/>
        <v>Lower-Middle</v>
      </c>
    </row>
    <row r="453" spans="1:24">
      <c r="A453" s="6" t="s">
        <v>474</v>
      </c>
      <c r="B453" s="6" t="s">
        <v>1207</v>
      </c>
      <c r="C453" s="6" t="s">
        <v>46</v>
      </c>
      <c r="D453" s="6" t="s">
        <v>345</v>
      </c>
      <c r="E453" s="6" t="s">
        <v>346</v>
      </c>
      <c r="F453" s="6">
        <v>51</v>
      </c>
      <c r="G453" s="6" t="s">
        <v>24</v>
      </c>
      <c r="H453" s="6" t="s">
        <v>1208</v>
      </c>
      <c r="I453" s="6" t="s">
        <v>3902</v>
      </c>
      <c r="J453" s="8">
        <v>44010</v>
      </c>
      <c r="K453" s="8">
        <v>45302</v>
      </c>
      <c r="L453" s="6">
        <v>82200.25</v>
      </c>
      <c r="M453" s="6">
        <v>37500.400000000001</v>
      </c>
      <c r="N453" s="6">
        <v>680</v>
      </c>
      <c r="O453" s="6">
        <v>131000</v>
      </c>
      <c r="P453" s="6" t="s">
        <v>26</v>
      </c>
      <c r="Q453" s="6" t="s">
        <v>27</v>
      </c>
      <c r="R453" s="6">
        <v>0</v>
      </c>
      <c r="S453" s="6" t="s">
        <v>28</v>
      </c>
      <c r="T453" s="7">
        <f t="shared" si="35"/>
        <v>0.28626259541984733</v>
      </c>
      <c r="U453" s="6">
        <f t="shared" si="36"/>
        <v>4</v>
      </c>
      <c r="V453" s="5" t="str">
        <f t="shared" si="37"/>
        <v>GOOD</v>
      </c>
      <c r="W453" s="6" t="str">
        <f t="shared" si="38"/>
        <v>45-54</v>
      </c>
      <c r="X453" s="6" t="str">
        <f t="shared" si="39"/>
        <v>Upper-Middle</v>
      </c>
    </row>
    <row r="454" spans="1:24">
      <c r="A454" s="6" t="s">
        <v>592</v>
      </c>
      <c r="B454" s="6" t="s">
        <v>1209</v>
      </c>
      <c r="C454" s="6" t="s">
        <v>84</v>
      </c>
      <c r="D454" s="6" t="s">
        <v>32</v>
      </c>
      <c r="E454" s="6" t="s">
        <v>90</v>
      </c>
      <c r="F454" s="6">
        <v>31</v>
      </c>
      <c r="G454" s="6" t="s">
        <v>34</v>
      </c>
      <c r="H454" s="6" t="s">
        <v>1210</v>
      </c>
      <c r="I454" s="6" t="s">
        <v>3578</v>
      </c>
      <c r="J454" s="8">
        <v>45319</v>
      </c>
      <c r="K454" s="8">
        <v>45304</v>
      </c>
      <c r="L454" s="6">
        <v>2750.4</v>
      </c>
      <c r="M454" s="6">
        <v>10800.75</v>
      </c>
      <c r="N454" s="6">
        <v>610</v>
      </c>
      <c r="O454" s="6">
        <v>27000</v>
      </c>
      <c r="P454" s="6" t="s">
        <v>76</v>
      </c>
      <c r="Q454" s="6" t="s">
        <v>43</v>
      </c>
      <c r="R454" s="6">
        <v>0</v>
      </c>
      <c r="S454" s="6" t="s">
        <v>28</v>
      </c>
      <c r="T454" s="7">
        <f t="shared" si="35"/>
        <v>0.40002777777777776</v>
      </c>
      <c r="U454" s="6">
        <f t="shared" si="36"/>
        <v>2</v>
      </c>
      <c r="V454" s="5" t="str">
        <f t="shared" si="37"/>
        <v>FAIR</v>
      </c>
      <c r="W454" s="6" t="str">
        <f t="shared" si="38"/>
        <v>25-34</v>
      </c>
      <c r="X454" s="6" t="str">
        <f t="shared" si="39"/>
        <v>Low</v>
      </c>
    </row>
    <row r="455" spans="1:24">
      <c r="A455" s="6" t="s">
        <v>595</v>
      </c>
      <c r="B455" s="6" t="s">
        <v>1211</v>
      </c>
      <c r="C455" s="6" t="s">
        <v>21</v>
      </c>
      <c r="D455" s="6" t="s">
        <v>209</v>
      </c>
      <c r="E455" s="6" t="s">
        <v>210</v>
      </c>
      <c r="F455" s="6">
        <v>63</v>
      </c>
      <c r="G455" s="6" t="s">
        <v>24</v>
      </c>
      <c r="H455" s="6" t="s">
        <v>1212</v>
      </c>
      <c r="I455" s="6" t="s">
        <v>3633</v>
      </c>
      <c r="J455" s="8">
        <v>43143</v>
      </c>
      <c r="K455" s="8">
        <v>45299</v>
      </c>
      <c r="L455" s="6">
        <v>288400.8</v>
      </c>
      <c r="M455" s="6">
        <v>86000.25</v>
      </c>
      <c r="N455" s="6">
        <v>825</v>
      </c>
      <c r="O455" s="6">
        <v>283000</v>
      </c>
      <c r="P455" s="6" t="s">
        <v>36</v>
      </c>
      <c r="Q455" s="6" t="s">
        <v>27</v>
      </c>
      <c r="R455" s="6">
        <v>0</v>
      </c>
      <c r="S455" s="6" t="s">
        <v>28</v>
      </c>
      <c r="T455" s="7">
        <f t="shared" si="35"/>
        <v>0.30388780918727915</v>
      </c>
      <c r="U455" s="6">
        <f t="shared" si="36"/>
        <v>7</v>
      </c>
      <c r="V455" s="5" t="str">
        <f t="shared" si="37"/>
        <v>EXCEPTIONAL</v>
      </c>
      <c r="W455" s="6" t="str">
        <f t="shared" si="38"/>
        <v>55+</v>
      </c>
      <c r="X455" s="6" t="str">
        <f t="shared" si="39"/>
        <v>High</v>
      </c>
    </row>
    <row r="456" spans="1:24">
      <c r="A456" s="6" t="s">
        <v>226</v>
      </c>
      <c r="B456" s="6" t="s">
        <v>1213</v>
      </c>
      <c r="C456" s="6" t="s">
        <v>57</v>
      </c>
      <c r="D456" s="6" t="s">
        <v>228</v>
      </c>
      <c r="E456" s="6" t="s">
        <v>229</v>
      </c>
      <c r="F456" s="6">
        <v>38</v>
      </c>
      <c r="G456" s="6" t="s">
        <v>34</v>
      </c>
      <c r="H456" s="6" t="s">
        <v>1214</v>
      </c>
      <c r="I456" s="6" t="s">
        <v>3903</v>
      </c>
      <c r="J456" s="8">
        <v>44887</v>
      </c>
      <c r="K456" s="8">
        <v>45305</v>
      </c>
      <c r="L456" s="6">
        <v>21100.75</v>
      </c>
      <c r="M456" s="6">
        <v>8400.4</v>
      </c>
      <c r="N456" s="6">
        <v>725</v>
      </c>
      <c r="O456" s="6">
        <v>59000</v>
      </c>
      <c r="P456" s="6" t="s">
        <v>36</v>
      </c>
      <c r="Q456" s="6" t="s">
        <v>27</v>
      </c>
      <c r="R456" s="6">
        <v>0</v>
      </c>
      <c r="S456" s="6" t="s">
        <v>28</v>
      </c>
      <c r="T456" s="7">
        <f t="shared" si="35"/>
        <v>0.14237966101694915</v>
      </c>
      <c r="U456" s="6">
        <f t="shared" si="36"/>
        <v>1</v>
      </c>
      <c r="V456" s="5" t="str">
        <f t="shared" si="37"/>
        <v>GOOD</v>
      </c>
      <c r="W456" s="6" t="str">
        <f t="shared" si="38"/>
        <v>35-44</v>
      </c>
      <c r="X456" s="6" t="str">
        <f t="shared" si="39"/>
        <v>Low</v>
      </c>
    </row>
    <row r="457" spans="1:24">
      <c r="A457" s="6" t="s">
        <v>488</v>
      </c>
      <c r="B457" s="6" t="s">
        <v>1215</v>
      </c>
      <c r="C457" s="6" t="s">
        <v>39</v>
      </c>
      <c r="D457" s="6" t="s">
        <v>304</v>
      </c>
      <c r="E457" s="6" t="s">
        <v>304</v>
      </c>
      <c r="F457" s="6">
        <v>55</v>
      </c>
      <c r="G457" s="6" t="s">
        <v>24</v>
      </c>
      <c r="H457" s="6" t="s">
        <v>1216</v>
      </c>
      <c r="I457" s="6" t="s">
        <v>3904</v>
      </c>
      <c r="J457" s="8">
        <v>43624</v>
      </c>
      <c r="K457" s="8">
        <v>45300</v>
      </c>
      <c r="L457" s="6">
        <v>168600.6</v>
      </c>
      <c r="M457" s="6">
        <v>86000.9</v>
      </c>
      <c r="N457" s="6">
        <v>675</v>
      </c>
      <c r="O457" s="6">
        <v>183000</v>
      </c>
      <c r="P457" s="6" t="s">
        <v>76</v>
      </c>
      <c r="Q457" s="6" t="s">
        <v>27</v>
      </c>
      <c r="R457" s="6">
        <v>0</v>
      </c>
      <c r="S457" s="6" t="s">
        <v>28</v>
      </c>
      <c r="T457" s="7">
        <f t="shared" si="35"/>
        <v>0.4699502732240437</v>
      </c>
      <c r="U457" s="6">
        <f t="shared" si="36"/>
        <v>6</v>
      </c>
      <c r="V457" s="5" t="str">
        <f t="shared" si="37"/>
        <v>GOOD</v>
      </c>
      <c r="W457" s="6" t="str">
        <f t="shared" si="38"/>
        <v>55+</v>
      </c>
      <c r="X457" s="6" t="str">
        <f t="shared" si="39"/>
        <v>Upper-Middle</v>
      </c>
    </row>
    <row r="458" spans="1:24">
      <c r="A458" s="6" t="s">
        <v>491</v>
      </c>
      <c r="B458" s="6" t="s">
        <v>1217</v>
      </c>
      <c r="C458" s="6" t="s">
        <v>52</v>
      </c>
      <c r="D458" s="6" t="s">
        <v>493</v>
      </c>
      <c r="E458" s="6" t="s">
        <v>494</v>
      </c>
      <c r="F458" s="6">
        <v>46</v>
      </c>
      <c r="G458" s="6" t="s">
        <v>34</v>
      </c>
      <c r="H458" s="6" t="s">
        <v>1218</v>
      </c>
      <c r="I458" s="6" t="s">
        <v>3905</v>
      </c>
      <c r="J458" s="8">
        <v>44399</v>
      </c>
      <c r="K458" s="8">
        <v>45302</v>
      </c>
      <c r="L458" s="6">
        <v>48600.4</v>
      </c>
      <c r="M458" s="6">
        <v>23300.25</v>
      </c>
      <c r="N458" s="6">
        <v>705</v>
      </c>
      <c r="O458" s="6">
        <v>91000</v>
      </c>
      <c r="P458" s="6" t="s">
        <v>26</v>
      </c>
      <c r="Q458" s="6" t="s">
        <v>27</v>
      </c>
      <c r="R458" s="6">
        <v>0</v>
      </c>
      <c r="S458" s="6" t="s">
        <v>28</v>
      </c>
      <c r="T458" s="7">
        <f t="shared" si="35"/>
        <v>0.25604670329670332</v>
      </c>
      <c r="U458" s="6">
        <f t="shared" si="36"/>
        <v>4</v>
      </c>
      <c r="V458" s="5" t="str">
        <f t="shared" si="37"/>
        <v>GOOD</v>
      </c>
      <c r="W458" s="6" t="str">
        <f t="shared" si="38"/>
        <v>45-54</v>
      </c>
      <c r="X458" s="6" t="str">
        <f t="shared" si="39"/>
        <v>Lower-Middle</v>
      </c>
    </row>
    <row r="459" spans="1:24">
      <c r="A459" s="6" t="s">
        <v>496</v>
      </c>
      <c r="B459" s="6" t="s">
        <v>1219</v>
      </c>
      <c r="C459" s="6" t="s">
        <v>46</v>
      </c>
      <c r="D459" s="6" t="s">
        <v>321</v>
      </c>
      <c r="E459" s="6" t="s">
        <v>322</v>
      </c>
      <c r="F459" s="6">
        <v>49</v>
      </c>
      <c r="G459" s="6" t="s">
        <v>24</v>
      </c>
      <c r="H459" s="6" t="s">
        <v>1220</v>
      </c>
      <c r="I459" s="6" t="s">
        <v>3906</v>
      </c>
      <c r="J459" s="8">
        <v>43873</v>
      </c>
      <c r="K459" s="8">
        <v>45301</v>
      </c>
      <c r="L459" s="6">
        <v>95500.75</v>
      </c>
      <c r="M459" s="6">
        <v>44400.800000000003</v>
      </c>
      <c r="N459" s="6">
        <v>730</v>
      </c>
      <c r="O459" s="6">
        <v>157000</v>
      </c>
      <c r="P459" s="6" t="s">
        <v>26</v>
      </c>
      <c r="Q459" s="6" t="s">
        <v>27</v>
      </c>
      <c r="R459" s="6">
        <v>0</v>
      </c>
      <c r="S459" s="6" t="s">
        <v>28</v>
      </c>
      <c r="T459" s="7">
        <f t="shared" si="35"/>
        <v>0.28280764331210195</v>
      </c>
      <c r="U459" s="6">
        <f t="shared" si="36"/>
        <v>5</v>
      </c>
      <c r="V459" s="5" t="str">
        <f t="shared" si="37"/>
        <v>GOOD</v>
      </c>
      <c r="W459" s="6" t="str">
        <f t="shared" si="38"/>
        <v>45-54</v>
      </c>
      <c r="X459" s="6" t="str">
        <f t="shared" si="39"/>
        <v>Upper-Middle</v>
      </c>
    </row>
    <row r="460" spans="1:24">
      <c r="A460" s="6" t="s">
        <v>324</v>
      </c>
      <c r="B460" s="6" t="s">
        <v>1221</v>
      </c>
      <c r="C460" s="6" t="s">
        <v>31</v>
      </c>
      <c r="D460" s="6" t="s">
        <v>313</v>
      </c>
      <c r="E460" s="6" t="s">
        <v>501</v>
      </c>
      <c r="F460" s="6">
        <v>34</v>
      </c>
      <c r="G460" s="6" t="s">
        <v>34</v>
      </c>
      <c r="H460" s="6" t="s">
        <v>1222</v>
      </c>
      <c r="I460" s="6" t="s">
        <v>3907</v>
      </c>
      <c r="J460" s="8">
        <v>45258</v>
      </c>
      <c r="K460" s="8">
        <v>45306</v>
      </c>
      <c r="L460" s="6">
        <v>11000.9</v>
      </c>
      <c r="M460" s="6">
        <v>6900.75</v>
      </c>
      <c r="N460" s="6">
        <v>685</v>
      </c>
      <c r="O460" s="6">
        <v>44000</v>
      </c>
      <c r="P460" s="6" t="s">
        <v>26</v>
      </c>
      <c r="Q460" s="6" t="s">
        <v>43</v>
      </c>
      <c r="R460" s="6">
        <v>0</v>
      </c>
      <c r="S460" s="6" t="s">
        <v>28</v>
      </c>
      <c r="T460" s="7">
        <f t="shared" si="35"/>
        <v>0.15683522727272728</v>
      </c>
      <c r="U460" s="6">
        <f t="shared" si="36"/>
        <v>0</v>
      </c>
      <c r="V460" s="5" t="str">
        <f t="shared" si="37"/>
        <v>GOOD</v>
      </c>
      <c r="W460" s="6" t="str">
        <f t="shared" si="38"/>
        <v>25-34</v>
      </c>
      <c r="X460" s="6" t="str">
        <f t="shared" si="39"/>
        <v>Low</v>
      </c>
    </row>
    <row r="461" spans="1:24">
      <c r="A461" s="6" t="s">
        <v>503</v>
      </c>
      <c r="B461" s="6" t="s">
        <v>1223</v>
      </c>
      <c r="C461" s="6" t="s">
        <v>21</v>
      </c>
      <c r="D461" s="6" t="s">
        <v>32</v>
      </c>
      <c r="E461" s="6" t="s">
        <v>33</v>
      </c>
      <c r="F461" s="6">
        <v>66</v>
      </c>
      <c r="G461" s="6" t="s">
        <v>24</v>
      </c>
      <c r="H461" s="6" t="s">
        <v>1224</v>
      </c>
      <c r="I461" s="6" t="s">
        <v>3908</v>
      </c>
      <c r="J461" s="8">
        <v>42883</v>
      </c>
      <c r="K461" s="8">
        <v>45299</v>
      </c>
      <c r="L461" s="6">
        <v>299300.25</v>
      </c>
      <c r="M461" s="6">
        <v>90000.4</v>
      </c>
      <c r="N461" s="6">
        <v>840</v>
      </c>
      <c r="O461" s="6">
        <v>298000</v>
      </c>
      <c r="P461" s="6" t="s">
        <v>36</v>
      </c>
      <c r="Q461" s="6" t="s">
        <v>27</v>
      </c>
      <c r="R461" s="6">
        <v>0</v>
      </c>
      <c r="S461" s="6" t="s">
        <v>28</v>
      </c>
      <c r="T461" s="7">
        <f t="shared" si="35"/>
        <v>0.3020147651006711</v>
      </c>
      <c r="U461" s="6">
        <f t="shared" si="36"/>
        <v>7</v>
      </c>
      <c r="V461" s="5" t="str">
        <f t="shared" si="37"/>
        <v>EXCEPTIONAL</v>
      </c>
      <c r="W461" s="6" t="str">
        <f t="shared" si="38"/>
        <v>55+</v>
      </c>
      <c r="X461" s="6" t="str">
        <f t="shared" si="39"/>
        <v>High</v>
      </c>
    </row>
    <row r="462" spans="1:24">
      <c r="A462" s="6" t="s">
        <v>506</v>
      </c>
      <c r="B462" s="6" t="s">
        <v>1225</v>
      </c>
      <c r="C462" s="6" t="s">
        <v>39</v>
      </c>
      <c r="D462" s="6" t="s">
        <v>68</v>
      </c>
      <c r="E462" s="6" t="s">
        <v>69</v>
      </c>
      <c r="F462" s="6">
        <v>58</v>
      </c>
      <c r="G462" s="6" t="s">
        <v>34</v>
      </c>
      <c r="H462" s="6" t="s">
        <v>1226</v>
      </c>
      <c r="I462" s="6" t="s">
        <v>3869</v>
      </c>
      <c r="J462" s="8">
        <v>43388</v>
      </c>
      <c r="K462" s="8">
        <v>45300</v>
      </c>
      <c r="L462" s="6">
        <v>179700.4</v>
      </c>
      <c r="M462" s="6">
        <v>90000.75</v>
      </c>
      <c r="N462" s="6">
        <v>650</v>
      </c>
      <c r="O462" s="6">
        <v>193000</v>
      </c>
      <c r="P462" s="6" t="s">
        <v>76</v>
      </c>
      <c r="Q462" s="6" t="s">
        <v>27</v>
      </c>
      <c r="R462" s="6">
        <v>0</v>
      </c>
      <c r="S462" s="6" t="s">
        <v>28</v>
      </c>
      <c r="T462" s="7">
        <f t="shared" si="35"/>
        <v>0.46632512953367877</v>
      </c>
      <c r="U462" s="6">
        <f t="shared" si="36"/>
        <v>6</v>
      </c>
      <c r="V462" s="5" t="str">
        <f t="shared" si="37"/>
        <v>FAIR</v>
      </c>
      <c r="W462" s="6" t="str">
        <f t="shared" si="38"/>
        <v>55+</v>
      </c>
      <c r="X462" s="6" t="str">
        <f t="shared" si="39"/>
        <v>High</v>
      </c>
    </row>
    <row r="463" spans="1:24">
      <c r="A463" s="6" t="s">
        <v>509</v>
      </c>
      <c r="B463" s="6" t="s">
        <v>1227</v>
      </c>
      <c r="C463" s="6" t="s">
        <v>46</v>
      </c>
      <c r="D463" s="6" t="s">
        <v>73</v>
      </c>
      <c r="E463" s="6" t="s">
        <v>158</v>
      </c>
      <c r="F463" s="6">
        <v>45</v>
      </c>
      <c r="G463" s="6" t="s">
        <v>24</v>
      </c>
      <c r="H463" s="6" t="s">
        <v>1228</v>
      </c>
      <c r="I463" s="6" t="s">
        <v>3909</v>
      </c>
      <c r="J463" s="8">
        <v>44614</v>
      </c>
      <c r="K463" s="8">
        <v>45303</v>
      </c>
      <c r="L463" s="6">
        <v>83300.399999999994</v>
      </c>
      <c r="M463" s="6">
        <v>38600.25</v>
      </c>
      <c r="N463" s="6">
        <v>745</v>
      </c>
      <c r="O463" s="6">
        <v>137000</v>
      </c>
      <c r="P463" s="6" t="s">
        <v>26</v>
      </c>
      <c r="Q463" s="6" t="s">
        <v>27</v>
      </c>
      <c r="R463" s="6">
        <v>0</v>
      </c>
      <c r="S463" s="6" t="s">
        <v>28</v>
      </c>
      <c r="T463" s="7">
        <f t="shared" si="35"/>
        <v>0.28175364963503652</v>
      </c>
      <c r="U463" s="6">
        <f t="shared" si="36"/>
        <v>3</v>
      </c>
      <c r="V463" s="5" t="str">
        <f t="shared" si="37"/>
        <v>GOOD</v>
      </c>
      <c r="W463" s="6" t="str">
        <f t="shared" si="38"/>
        <v>45-54</v>
      </c>
      <c r="X463" s="6" t="str">
        <f t="shared" si="39"/>
        <v>Upper-Middle</v>
      </c>
    </row>
    <row r="464" spans="1:24">
      <c r="A464" s="6" t="s">
        <v>513</v>
      </c>
      <c r="B464" s="6" t="s">
        <v>1229</v>
      </c>
      <c r="C464" s="6" t="s">
        <v>57</v>
      </c>
      <c r="D464" s="6" t="s">
        <v>58</v>
      </c>
      <c r="E464" s="6" t="s">
        <v>122</v>
      </c>
      <c r="F464" s="6">
        <v>40</v>
      </c>
      <c r="G464" s="6" t="s">
        <v>34</v>
      </c>
      <c r="H464" s="6" t="s">
        <v>1230</v>
      </c>
      <c r="I464" s="6" t="s">
        <v>3910</v>
      </c>
      <c r="J464" s="8">
        <v>44801</v>
      </c>
      <c r="K464" s="8">
        <v>45302</v>
      </c>
      <c r="L464" s="6">
        <v>23300.799999999999</v>
      </c>
      <c r="M464" s="6">
        <v>9600.9</v>
      </c>
      <c r="N464" s="6">
        <v>765</v>
      </c>
      <c r="O464" s="6">
        <v>69000</v>
      </c>
      <c r="P464" s="6" t="s">
        <v>36</v>
      </c>
      <c r="Q464" s="6" t="s">
        <v>27</v>
      </c>
      <c r="R464" s="6">
        <v>0</v>
      </c>
      <c r="S464" s="6" t="s">
        <v>28</v>
      </c>
      <c r="T464" s="7">
        <f t="shared" si="35"/>
        <v>0.13914347826086956</v>
      </c>
      <c r="U464" s="6">
        <f t="shared" si="36"/>
        <v>4</v>
      </c>
      <c r="V464" s="5" t="str">
        <f t="shared" si="37"/>
        <v>VERY GOOD</v>
      </c>
      <c r="W464" s="6" t="str">
        <f t="shared" si="38"/>
        <v>35-44</v>
      </c>
      <c r="X464" s="6" t="str">
        <f t="shared" si="39"/>
        <v>Low</v>
      </c>
    </row>
    <row r="465" spans="1:24">
      <c r="A465" s="6" t="s">
        <v>516</v>
      </c>
      <c r="B465" s="6" t="s">
        <v>1231</v>
      </c>
      <c r="C465" s="6" t="s">
        <v>52</v>
      </c>
      <c r="D465" s="6" t="s">
        <v>277</v>
      </c>
      <c r="E465" s="6" t="s">
        <v>404</v>
      </c>
      <c r="F465" s="6">
        <v>53</v>
      </c>
      <c r="G465" s="6" t="s">
        <v>24</v>
      </c>
      <c r="H465" s="6" t="s">
        <v>1232</v>
      </c>
      <c r="I465" s="6" t="s">
        <v>3911</v>
      </c>
      <c r="J465" s="8">
        <v>44071</v>
      </c>
      <c r="K465" s="8">
        <v>45301</v>
      </c>
      <c r="L465" s="6">
        <v>56600.75</v>
      </c>
      <c r="M465" s="6">
        <v>29700.400000000001</v>
      </c>
      <c r="N465" s="6">
        <v>675</v>
      </c>
      <c r="O465" s="6">
        <v>109000</v>
      </c>
      <c r="P465" s="6" t="s">
        <v>26</v>
      </c>
      <c r="Q465" s="6" t="s">
        <v>27</v>
      </c>
      <c r="R465" s="6">
        <v>0</v>
      </c>
      <c r="S465" s="6" t="s">
        <v>28</v>
      </c>
      <c r="T465" s="7">
        <f t="shared" si="35"/>
        <v>0.27248073394495415</v>
      </c>
      <c r="U465" s="6">
        <f t="shared" si="36"/>
        <v>5</v>
      </c>
      <c r="V465" s="5" t="str">
        <f t="shared" si="37"/>
        <v>GOOD</v>
      </c>
      <c r="W465" s="6" t="str">
        <f t="shared" si="38"/>
        <v>45-54</v>
      </c>
      <c r="X465" s="6" t="str">
        <f t="shared" si="39"/>
        <v>Lower-Middle</v>
      </c>
    </row>
    <row r="466" spans="1:24">
      <c r="A466" s="6" t="s">
        <v>519</v>
      </c>
      <c r="B466" s="6" t="s">
        <v>1233</v>
      </c>
      <c r="C466" s="6" t="s">
        <v>84</v>
      </c>
      <c r="D466" s="6" t="s">
        <v>183</v>
      </c>
      <c r="E466" s="6" t="s">
        <v>184</v>
      </c>
      <c r="F466" s="6">
        <v>32</v>
      </c>
      <c r="G466" s="6" t="s">
        <v>34</v>
      </c>
      <c r="H466" s="6" t="s">
        <v>1234</v>
      </c>
      <c r="I466" s="6" t="s">
        <v>3912</v>
      </c>
      <c r="J466" s="8">
        <v>45327</v>
      </c>
      <c r="K466" s="8">
        <v>45304</v>
      </c>
      <c r="L466" s="6">
        <v>3000.25</v>
      </c>
      <c r="M466" s="6">
        <v>12000.6</v>
      </c>
      <c r="N466" s="6">
        <v>615</v>
      </c>
      <c r="O466" s="6">
        <v>29000</v>
      </c>
      <c r="P466" s="6" t="s">
        <v>76</v>
      </c>
      <c r="Q466" s="6" t="s">
        <v>43</v>
      </c>
      <c r="R466" s="6">
        <v>0</v>
      </c>
      <c r="S466" s="6" t="s">
        <v>28</v>
      </c>
      <c r="T466" s="7">
        <f t="shared" si="35"/>
        <v>0.41381379310344829</v>
      </c>
      <c r="U466" s="6">
        <f t="shared" si="36"/>
        <v>2</v>
      </c>
      <c r="V466" s="5" t="str">
        <f t="shared" si="37"/>
        <v>FAIR</v>
      </c>
      <c r="W466" s="6" t="str">
        <f t="shared" si="38"/>
        <v>25-34</v>
      </c>
      <c r="X466" s="6" t="str">
        <f t="shared" si="39"/>
        <v>Low</v>
      </c>
    </row>
    <row r="467" spans="1:24">
      <c r="A467" s="6" t="s">
        <v>522</v>
      </c>
      <c r="B467" s="6" t="s">
        <v>1235</v>
      </c>
      <c r="C467" s="6" t="s">
        <v>39</v>
      </c>
      <c r="D467" s="6" t="s">
        <v>40</v>
      </c>
      <c r="E467" s="6" t="s">
        <v>41</v>
      </c>
      <c r="F467" s="6">
        <v>60</v>
      </c>
      <c r="G467" s="6" t="s">
        <v>24</v>
      </c>
      <c r="H467" s="6" t="s">
        <v>1236</v>
      </c>
      <c r="I467" s="6" t="s">
        <v>3510</v>
      </c>
      <c r="J467" s="8">
        <v>43371</v>
      </c>
      <c r="K467" s="8">
        <v>45299</v>
      </c>
      <c r="L467" s="6">
        <v>214300.79999999999</v>
      </c>
      <c r="M467" s="6">
        <v>103000.25</v>
      </c>
      <c r="N467" s="6">
        <v>660</v>
      </c>
      <c r="O467" s="6">
        <v>228000</v>
      </c>
      <c r="P467" s="6" t="s">
        <v>76</v>
      </c>
      <c r="Q467" s="6" t="s">
        <v>27</v>
      </c>
      <c r="R467" s="6">
        <v>0</v>
      </c>
      <c r="S467" s="6" t="s">
        <v>28</v>
      </c>
      <c r="T467" s="7">
        <f t="shared" si="35"/>
        <v>0.45175548245614033</v>
      </c>
      <c r="U467" s="6">
        <f t="shared" si="36"/>
        <v>7</v>
      </c>
      <c r="V467" s="5" t="str">
        <f t="shared" si="37"/>
        <v>FAIR</v>
      </c>
      <c r="W467" s="6" t="str">
        <f t="shared" si="38"/>
        <v>55+</v>
      </c>
      <c r="X467" s="6" t="str">
        <f t="shared" si="39"/>
        <v>High</v>
      </c>
    </row>
    <row r="468" spans="1:24">
      <c r="A468" s="6" t="s">
        <v>306</v>
      </c>
      <c r="B468" s="6" t="s">
        <v>1237</v>
      </c>
      <c r="C468" s="6" t="s">
        <v>46</v>
      </c>
      <c r="D468" s="6" t="s">
        <v>209</v>
      </c>
      <c r="E468" s="6" t="s">
        <v>703</v>
      </c>
      <c r="F468" s="6">
        <v>47</v>
      </c>
      <c r="G468" s="6" t="s">
        <v>34</v>
      </c>
      <c r="H468" s="6" t="s">
        <v>1238</v>
      </c>
      <c r="I468" s="6" t="s">
        <v>3913</v>
      </c>
      <c r="J468" s="8">
        <v>44211</v>
      </c>
      <c r="K468" s="8">
        <v>45302</v>
      </c>
      <c r="L468" s="6">
        <v>77700.899999999994</v>
      </c>
      <c r="M468" s="6">
        <v>35500.75</v>
      </c>
      <c r="N468" s="6">
        <v>730</v>
      </c>
      <c r="O468" s="6">
        <v>132000</v>
      </c>
      <c r="P468" s="6" t="s">
        <v>26</v>
      </c>
      <c r="Q468" s="6" t="s">
        <v>27</v>
      </c>
      <c r="R468" s="6">
        <v>0</v>
      </c>
      <c r="S468" s="6" t="s">
        <v>28</v>
      </c>
      <c r="T468" s="7">
        <f t="shared" si="35"/>
        <v>0.26894507575757576</v>
      </c>
      <c r="U468" s="6">
        <f t="shared" si="36"/>
        <v>4</v>
      </c>
      <c r="V468" s="5" t="str">
        <f t="shared" si="37"/>
        <v>GOOD</v>
      </c>
      <c r="W468" s="6" t="str">
        <f t="shared" si="38"/>
        <v>45-54</v>
      </c>
      <c r="X468" s="6" t="str">
        <f t="shared" si="39"/>
        <v>Upper-Middle</v>
      </c>
    </row>
    <row r="469" spans="1:24">
      <c r="A469" s="6" t="s">
        <v>527</v>
      </c>
      <c r="B469" s="6" t="s">
        <v>1239</v>
      </c>
      <c r="C469" s="6" t="s">
        <v>31</v>
      </c>
      <c r="D469" s="6" t="s">
        <v>32</v>
      </c>
      <c r="E469" s="6" t="s">
        <v>90</v>
      </c>
      <c r="F469" s="6">
        <v>36</v>
      </c>
      <c r="G469" s="6" t="s">
        <v>34</v>
      </c>
      <c r="H469" s="6" t="s">
        <v>1240</v>
      </c>
      <c r="I469" s="6" t="s">
        <v>3509</v>
      </c>
      <c r="J469" s="8">
        <v>45282</v>
      </c>
      <c r="K469" s="8">
        <v>45305</v>
      </c>
      <c r="L469" s="6">
        <v>12100.4</v>
      </c>
      <c r="M469" s="6">
        <v>7000.25</v>
      </c>
      <c r="N469" s="6">
        <v>705</v>
      </c>
      <c r="O469" s="6">
        <v>46000</v>
      </c>
      <c r="P469" s="6" t="s">
        <v>26</v>
      </c>
      <c r="Q469" s="6" t="s">
        <v>43</v>
      </c>
      <c r="R469" s="6">
        <v>0</v>
      </c>
      <c r="S469" s="6" t="s">
        <v>28</v>
      </c>
      <c r="T469" s="7">
        <f t="shared" si="35"/>
        <v>0.15217934782608697</v>
      </c>
      <c r="U469" s="6">
        <f t="shared" si="36"/>
        <v>1</v>
      </c>
      <c r="V469" s="5" t="str">
        <f t="shared" si="37"/>
        <v>GOOD</v>
      </c>
      <c r="W469" s="6" t="str">
        <f t="shared" si="38"/>
        <v>35-44</v>
      </c>
      <c r="X469" s="6" t="str">
        <f t="shared" si="39"/>
        <v>Low</v>
      </c>
    </row>
    <row r="470" spans="1:24">
      <c r="A470" s="6" t="s">
        <v>530</v>
      </c>
      <c r="B470" s="6" t="s">
        <v>1241</v>
      </c>
      <c r="C470" s="6" t="s">
        <v>57</v>
      </c>
      <c r="D470" s="6" t="s">
        <v>219</v>
      </c>
      <c r="E470" s="6" t="s">
        <v>220</v>
      </c>
      <c r="F470" s="6">
        <v>41</v>
      </c>
      <c r="G470" s="6" t="s">
        <v>24</v>
      </c>
      <c r="H470" s="6" t="s">
        <v>1242</v>
      </c>
      <c r="I470" s="6" t="s">
        <v>3914</v>
      </c>
      <c r="J470" s="8">
        <v>44764</v>
      </c>
      <c r="K470" s="8">
        <v>45303</v>
      </c>
      <c r="L470" s="6">
        <v>22200.6</v>
      </c>
      <c r="M470" s="6">
        <v>9000.7999999999993</v>
      </c>
      <c r="N470" s="6">
        <v>710</v>
      </c>
      <c r="O470" s="6">
        <v>62000</v>
      </c>
      <c r="P470" s="6" t="s">
        <v>36</v>
      </c>
      <c r="Q470" s="6" t="s">
        <v>27</v>
      </c>
      <c r="R470" s="6">
        <v>0</v>
      </c>
      <c r="S470" s="6" t="s">
        <v>28</v>
      </c>
      <c r="T470" s="7">
        <f t="shared" si="35"/>
        <v>0.14517419354838709</v>
      </c>
      <c r="U470" s="6">
        <f t="shared" si="36"/>
        <v>3</v>
      </c>
      <c r="V470" s="5" t="str">
        <f t="shared" si="37"/>
        <v>GOOD</v>
      </c>
      <c r="W470" s="6" t="str">
        <f t="shared" si="38"/>
        <v>35-44</v>
      </c>
      <c r="X470" s="6" t="str">
        <f t="shared" si="39"/>
        <v>Low</v>
      </c>
    </row>
    <row r="471" spans="1:24">
      <c r="A471" s="6" t="s">
        <v>533</v>
      </c>
      <c r="B471" s="6" t="s">
        <v>1243</v>
      </c>
      <c r="C471" s="6" t="s">
        <v>52</v>
      </c>
      <c r="D471" s="6" t="s">
        <v>204</v>
      </c>
      <c r="E471" s="6" t="s">
        <v>259</v>
      </c>
      <c r="F471" s="6">
        <v>48</v>
      </c>
      <c r="G471" s="6" t="s">
        <v>34</v>
      </c>
      <c r="H471" s="6" t="s">
        <v>1244</v>
      </c>
      <c r="I471" s="6" t="s">
        <v>3915</v>
      </c>
      <c r="J471" s="8">
        <v>44071</v>
      </c>
      <c r="K471" s="8">
        <v>45301</v>
      </c>
      <c r="L471" s="6">
        <v>53500.25</v>
      </c>
      <c r="M471" s="6">
        <v>26600.9</v>
      </c>
      <c r="N471" s="6">
        <v>695</v>
      </c>
      <c r="O471" s="6">
        <v>97000</v>
      </c>
      <c r="P471" s="6" t="s">
        <v>26</v>
      </c>
      <c r="Q471" s="6" t="s">
        <v>27</v>
      </c>
      <c r="R471" s="6">
        <v>0</v>
      </c>
      <c r="S471" s="6" t="s">
        <v>28</v>
      </c>
      <c r="T471" s="7">
        <f t="shared" si="35"/>
        <v>0.27423608247422682</v>
      </c>
      <c r="U471" s="6">
        <f t="shared" si="36"/>
        <v>5</v>
      </c>
      <c r="V471" s="5" t="str">
        <f t="shared" si="37"/>
        <v>GOOD</v>
      </c>
      <c r="W471" s="6" t="str">
        <f t="shared" si="38"/>
        <v>45-54</v>
      </c>
      <c r="X471" s="6" t="str">
        <f t="shared" si="39"/>
        <v>Lower-Middle</v>
      </c>
    </row>
    <row r="472" spans="1:24">
      <c r="A472" s="6" t="s">
        <v>536</v>
      </c>
      <c r="B472" s="6" t="s">
        <v>1245</v>
      </c>
      <c r="C472" s="6" t="s">
        <v>39</v>
      </c>
      <c r="D472" s="6" t="s">
        <v>195</v>
      </c>
      <c r="E472" s="6" t="s">
        <v>196</v>
      </c>
      <c r="F472" s="6">
        <v>56</v>
      </c>
      <c r="G472" s="6" t="s">
        <v>24</v>
      </c>
      <c r="H472" s="6" t="s">
        <v>1246</v>
      </c>
      <c r="I472" s="6" t="s">
        <v>3916</v>
      </c>
      <c r="J472" s="8">
        <v>43518</v>
      </c>
      <c r="K472" s="8">
        <v>45300</v>
      </c>
      <c r="L472" s="6">
        <v>146500.4</v>
      </c>
      <c r="M472" s="6">
        <v>77000.600000000006</v>
      </c>
      <c r="N472" s="6">
        <v>670</v>
      </c>
      <c r="O472" s="6">
        <v>164000</v>
      </c>
      <c r="P472" s="6" t="s">
        <v>76</v>
      </c>
      <c r="Q472" s="6" t="s">
        <v>27</v>
      </c>
      <c r="R472" s="6">
        <v>0</v>
      </c>
      <c r="S472" s="6" t="s">
        <v>28</v>
      </c>
      <c r="T472" s="7">
        <f t="shared" si="35"/>
        <v>0.4695158536585366</v>
      </c>
      <c r="U472" s="6">
        <f t="shared" si="36"/>
        <v>6</v>
      </c>
      <c r="V472" s="5" t="str">
        <f t="shared" si="37"/>
        <v>GOOD</v>
      </c>
      <c r="W472" s="6" t="str">
        <f t="shared" si="38"/>
        <v>55+</v>
      </c>
      <c r="X472" s="6" t="str">
        <f t="shared" si="39"/>
        <v>Upper-Middle</v>
      </c>
    </row>
    <row r="473" spans="1:24">
      <c r="A473" s="6" t="s">
        <v>539</v>
      </c>
      <c r="B473" s="6" t="s">
        <v>1247</v>
      </c>
      <c r="C473" s="6" t="s">
        <v>21</v>
      </c>
      <c r="D473" s="6" t="s">
        <v>58</v>
      </c>
      <c r="E473" s="6" t="s">
        <v>59</v>
      </c>
      <c r="F473" s="6">
        <v>64</v>
      </c>
      <c r="G473" s="6" t="s">
        <v>34</v>
      </c>
      <c r="H473" s="6" t="s">
        <v>1248</v>
      </c>
      <c r="I473" s="6" t="s">
        <v>3564</v>
      </c>
      <c r="J473" s="8">
        <v>43091</v>
      </c>
      <c r="K473" s="8">
        <v>45299</v>
      </c>
      <c r="L473" s="6">
        <v>313400.75</v>
      </c>
      <c r="M473" s="6">
        <v>94000.8</v>
      </c>
      <c r="N473" s="6">
        <v>835</v>
      </c>
      <c r="O473" s="6">
        <v>309000</v>
      </c>
      <c r="P473" s="6" t="s">
        <v>36</v>
      </c>
      <c r="Q473" s="6" t="s">
        <v>27</v>
      </c>
      <c r="R473" s="6">
        <v>0</v>
      </c>
      <c r="S473" s="6" t="s">
        <v>28</v>
      </c>
      <c r="T473" s="7">
        <f t="shared" si="35"/>
        <v>0.30420970873786407</v>
      </c>
      <c r="U473" s="6">
        <f t="shared" si="36"/>
        <v>7</v>
      </c>
      <c r="V473" s="5" t="str">
        <f t="shared" si="37"/>
        <v>EXCEPTIONAL</v>
      </c>
      <c r="W473" s="6" t="str">
        <f t="shared" si="38"/>
        <v>55+</v>
      </c>
      <c r="X473" s="6" t="str">
        <f t="shared" si="39"/>
        <v>High</v>
      </c>
    </row>
    <row r="474" spans="1:24">
      <c r="A474" s="6" t="s">
        <v>542</v>
      </c>
      <c r="B474" s="6" t="s">
        <v>1249</v>
      </c>
      <c r="C474" s="6" t="s">
        <v>52</v>
      </c>
      <c r="D474" s="6" t="s">
        <v>68</v>
      </c>
      <c r="E474" s="6" t="s">
        <v>69</v>
      </c>
      <c r="F474" s="6">
        <v>51</v>
      </c>
      <c r="G474" s="6" t="s">
        <v>34</v>
      </c>
      <c r="H474" s="6" t="s">
        <v>1250</v>
      </c>
      <c r="I474" s="6" t="s">
        <v>3897</v>
      </c>
      <c r="J474" s="8">
        <v>44027</v>
      </c>
      <c r="K474" s="8">
        <v>45302</v>
      </c>
      <c r="L474" s="6">
        <v>62200.6</v>
      </c>
      <c r="M474" s="6">
        <v>32200.25</v>
      </c>
      <c r="N474" s="6">
        <v>665</v>
      </c>
      <c r="O474" s="6">
        <v>117000</v>
      </c>
      <c r="P474" s="6" t="s">
        <v>26</v>
      </c>
      <c r="Q474" s="6" t="s">
        <v>27</v>
      </c>
      <c r="R474" s="6">
        <v>0</v>
      </c>
      <c r="S474" s="6" t="s">
        <v>28</v>
      </c>
      <c r="T474" s="7">
        <f t="shared" si="35"/>
        <v>0.27521581196581196</v>
      </c>
      <c r="U474" s="6">
        <f t="shared" si="36"/>
        <v>4</v>
      </c>
      <c r="V474" s="5" t="str">
        <f t="shared" si="37"/>
        <v>FAIR</v>
      </c>
      <c r="W474" s="6" t="str">
        <f t="shared" si="38"/>
        <v>45-54</v>
      </c>
      <c r="X474" s="6" t="str">
        <f t="shared" si="39"/>
        <v>Lower-Middle</v>
      </c>
    </row>
    <row r="475" spans="1:24">
      <c r="A475" s="6" t="s">
        <v>545</v>
      </c>
      <c r="B475" s="6" t="s">
        <v>1251</v>
      </c>
      <c r="C475" s="6" t="s">
        <v>46</v>
      </c>
      <c r="D475" s="6" t="s">
        <v>241</v>
      </c>
      <c r="E475" s="6" t="s">
        <v>389</v>
      </c>
      <c r="F475" s="6">
        <v>43</v>
      </c>
      <c r="G475" s="6" t="s">
        <v>24</v>
      </c>
      <c r="H475" s="6" t="s">
        <v>1252</v>
      </c>
      <c r="I475" s="6" t="s">
        <v>3917</v>
      </c>
      <c r="J475" s="8">
        <v>44679</v>
      </c>
      <c r="K475" s="8">
        <v>45303</v>
      </c>
      <c r="L475" s="6">
        <v>85500.800000000003</v>
      </c>
      <c r="M475" s="6">
        <v>39700.400000000001</v>
      </c>
      <c r="N475" s="6">
        <v>750</v>
      </c>
      <c r="O475" s="6">
        <v>143000</v>
      </c>
      <c r="P475" s="6" t="s">
        <v>26</v>
      </c>
      <c r="Q475" s="6" t="s">
        <v>27</v>
      </c>
      <c r="R475" s="6">
        <v>0</v>
      </c>
      <c r="S475" s="6" t="s">
        <v>28</v>
      </c>
      <c r="T475" s="7">
        <f t="shared" si="35"/>
        <v>0.27762517482517485</v>
      </c>
      <c r="U475" s="6">
        <f t="shared" si="36"/>
        <v>3</v>
      </c>
      <c r="V475" s="5" t="str">
        <f t="shared" si="37"/>
        <v>VERY GOOD</v>
      </c>
      <c r="W475" s="6" t="str">
        <f t="shared" si="38"/>
        <v>35-44</v>
      </c>
      <c r="X475" s="6" t="str">
        <f t="shared" si="39"/>
        <v>Upper-Middle</v>
      </c>
    </row>
    <row r="476" spans="1:24">
      <c r="A476" s="6" t="s">
        <v>548</v>
      </c>
      <c r="B476" s="6" t="s">
        <v>1253</v>
      </c>
      <c r="C476" s="6" t="s">
        <v>57</v>
      </c>
      <c r="D476" s="6" t="s">
        <v>22</v>
      </c>
      <c r="E476" s="6" t="s">
        <v>118</v>
      </c>
      <c r="F476" s="6">
        <v>39</v>
      </c>
      <c r="G476" s="6" t="s">
        <v>34</v>
      </c>
      <c r="H476" s="6" t="s">
        <v>1254</v>
      </c>
      <c r="I476" s="6" t="s">
        <v>3641</v>
      </c>
      <c r="J476" s="8">
        <v>44856</v>
      </c>
      <c r="K476" s="8">
        <v>45305</v>
      </c>
      <c r="L476" s="6">
        <v>24400.9</v>
      </c>
      <c r="M476" s="6">
        <v>10000.75</v>
      </c>
      <c r="N476" s="6">
        <v>770</v>
      </c>
      <c r="O476" s="6">
        <v>74000</v>
      </c>
      <c r="P476" s="6" t="s">
        <v>36</v>
      </c>
      <c r="Q476" s="6" t="s">
        <v>27</v>
      </c>
      <c r="R476" s="6">
        <v>0</v>
      </c>
      <c r="S476" s="6" t="s">
        <v>28</v>
      </c>
      <c r="T476" s="7">
        <f t="shared" si="35"/>
        <v>0.13514527027027026</v>
      </c>
      <c r="U476" s="6">
        <f t="shared" si="36"/>
        <v>1</v>
      </c>
      <c r="V476" s="5" t="str">
        <f t="shared" si="37"/>
        <v>VERY GOOD</v>
      </c>
      <c r="W476" s="6" t="str">
        <f t="shared" si="38"/>
        <v>35-44</v>
      </c>
      <c r="X476" s="6" t="str">
        <f t="shared" si="39"/>
        <v>Low</v>
      </c>
    </row>
    <row r="477" spans="1:24">
      <c r="A477" s="6" t="s">
        <v>551</v>
      </c>
      <c r="B477" s="6" t="s">
        <v>1255</v>
      </c>
      <c r="C477" s="6" t="s">
        <v>39</v>
      </c>
      <c r="D477" s="6" t="s">
        <v>313</v>
      </c>
      <c r="E477" s="6" t="s">
        <v>314</v>
      </c>
      <c r="F477" s="6">
        <v>62</v>
      </c>
      <c r="G477" s="6" t="s">
        <v>24</v>
      </c>
      <c r="H477" s="6" t="s">
        <v>1256</v>
      </c>
      <c r="I477" s="6" t="s">
        <v>3918</v>
      </c>
      <c r="J477" s="8">
        <v>43279</v>
      </c>
      <c r="K477" s="8">
        <v>45299</v>
      </c>
      <c r="L477" s="6">
        <v>199600.25</v>
      </c>
      <c r="M477" s="6">
        <v>98000.8</v>
      </c>
      <c r="N477" s="6">
        <v>645</v>
      </c>
      <c r="O477" s="6">
        <v>214000</v>
      </c>
      <c r="P477" s="6" t="s">
        <v>76</v>
      </c>
      <c r="Q477" s="6" t="s">
        <v>27</v>
      </c>
      <c r="R477" s="6">
        <v>0</v>
      </c>
      <c r="S477" s="6" t="s">
        <v>28</v>
      </c>
      <c r="T477" s="7">
        <f t="shared" si="35"/>
        <v>0.45794766355140187</v>
      </c>
      <c r="U477" s="6">
        <f t="shared" si="36"/>
        <v>7</v>
      </c>
      <c r="V477" s="5" t="str">
        <f t="shared" si="37"/>
        <v>FAIR</v>
      </c>
      <c r="W477" s="6" t="str">
        <f t="shared" si="38"/>
        <v>55+</v>
      </c>
      <c r="X477" s="6" t="str">
        <f t="shared" si="39"/>
        <v>High</v>
      </c>
    </row>
    <row r="478" spans="1:24">
      <c r="A478" s="6" t="s">
        <v>554</v>
      </c>
      <c r="B478" s="6" t="s">
        <v>1257</v>
      </c>
      <c r="C478" s="6" t="s">
        <v>31</v>
      </c>
      <c r="D478" s="6" t="s">
        <v>214</v>
      </c>
      <c r="E478" s="6" t="s">
        <v>724</v>
      </c>
      <c r="F478" s="6">
        <v>35</v>
      </c>
      <c r="G478" s="6" t="s">
        <v>34</v>
      </c>
      <c r="H478" s="6" t="s">
        <v>1258</v>
      </c>
      <c r="I478" s="6" t="s">
        <v>3919</v>
      </c>
      <c r="J478" s="8">
        <v>45299</v>
      </c>
      <c r="K478" s="8">
        <v>45306</v>
      </c>
      <c r="L478" s="6">
        <v>19200.5</v>
      </c>
      <c r="M478" s="6">
        <v>9600.4</v>
      </c>
      <c r="N478" s="6">
        <v>720</v>
      </c>
      <c r="O478" s="6">
        <v>51000</v>
      </c>
      <c r="P478" s="6" t="s">
        <v>36</v>
      </c>
      <c r="Q478" s="6" t="s">
        <v>27</v>
      </c>
      <c r="R478" s="6">
        <v>0</v>
      </c>
      <c r="S478" s="6" t="s">
        <v>28</v>
      </c>
      <c r="T478" s="7">
        <f t="shared" si="35"/>
        <v>0.18824313725490197</v>
      </c>
      <c r="U478" s="6">
        <f t="shared" si="36"/>
        <v>0</v>
      </c>
      <c r="V478" s="5" t="str">
        <f t="shared" si="37"/>
        <v>GOOD</v>
      </c>
      <c r="W478" s="6" t="str">
        <f t="shared" si="38"/>
        <v>35-44</v>
      </c>
      <c r="X478" s="6" t="str">
        <f t="shared" si="39"/>
        <v>Low</v>
      </c>
    </row>
    <row r="479" spans="1:24">
      <c r="A479" s="6" t="s">
        <v>108</v>
      </c>
      <c r="B479" s="6" t="s">
        <v>1259</v>
      </c>
      <c r="C479" s="6" t="s">
        <v>84</v>
      </c>
      <c r="D479" s="6" t="s">
        <v>32</v>
      </c>
      <c r="E479" s="6" t="s">
        <v>33</v>
      </c>
      <c r="F479" s="6">
        <v>31</v>
      </c>
      <c r="G479" s="6" t="s">
        <v>24</v>
      </c>
      <c r="H479" s="6" t="s">
        <v>1260</v>
      </c>
      <c r="I479" s="6" t="s">
        <v>3578</v>
      </c>
      <c r="J479" s="8">
        <v>45319</v>
      </c>
      <c r="K479" s="8">
        <v>45304</v>
      </c>
      <c r="L479" s="6">
        <v>2750.8</v>
      </c>
      <c r="M479" s="6">
        <v>10400.25</v>
      </c>
      <c r="N479" s="6">
        <v>605</v>
      </c>
      <c r="O479" s="6">
        <v>27000</v>
      </c>
      <c r="P479" s="6" t="s">
        <v>76</v>
      </c>
      <c r="Q479" s="6" t="s">
        <v>43</v>
      </c>
      <c r="R479" s="6">
        <v>0</v>
      </c>
      <c r="S479" s="6" t="s">
        <v>28</v>
      </c>
      <c r="T479" s="7">
        <f t="shared" si="35"/>
        <v>0.38519444444444445</v>
      </c>
      <c r="U479" s="6">
        <f t="shared" si="36"/>
        <v>2</v>
      </c>
      <c r="V479" s="5" t="str">
        <f t="shared" si="37"/>
        <v>FAIR</v>
      </c>
      <c r="W479" s="6" t="str">
        <f t="shared" si="38"/>
        <v>25-34</v>
      </c>
      <c r="X479" s="6" t="str">
        <f t="shared" si="39"/>
        <v>Low</v>
      </c>
    </row>
    <row r="480" spans="1:24">
      <c r="A480" s="6" t="s">
        <v>559</v>
      </c>
      <c r="B480" s="6" t="s">
        <v>1261</v>
      </c>
      <c r="C480" s="6" t="s">
        <v>46</v>
      </c>
      <c r="D480" s="6" t="s">
        <v>254</v>
      </c>
      <c r="E480" s="6" t="s">
        <v>255</v>
      </c>
      <c r="F480" s="6">
        <v>45</v>
      </c>
      <c r="G480" s="6" t="s">
        <v>34</v>
      </c>
      <c r="H480" s="6" t="s">
        <v>1262</v>
      </c>
      <c r="I480" s="6" t="s">
        <v>3920</v>
      </c>
      <c r="J480" s="8">
        <v>44552</v>
      </c>
      <c r="K480" s="8">
        <v>45302</v>
      </c>
      <c r="L480" s="6">
        <v>72200.399999999994</v>
      </c>
      <c r="M480" s="6">
        <v>34400.75</v>
      </c>
      <c r="N480" s="6">
        <v>710</v>
      </c>
      <c r="O480" s="6">
        <v>125000</v>
      </c>
      <c r="P480" s="6" t="s">
        <v>26</v>
      </c>
      <c r="Q480" s="6" t="s">
        <v>27</v>
      </c>
      <c r="R480" s="6">
        <v>0</v>
      </c>
      <c r="S480" s="6" t="s">
        <v>28</v>
      </c>
      <c r="T480" s="7">
        <f t="shared" si="35"/>
        <v>0.27520600000000001</v>
      </c>
      <c r="U480" s="6">
        <f t="shared" si="36"/>
        <v>4</v>
      </c>
      <c r="V480" s="5" t="str">
        <f t="shared" si="37"/>
        <v>GOOD</v>
      </c>
      <c r="W480" s="6" t="str">
        <f t="shared" si="38"/>
        <v>45-54</v>
      </c>
      <c r="X480" s="6" t="str">
        <f t="shared" si="39"/>
        <v>Lower-Middle</v>
      </c>
    </row>
    <row r="481" spans="1:24">
      <c r="A481" s="6" t="s">
        <v>562</v>
      </c>
      <c r="B481" s="6" t="s">
        <v>1263</v>
      </c>
      <c r="C481" s="6" t="s">
        <v>39</v>
      </c>
      <c r="D481" s="6" t="s">
        <v>47</v>
      </c>
      <c r="E481" s="6" t="s">
        <v>48</v>
      </c>
      <c r="F481" s="6">
        <v>59</v>
      </c>
      <c r="G481" s="6" t="s">
        <v>24</v>
      </c>
      <c r="H481" s="6" t="s">
        <v>1264</v>
      </c>
      <c r="I481" s="6" t="s">
        <v>3921</v>
      </c>
      <c r="J481" s="8">
        <v>43432</v>
      </c>
      <c r="K481" s="8">
        <v>45300</v>
      </c>
      <c r="L481" s="6">
        <v>179800.6</v>
      </c>
      <c r="M481" s="6">
        <v>91000.25</v>
      </c>
      <c r="N481" s="6">
        <v>675</v>
      </c>
      <c r="O481" s="6">
        <v>194000</v>
      </c>
      <c r="P481" s="6" t="s">
        <v>76</v>
      </c>
      <c r="Q481" s="6" t="s">
        <v>27</v>
      </c>
      <c r="R481" s="6">
        <v>0</v>
      </c>
      <c r="S481" s="6" t="s">
        <v>28</v>
      </c>
      <c r="T481" s="7">
        <f t="shared" si="35"/>
        <v>0.46907345360824743</v>
      </c>
      <c r="U481" s="6">
        <f t="shared" si="36"/>
        <v>6</v>
      </c>
      <c r="V481" s="5" t="str">
        <f t="shared" si="37"/>
        <v>GOOD</v>
      </c>
      <c r="W481" s="6" t="str">
        <f t="shared" si="38"/>
        <v>55+</v>
      </c>
      <c r="X481" s="6" t="str">
        <f t="shared" si="39"/>
        <v>High</v>
      </c>
    </row>
    <row r="482" spans="1:24">
      <c r="A482" s="6" t="s">
        <v>565</v>
      </c>
      <c r="B482" s="6" t="s">
        <v>1265</v>
      </c>
      <c r="C482" s="6" t="s">
        <v>52</v>
      </c>
      <c r="D482" s="6" t="s">
        <v>233</v>
      </c>
      <c r="E482" s="6" t="s">
        <v>234</v>
      </c>
      <c r="F482" s="6">
        <v>44</v>
      </c>
      <c r="G482" s="6" t="s">
        <v>34</v>
      </c>
      <c r="H482" s="6" t="s">
        <v>1266</v>
      </c>
      <c r="I482" s="6" t="s">
        <v>3599</v>
      </c>
      <c r="J482" s="8">
        <v>44338</v>
      </c>
      <c r="K482" s="8">
        <v>45301</v>
      </c>
      <c r="L482" s="6">
        <v>48600.75</v>
      </c>
      <c r="M482" s="6">
        <v>25500.799999999999</v>
      </c>
      <c r="N482" s="6">
        <v>725</v>
      </c>
      <c r="O482" s="6">
        <v>91000</v>
      </c>
      <c r="P482" s="6" t="s">
        <v>26</v>
      </c>
      <c r="Q482" s="6" t="s">
        <v>27</v>
      </c>
      <c r="R482" s="6">
        <v>0</v>
      </c>
      <c r="S482" s="6" t="s">
        <v>28</v>
      </c>
      <c r="T482" s="7">
        <f t="shared" si="35"/>
        <v>0.28022857142857144</v>
      </c>
      <c r="U482" s="6">
        <f t="shared" si="36"/>
        <v>5</v>
      </c>
      <c r="V482" s="5" t="str">
        <f t="shared" si="37"/>
        <v>GOOD</v>
      </c>
      <c r="W482" s="6" t="str">
        <f t="shared" si="38"/>
        <v>35-44</v>
      </c>
      <c r="X482" s="6" t="str">
        <f t="shared" si="39"/>
        <v>Lower-Middle</v>
      </c>
    </row>
    <row r="483" spans="1:24">
      <c r="A483" s="6" t="s">
        <v>568</v>
      </c>
      <c r="B483" s="6" t="s">
        <v>1267</v>
      </c>
      <c r="C483" s="6" t="s">
        <v>57</v>
      </c>
      <c r="D483" s="6" t="s">
        <v>79</v>
      </c>
      <c r="E483" s="6" t="s">
        <v>102</v>
      </c>
      <c r="F483" s="6">
        <v>42</v>
      </c>
      <c r="G483" s="6" t="s">
        <v>24</v>
      </c>
      <c r="H483" s="6" t="s">
        <v>1268</v>
      </c>
      <c r="I483" s="6" t="s">
        <v>3922</v>
      </c>
      <c r="J483" s="8">
        <v>44801</v>
      </c>
      <c r="K483" s="8">
        <v>45303</v>
      </c>
      <c r="L483" s="6">
        <v>26600.400000000001</v>
      </c>
      <c r="M483" s="6">
        <v>10800.9</v>
      </c>
      <c r="N483" s="6">
        <v>740</v>
      </c>
      <c r="O483" s="6">
        <v>77000</v>
      </c>
      <c r="P483" s="6" t="s">
        <v>36</v>
      </c>
      <c r="Q483" s="6" t="s">
        <v>27</v>
      </c>
      <c r="R483" s="6">
        <v>0</v>
      </c>
      <c r="S483" s="6" t="s">
        <v>28</v>
      </c>
      <c r="T483" s="7">
        <f t="shared" si="35"/>
        <v>0.14027142857142857</v>
      </c>
      <c r="U483" s="6">
        <f t="shared" si="36"/>
        <v>3</v>
      </c>
      <c r="V483" s="5" t="str">
        <f t="shared" si="37"/>
        <v>GOOD</v>
      </c>
      <c r="W483" s="6" t="str">
        <f t="shared" si="38"/>
        <v>35-44</v>
      </c>
      <c r="X483" s="6" t="str">
        <f t="shared" si="39"/>
        <v>Lower-Middle</v>
      </c>
    </row>
    <row r="484" spans="1:24">
      <c r="A484" s="6" t="s">
        <v>571</v>
      </c>
      <c r="B484" s="6" t="s">
        <v>1269</v>
      </c>
      <c r="C484" s="6" t="s">
        <v>21</v>
      </c>
      <c r="D484" s="6" t="s">
        <v>63</v>
      </c>
      <c r="E484" s="6" t="s">
        <v>3514</v>
      </c>
      <c r="F484" s="6">
        <v>65</v>
      </c>
      <c r="G484" s="6" t="s">
        <v>34</v>
      </c>
      <c r="H484" s="6" t="s">
        <v>1270</v>
      </c>
      <c r="I484" s="6" t="s">
        <v>3923</v>
      </c>
      <c r="J484" s="8">
        <v>42975</v>
      </c>
      <c r="K484" s="8">
        <v>45299</v>
      </c>
      <c r="L484" s="6">
        <v>268700.90000000002</v>
      </c>
      <c r="M484" s="6">
        <v>81000.600000000006</v>
      </c>
      <c r="N484" s="6">
        <v>830</v>
      </c>
      <c r="O484" s="6">
        <v>289000</v>
      </c>
      <c r="P484" s="6" t="s">
        <v>36</v>
      </c>
      <c r="Q484" s="6" t="s">
        <v>27</v>
      </c>
      <c r="R484" s="6">
        <v>0</v>
      </c>
      <c r="S484" s="6" t="s">
        <v>28</v>
      </c>
      <c r="T484" s="7">
        <f t="shared" si="35"/>
        <v>0.28027889273356404</v>
      </c>
      <c r="U484" s="6">
        <f t="shared" si="36"/>
        <v>7</v>
      </c>
      <c r="V484" s="5" t="str">
        <f t="shared" si="37"/>
        <v>EXCEPTIONAL</v>
      </c>
      <c r="W484" s="6" t="str">
        <f t="shared" si="38"/>
        <v>55+</v>
      </c>
      <c r="X484" s="6" t="str">
        <f t="shared" si="39"/>
        <v>High</v>
      </c>
    </row>
    <row r="485" spans="1:24">
      <c r="A485" s="6" t="s">
        <v>574</v>
      </c>
      <c r="B485" s="6" t="s">
        <v>1271</v>
      </c>
      <c r="C485" s="6" t="s">
        <v>39</v>
      </c>
      <c r="D485" s="6" t="s">
        <v>68</v>
      </c>
      <c r="E485" s="6" t="s">
        <v>114</v>
      </c>
      <c r="F485" s="6">
        <v>57</v>
      </c>
      <c r="G485" s="6" t="s">
        <v>24</v>
      </c>
      <c r="H485" s="6" t="s">
        <v>1272</v>
      </c>
      <c r="I485" s="6" t="s">
        <v>3924</v>
      </c>
      <c r="J485" s="8">
        <v>43567</v>
      </c>
      <c r="K485" s="8">
        <v>45300</v>
      </c>
      <c r="L485" s="6">
        <v>157600.25</v>
      </c>
      <c r="M485" s="6">
        <v>83000.399999999994</v>
      </c>
      <c r="N485" s="6">
        <v>655</v>
      </c>
      <c r="O485" s="6">
        <v>179000</v>
      </c>
      <c r="P485" s="6" t="s">
        <v>76</v>
      </c>
      <c r="Q485" s="6" t="s">
        <v>27</v>
      </c>
      <c r="R485" s="6">
        <v>0</v>
      </c>
      <c r="S485" s="6" t="s">
        <v>28</v>
      </c>
      <c r="T485" s="7">
        <f t="shared" si="35"/>
        <v>0.46368938547486033</v>
      </c>
      <c r="U485" s="6">
        <f t="shared" si="36"/>
        <v>6</v>
      </c>
      <c r="V485" s="5" t="str">
        <f t="shared" si="37"/>
        <v>FAIR</v>
      </c>
      <c r="W485" s="6" t="str">
        <f t="shared" si="38"/>
        <v>55+</v>
      </c>
      <c r="X485" s="6" t="str">
        <f t="shared" si="39"/>
        <v>Upper-Middle</v>
      </c>
    </row>
    <row r="486" spans="1:24">
      <c r="A486" s="6" t="s">
        <v>577</v>
      </c>
      <c r="B486" s="6" t="s">
        <v>1273</v>
      </c>
      <c r="C486" s="6" t="s">
        <v>46</v>
      </c>
      <c r="D486" s="6" t="s">
        <v>85</v>
      </c>
      <c r="E486" s="6" t="s">
        <v>162</v>
      </c>
      <c r="F486" s="6">
        <v>46</v>
      </c>
      <c r="G486" s="6" t="s">
        <v>34</v>
      </c>
      <c r="H486" s="6" t="s">
        <v>1274</v>
      </c>
      <c r="I486" s="6" t="s">
        <v>3925</v>
      </c>
      <c r="J486" s="8">
        <v>44461</v>
      </c>
      <c r="K486" s="8">
        <v>45302</v>
      </c>
      <c r="L486" s="6">
        <v>91100.6</v>
      </c>
      <c r="M486" s="6">
        <v>42400.75</v>
      </c>
      <c r="N486" s="6">
        <v>760</v>
      </c>
      <c r="O486" s="6">
        <v>148000</v>
      </c>
      <c r="P486" s="6" t="s">
        <v>26</v>
      </c>
      <c r="Q486" s="6" t="s">
        <v>27</v>
      </c>
      <c r="R486" s="6">
        <v>0</v>
      </c>
      <c r="S486" s="6" t="s">
        <v>28</v>
      </c>
      <c r="T486" s="7">
        <f t="shared" si="35"/>
        <v>0.28649155405405408</v>
      </c>
      <c r="U486" s="6">
        <f t="shared" si="36"/>
        <v>4</v>
      </c>
      <c r="V486" s="5" t="str">
        <f t="shared" si="37"/>
        <v>VERY GOOD</v>
      </c>
      <c r="W486" s="6" t="str">
        <f t="shared" si="38"/>
        <v>45-54</v>
      </c>
      <c r="X486" s="6" t="str">
        <f t="shared" si="39"/>
        <v>Upper-Middle</v>
      </c>
    </row>
    <row r="487" spans="1:24">
      <c r="A487" s="6" t="s">
        <v>458</v>
      </c>
      <c r="B487" s="6" t="s">
        <v>1275</v>
      </c>
      <c r="C487" s="6" t="s">
        <v>31</v>
      </c>
      <c r="D487" s="6" t="s">
        <v>460</v>
      </c>
      <c r="E487" s="6" t="s">
        <v>461</v>
      </c>
      <c r="F487" s="6">
        <v>37</v>
      </c>
      <c r="G487" s="6" t="s">
        <v>24</v>
      </c>
      <c r="H487" s="6" t="s">
        <v>1276</v>
      </c>
      <c r="I487" s="6" t="s">
        <v>3926</v>
      </c>
      <c r="J487" s="8">
        <v>45258</v>
      </c>
      <c r="K487" s="8">
        <v>45306</v>
      </c>
      <c r="L487" s="6">
        <v>12900.25</v>
      </c>
      <c r="M487" s="6">
        <v>7600.8</v>
      </c>
      <c r="N487" s="6">
        <v>695</v>
      </c>
      <c r="O487" s="6">
        <v>48000</v>
      </c>
      <c r="P487" s="6" t="s">
        <v>26</v>
      </c>
      <c r="Q487" s="6" t="s">
        <v>43</v>
      </c>
      <c r="R487" s="6">
        <v>0</v>
      </c>
      <c r="S487" s="6" t="s">
        <v>28</v>
      </c>
      <c r="T487" s="7">
        <f t="shared" si="35"/>
        <v>0.15834999999999999</v>
      </c>
      <c r="U487" s="6">
        <f t="shared" si="36"/>
        <v>0</v>
      </c>
      <c r="V487" s="5" t="str">
        <f t="shared" si="37"/>
        <v>GOOD</v>
      </c>
      <c r="W487" s="6" t="str">
        <f t="shared" si="38"/>
        <v>35-44</v>
      </c>
      <c r="X487" s="6" t="str">
        <f t="shared" si="39"/>
        <v>Low</v>
      </c>
    </row>
    <row r="488" spans="1:24">
      <c r="A488" s="6" t="s">
        <v>582</v>
      </c>
      <c r="B488" s="6" t="s">
        <v>1277</v>
      </c>
      <c r="C488" s="6" t="s">
        <v>57</v>
      </c>
      <c r="D488" s="6" t="s">
        <v>22</v>
      </c>
      <c r="E488" s="6" t="s">
        <v>53</v>
      </c>
      <c r="F488" s="6">
        <v>40</v>
      </c>
      <c r="G488" s="6" t="s">
        <v>34</v>
      </c>
      <c r="H488" s="6" t="s">
        <v>1278</v>
      </c>
      <c r="I488" s="6" t="s">
        <v>3927</v>
      </c>
      <c r="J488" s="8">
        <v>44740</v>
      </c>
      <c r="K488" s="8">
        <v>45303</v>
      </c>
      <c r="L488" s="6">
        <v>25500.9</v>
      </c>
      <c r="M488" s="6">
        <v>10400.25</v>
      </c>
      <c r="N488" s="6">
        <v>755</v>
      </c>
      <c r="O488" s="6">
        <v>70000</v>
      </c>
      <c r="P488" s="6" t="s">
        <v>36</v>
      </c>
      <c r="Q488" s="6" t="s">
        <v>27</v>
      </c>
      <c r="R488" s="6">
        <v>0</v>
      </c>
      <c r="S488" s="6" t="s">
        <v>28</v>
      </c>
      <c r="T488" s="7">
        <f t="shared" si="35"/>
        <v>0.14857500000000001</v>
      </c>
      <c r="U488" s="6">
        <f t="shared" si="36"/>
        <v>3</v>
      </c>
      <c r="V488" s="5" t="str">
        <f t="shared" si="37"/>
        <v>VERY GOOD</v>
      </c>
      <c r="W488" s="6" t="str">
        <f t="shared" si="38"/>
        <v>35-44</v>
      </c>
      <c r="X488" s="6" t="str">
        <f t="shared" si="39"/>
        <v>Low</v>
      </c>
    </row>
    <row r="489" spans="1:24">
      <c r="A489" s="6" t="s">
        <v>55</v>
      </c>
      <c r="B489" s="6" t="s">
        <v>1279</v>
      </c>
      <c r="C489" s="6" t="s">
        <v>39</v>
      </c>
      <c r="D489" s="6" t="s">
        <v>58</v>
      </c>
      <c r="E489" s="6" t="s">
        <v>122</v>
      </c>
      <c r="F489" s="6">
        <v>58</v>
      </c>
      <c r="G489" s="6" t="s">
        <v>24</v>
      </c>
      <c r="H489" s="6" t="s">
        <v>1280</v>
      </c>
      <c r="I489" s="6" t="s">
        <v>3928</v>
      </c>
      <c r="J489" s="8">
        <v>43480</v>
      </c>
      <c r="K489" s="8">
        <v>45300</v>
      </c>
      <c r="L489" s="6">
        <v>190500.4</v>
      </c>
      <c r="M489" s="6">
        <v>96000.75</v>
      </c>
      <c r="N489" s="6">
        <v>685</v>
      </c>
      <c r="O489" s="6">
        <v>204000</v>
      </c>
      <c r="P489" s="6" t="s">
        <v>76</v>
      </c>
      <c r="Q489" s="6" t="s">
        <v>27</v>
      </c>
      <c r="R489" s="6">
        <v>0</v>
      </c>
      <c r="S489" s="6" t="s">
        <v>28</v>
      </c>
      <c r="T489" s="7">
        <f t="shared" si="35"/>
        <v>0.47059191176470588</v>
      </c>
      <c r="U489" s="6">
        <f t="shared" si="36"/>
        <v>6</v>
      </c>
      <c r="V489" s="5" t="str">
        <f t="shared" si="37"/>
        <v>GOOD</v>
      </c>
      <c r="W489" s="6" t="str">
        <f t="shared" si="38"/>
        <v>55+</v>
      </c>
      <c r="X489" s="6" t="str">
        <f t="shared" si="39"/>
        <v>High</v>
      </c>
    </row>
    <row r="490" spans="1:24">
      <c r="A490" s="6" t="s">
        <v>469</v>
      </c>
      <c r="B490" s="6" t="s">
        <v>1281</v>
      </c>
      <c r="C490" s="6" t="s">
        <v>52</v>
      </c>
      <c r="D490" s="6" t="s">
        <v>471</v>
      </c>
      <c r="E490" s="6" t="s">
        <v>472</v>
      </c>
      <c r="F490" s="6">
        <v>49</v>
      </c>
      <c r="G490" s="6" t="s">
        <v>34</v>
      </c>
      <c r="H490" s="6" t="s">
        <v>1282</v>
      </c>
      <c r="I490" s="6" t="s">
        <v>3929</v>
      </c>
      <c r="J490" s="8">
        <v>44126</v>
      </c>
      <c r="K490" s="8">
        <v>45301</v>
      </c>
      <c r="L490" s="6">
        <v>55500.800000000003</v>
      </c>
      <c r="M490" s="6">
        <v>28600.6</v>
      </c>
      <c r="N490" s="6">
        <v>715</v>
      </c>
      <c r="O490" s="6">
        <v>103000</v>
      </c>
      <c r="P490" s="6" t="s">
        <v>26</v>
      </c>
      <c r="Q490" s="6" t="s">
        <v>27</v>
      </c>
      <c r="R490" s="6">
        <v>0</v>
      </c>
      <c r="S490" s="6" t="s">
        <v>28</v>
      </c>
      <c r="T490" s="7">
        <f t="shared" si="35"/>
        <v>0.27767572815533981</v>
      </c>
      <c r="U490" s="6">
        <f t="shared" si="36"/>
        <v>5</v>
      </c>
      <c r="V490" s="5" t="str">
        <f t="shared" si="37"/>
        <v>GOOD</v>
      </c>
      <c r="W490" s="6" t="str">
        <f t="shared" si="38"/>
        <v>45-54</v>
      </c>
      <c r="X490" s="6" t="str">
        <f t="shared" si="39"/>
        <v>Lower-Middle</v>
      </c>
    </row>
    <row r="491" spans="1:24">
      <c r="A491" s="6" t="s">
        <v>474</v>
      </c>
      <c r="B491" s="6" t="s">
        <v>1283</v>
      </c>
      <c r="C491" s="6" t="s">
        <v>46</v>
      </c>
      <c r="D491" s="6" t="s">
        <v>345</v>
      </c>
      <c r="E491" s="6" t="s">
        <v>476</v>
      </c>
      <c r="F491" s="6">
        <v>52</v>
      </c>
      <c r="G491" s="6" t="s">
        <v>24</v>
      </c>
      <c r="H491" s="6" t="s">
        <v>1284</v>
      </c>
      <c r="I491" s="6" t="s">
        <v>3619</v>
      </c>
      <c r="J491" s="8">
        <v>44040</v>
      </c>
      <c r="K491" s="8">
        <v>45302</v>
      </c>
      <c r="L491" s="6">
        <v>83300.25</v>
      </c>
      <c r="M491" s="6">
        <v>38600.400000000001</v>
      </c>
      <c r="N491" s="6">
        <v>680</v>
      </c>
      <c r="O491" s="6">
        <v>132000</v>
      </c>
      <c r="P491" s="6" t="s">
        <v>26</v>
      </c>
      <c r="Q491" s="6" t="s">
        <v>27</v>
      </c>
      <c r="R491" s="6">
        <v>0</v>
      </c>
      <c r="S491" s="6" t="s">
        <v>28</v>
      </c>
      <c r="T491" s="7">
        <f t="shared" si="35"/>
        <v>0.29242727272727276</v>
      </c>
      <c r="U491" s="6">
        <f t="shared" si="36"/>
        <v>4</v>
      </c>
      <c r="V491" s="5" t="str">
        <f t="shared" si="37"/>
        <v>GOOD</v>
      </c>
      <c r="W491" s="6" t="str">
        <f t="shared" si="38"/>
        <v>45-54</v>
      </c>
      <c r="X491" s="6" t="str">
        <f t="shared" si="39"/>
        <v>Upper-Middle</v>
      </c>
    </row>
    <row r="492" spans="1:24">
      <c r="A492" s="6" t="s">
        <v>592</v>
      </c>
      <c r="B492" s="6" t="s">
        <v>1285</v>
      </c>
      <c r="C492" s="6" t="s">
        <v>84</v>
      </c>
      <c r="D492" s="6" t="s">
        <v>32</v>
      </c>
      <c r="E492" s="6" t="s">
        <v>90</v>
      </c>
      <c r="F492" s="6">
        <v>32</v>
      </c>
      <c r="G492" s="6" t="s">
        <v>34</v>
      </c>
      <c r="H492" s="6" t="s">
        <v>1286</v>
      </c>
      <c r="I492" s="6" t="s">
        <v>3644</v>
      </c>
      <c r="J492" s="8">
        <v>45327</v>
      </c>
      <c r="K492" s="8">
        <v>45304</v>
      </c>
      <c r="L492" s="6">
        <v>2850.4</v>
      </c>
      <c r="M492" s="6">
        <v>11000.75</v>
      </c>
      <c r="N492" s="6">
        <v>610</v>
      </c>
      <c r="O492" s="6">
        <v>28000</v>
      </c>
      <c r="P492" s="6" t="s">
        <v>76</v>
      </c>
      <c r="Q492" s="6" t="s">
        <v>43</v>
      </c>
      <c r="R492" s="6">
        <v>0</v>
      </c>
      <c r="S492" s="6" t="s">
        <v>28</v>
      </c>
      <c r="T492" s="7">
        <f t="shared" si="35"/>
        <v>0.39288392857142856</v>
      </c>
      <c r="U492" s="6">
        <f t="shared" si="36"/>
        <v>2</v>
      </c>
      <c r="V492" s="5" t="str">
        <f t="shared" si="37"/>
        <v>FAIR</v>
      </c>
      <c r="W492" s="6" t="str">
        <f t="shared" si="38"/>
        <v>25-34</v>
      </c>
      <c r="X492" s="6" t="str">
        <f t="shared" si="39"/>
        <v>Low</v>
      </c>
    </row>
    <row r="493" spans="1:24">
      <c r="A493" s="6" t="s">
        <v>595</v>
      </c>
      <c r="B493" s="6" t="s">
        <v>1287</v>
      </c>
      <c r="C493" s="6" t="s">
        <v>21</v>
      </c>
      <c r="D493" s="6" t="s">
        <v>209</v>
      </c>
      <c r="E493" s="6" t="s">
        <v>210</v>
      </c>
      <c r="F493" s="6">
        <v>64</v>
      </c>
      <c r="G493" s="6" t="s">
        <v>24</v>
      </c>
      <c r="H493" s="6" t="s">
        <v>1288</v>
      </c>
      <c r="I493" s="6" t="s">
        <v>3656</v>
      </c>
      <c r="J493" s="8">
        <v>43181</v>
      </c>
      <c r="K493" s="8">
        <v>45299</v>
      </c>
      <c r="L493" s="6">
        <v>288500.8</v>
      </c>
      <c r="M493" s="6">
        <v>87000.25</v>
      </c>
      <c r="N493" s="6">
        <v>825</v>
      </c>
      <c r="O493" s="6">
        <v>284000</v>
      </c>
      <c r="P493" s="6" t="s">
        <v>36</v>
      </c>
      <c r="Q493" s="6" t="s">
        <v>27</v>
      </c>
      <c r="R493" s="6">
        <v>0</v>
      </c>
      <c r="S493" s="6" t="s">
        <v>28</v>
      </c>
      <c r="T493" s="7">
        <f t="shared" si="35"/>
        <v>0.30633890845070422</v>
      </c>
      <c r="U493" s="6">
        <f t="shared" si="36"/>
        <v>7</v>
      </c>
      <c r="V493" s="5" t="str">
        <f t="shared" si="37"/>
        <v>EXCEPTIONAL</v>
      </c>
      <c r="W493" s="6" t="str">
        <f t="shared" si="38"/>
        <v>55+</v>
      </c>
      <c r="X493" s="6" t="str">
        <f t="shared" si="39"/>
        <v>High</v>
      </c>
    </row>
    <row r="494" spans="1:24">
      <c r="A494" s="6" t="s">
        <v>226</v>
      </c>
      <c r="B494" s="6" t="s">
        <v>1289</v>
      </c>
      <c r="C494" s="6" t="s">
        <v>57</v>
      </c>
      <c r="D494" s="6" t="s">
        <v>228</v>
      </c>
      <c r="E494" s="6" t="s">
        <v>229</v>
      </c>
      <c r="F494" s="6">
        <v>39</v>
      </c>
      <c r="G494" s="6" t="s">
        <v>34</v>
      </c>
      <c r="H494" s="6" t="s">
        <v>1290</v>
      </c>
      <c r="I494" s="6" t="s">
        <v>3930</v>
      </c>
      <c r="J494" s="8">
        <v>44917</v>
      </c>
      <c r="K494" s="8">
        <v>45305</v>
      </c>
      <c r="L494" s="6">
        <v>22200.75</v>
      </c>
      <c r="M494" s="6">
        <v>8800.4</v>
      </c>
      <c r="N494" s="6">
        <v>725</v>
      </c>
      <c r="O494" s="6">
        <v>60000</v>
      </c>
      <c r="P494" s="6" t="s">
        <v>36</v>
      </c>
      <c r="Q494" s="6" t="s">
        <v>27</v>
      </c>
      <c r="R494" s="6">
        <v>0</v>
      </c>
      <c r="S494" s="6" t="s">
        <v>28</v>
      </c>
      <c r="T494" s="7">
        <f t="shared" si="35"/>
        <v>0.14667333333333332</v>
      </c>
      <c r="U494" s="6">
        <f t="shared" si="36"/>
        <v>1</v>
      </c>
      <c r="V494" s="5" t="str">
        <f t="shared" si="37"/>
        <v>GOOD</v>
      </c>
      <c r="W494" s="6" t="str">
        <f t="shared" si="38"/>
        <v>35-44</v>
      </c>
      <c r="X494" s="6" t="str">
        <f t="shared" si="39"/>
        <v>Low</v>
      </c>
    </row>
    <row r="495" spans="1:24">
      <c r="A495" s="6" t="s">
        <v>488</v>
      </c>
      <c r="B495" s="6" t="s">
        <v>1291</v>
      </c>
      <c r="C495" s="6" t="s">
        <v>39</v>
      </c>
      <c r="D495" s="6" t="s">
        <v>304</v>
      </c>
      <c r="E495" s="6" t="s">
        <v>304</v>
      </c>
      <c r="F495" s="6">
        <v>56</v>
      </c>
      <c r="G495" s="6" t="s">
        <v>24</v>
      </c>
      <c r="H495" s="6" t="s">
        <v>1292</v>
      </c>
      <c r="I495" s="6" t="s">
        <v>3931</v>
      </c>
      <c r="J495" s="8">
        <v>43651</v>
      </c>
      <c r="K495" s="8">
        <v>45300</v>
      </c>
      <c r="L495" s="6">
        <v>168700.6</v>
      </c>
      <c r="M495" s="6">
        <v>87000.9</v>
      </c>
      <c r="N495" s="6">
        <v>675</v>
      </c>
      <c r="O495" s="6">
        <v>184000</v>
      </c>
      <c r="P495" s="6" t="s">
        <v>76</v>
      </c>
      <c r="Q495" s="6" t="s">
        <v>27</v>
      </c>
      <c r="R495" s="6">
        <v>0</v>
      </c>
      <c r="S495" s="6" t="s">
        <v>28</v>
      </c>
      <c r="T495" s="7">
        <f t="shared" si="35"/>
        <v>0.47283097826086956</v>
      </c>
      <c r="U495" s="6">
        <f t="shared" si="36"/>
        <v>6</v>
      </c>
      <c r="V495" s="5" t="str">
        <f t="shared" si="37"/>
        <v>GOOD</v>
      </c>
      <c r="W495" s="6" t="str">
        <f t="shared" si="38"/>
        <v>55+</v>
      </c>
      <c r="X495" s="6" t="str">
        <f t="shared" si="39"/>
        <v>Upper-Middle</v>
      </c>
    </row>
    <row r="496" spans="1:24">
      <c r="A496" s="6" t="s">
        <v>491</v>
      </c>
      <c r="B496" s="6" t="s">
        <v>1293</v>
      </c>
      <c r="C496" s="6" t="s">
        <v>52</v>
      </c>
      <c r="D496" s="6" t="s">
        <v>493</v>
      </c>
      <c r="E496" s="6" t="s">
        <v>494</v>
      </c>
      <c r="F496" s="6">
        <v>47</v>
      </c>
      <c r="G496" s="6" t="s">
        <v>34</v>
      </c>
      <c r="H496" s="6" t="s">
        <v>1294</v>
      </c>
      <c r="I496" s="6" t="s">
        <v>3932</v>
      </c>
      <c r="J496" s="8">
        <v>44436</v>
      </c>
      <c r="K496" s="8">
        <v>45302</v>
      </c>
      <c r="L496" s="6">
        <v>49700.4</v>
      </c>
      <c r="M496" s="6">
        <v>24400.25</v>
      </c>
      <c r="N496" s="6">
        <v>705</v>
      </c>
      <c r="O496" s="6">
        <v>92000</v>
      </c>
      <c r="P496" s="6" t="s">
        <v>26</v>
      </c>
      <c r="Q496" s="6" t="s">
        <v>27</v>
      </c>
      <c r="R496" s="6">
        <v>0</v>
      </c>
      <c r="S496" s="6" t="s">
        <v>28</v>
      </c>
      <c r="T496" s="7">
        <f t="shared" si="35"/>
        <v>0.26522010869565216</v>
      </c>
      <c r="U496" s="6">
        <f t="shared" si="36"/>
        <v>4</v>
      </c>
      <c r="V496" s="5" t="str">
        <f t="shared" si="37"/>
        <v>GOOD</v>
      </c>
      <c r="W496" s="6" t="str">
        <f t="shared" si="38"/>
        <v>45-54</v>
      </c>
      <c r="X496" s="6" t="str">
        <f t="shared" si="39"/>
        <v>Lower-Middle</v>
      </c>
    </row>
    <row r="497" spans="1:24">
      <c r="A497" s="6" t="s">
        <v>496</v>
      </c>
      <c r="B497" s="6" t="s">
        <v>1295</v>
      </c>
      <c r="C497" s="6" t="s">
        <v>46</v>
      </c>
      <c r="D497" s="6" t="s">
        <v>321</v>
      </c>
      <c r="E497" s="6" t="s">
        <v>498</v>
      </c>
      <c r="F497" s="6">
        <v>50</v>
      </c>
      <c r="G497" s="6" t="s">
        <v>24</v>
      </c>
      <c r="H497" s="6" t="s">
        <v>1296</v>
      </c>
      <c r="I497" s="6" t="s">
        <v>3933</v>
      </c>
      <c r="J497" s="8">
        <v>43912</v>
      </c>
      <c r="K497" s="8">
        <v>45301</v>
      </c>
      <c r="L497" s="6">
        <v>96600.75</v>
      </c>
      <c r="M497" s="6">
        <v>45500.800000000003</v>
      </c>
      <c r="N497" s="6">
        <v>730</v>
      </c>
      <c r="O497" s="6">
        <v>158000</v>
      </c>
      <c r="P497" s="6" t="s">
        <v>26</v>
      </c>
      <c r="Q497" s="6" t="s">
        <v>27</v>
      </c>
      <c r="R497" s="6">
        <v>0</v>
      </c>
      <c r="S497" s="6" t="s">
        <v>28</v>
      </c>
      <c r="T497" s="7">
        <f t="shared" si="35"/>
        <v>0.28797974683544303</v>
      </c>
      <c r="U497" s="6">
        <f t="shared" si="36"/>
        <v>5</v>
      </c>
      <c r="V497" s="5" t="str">
        <f t="shared" si="37"/>
        <v>GOOD</v>
      </c>
      <c r="W497" s="6" t="str">
        <f t="shared" si="38"/>
        <v>45-54</v>
      </c>
      <c r="X497" s="6" t="str">
        <f t="shared" si="39"/>
        <v>Upper-Middle</v>
      </c>
    </row>
    <row r="498" spans="1:24">
      <c r="A498" s="6" t="s">
        <v>324</v>
      </c>
      <c r="B498" s="6" t="s">
        <v>1297</v>
      </c>
      <c r="C498" s="6" t="s">
        <v>31</v>
      </c>
      <c r="D498" s="6" t="s">
        <v>313</v>
      </c>
      <c r="E498" s="6" t="s">
        <v>385</v>
      </c>
      <c r="F498" s="6">
        <v>35</v>
      </c>
      <c r="G498" s="6" t="s">
        <v>34</v>
      </c>
      <c r="H498" s="6" t="s">
        <v>1298</v>
      </c>
      <c r="I498" s="6" t="s">
        <v>3934</v>
      </c>
      <c r="J498" s="8">
        <v>45288</v>
      </c>
      <c r="K498" s="8">
        <v>45306</v>
      </c>
      <c r="L498" s="6">
        <v>11400.9</v>
      </c>
      <c r="M498" s="6">
        <v>7100.75</v>
      </c>
      <c r="N498" s="6">
        <v>685</v>
      </c>
      <c r="O498" s="6">
        <v>45000</v>
      </c>
      <c r="P498" s="6" t="s">
        <v>26</v>
      </c>
      <c r="Q498" s="6" t="s">
        <v>43</v>
      </c>
      <c r="R498" s="6">
        <v>0</v>
      </c>
      <c r="S498" s="6" t="s">
        <v>28</v>
      </c>
      <c r="T498" s="7">
        <f t="shared" si="35"/>
        <v>0.15779444444444443</v>
      </c>
      <c r="U498" s="6">
        <f t="shared" si="36"/>
        <v>0</v>
      </c>
      <c r="V498" s="5" t="str">
        <f t="shared" si="37"/>
        <v>GOOD</v>
      </c>
      <c r="W498" s="6" t="str">
        <f t="shared" si="38"/>
        <v>35-44</v>
      </c>
      <c r="X498" s="6" t="str">
        <f t="shared" si="39"/>
        <v>Low</v>
      </c>
    </row>
    <row r="499" spans="1:24">
      <c r="A499" s="6" t="s">
        <v>503</v>
      </c>
      <c r="B499" s="6" t="s">
        <v>1299</v>
      </c>
      <c r="C499" s="6" t="s">
        <v>21</v>
      </c>
      <c r="D499" s="6" t="s">
        <v>32</v>
      </c>
      <c r="E499" s="6" t="s">
        <v>33</v>
      </c>
      <c r="F499" s="6">
        <v>67</v>
      </c>
      <c r="G499" s="6" t="s">
        <v>24</v>
      </c>
      <c r="H499" s="6" t="s">
        <v>1300</v>
      </c>
      <c r="I499" s="6" t="s">
        <v>3627</v>
      </c>
      <c r="J499" s="8">
        <v>42914</v>
      </c>
      <c r="K499" s="8">
        <v>45299</v>
      </c>
      <c r="L499" s="6">
        <v>299400.25</v>
      </c>
      <c r="M499" s="6">
        <v>91000.4</v>
      </c>
      <c r="N499" s="6">
        <v>840</v>
      </c>
      <c r="O499" s="6">
        <v>299000</v>
      </c>
      <c r="P499" s="6" t="s">
        <v>36</v>
      </c>
      <c r="Q499" s="6" t="s">
        <v>27</v>
      </c>
      <c r="R499" s="6">
        <v>0</v>
      </c>
      <c r="S499" s="6" t="s">
        <v>28</v>
      </c>
      <c r="T499" s="7">
        <f t="shared" si="35"/>
        <v>0.30434916387959865</v>
      </c>
      <c r="U499" s="6">
        <f t="shared" si="36"/>
        <v>7</v>
      </c>
      <c r="V499" s="5" t="str">
        <f t="shared" si="37"/>
        <v>EXCEPTIONAL</v>
      </c>
      <c r="W499" s="6" t="str">
        <f t="shared" si="38"/>
        <v>55+</v>
      </c>
      <c r="X499" s="6" t="str">
        <f t="shared" si="39"/>
        <v>High</v>
      </c>
    </row>
    <row r="500" spans="1:24">
      <c r="A500" s="6" t="s">
        <v>506</v>
      </c>
      <c r="B500" s="6" t="s">
        <v>1301</v>
      </c>
      <c r="C500" s="6" t="s">
        <v>39</v>
      </c>
      <c r="D500" s="6" t="s">
        <v>68</v>
      </c>
      <c r="E500" s="6" t="s">
        <v>69</v>
      </c>
      <c r="F500" s="6">
        <v>59</v>
      </c>
      <c r="G500" s="6" t="s">
        <v>34</v>
      </c>
      <c r="H500" s="6" t="s">
        <v>1302</v>
      </c>
      <c r="I500" s="6" t="s">
        <v>3897</v>
      </c>
      <c r="J500" s="8">
        <v>43426</v>
      </c>
      <c r="K500" s="8">
        <v>45300</v>
      </c>
      <c r="L500" s="6">
        <v>179800.4</v>
      </c>
      <c r="M500" s="6">
        <v>91000.75</v>
      </c>
      <c r="N500" s="6">
        <v>650</v>
      </c>
      <c r="O500" s="6">
        <v>194000</v>
      </c>
      <c r="P500" s="6" t="s">
        <v>76</v>
      </c>
      <c r="Q500" s="6" t="s">
        <v>27</v>
      </c>
      <c r="R500" s="6">
        <v>0</v>
      </c>
      <c r="S500" s="6" t="s">
        <v>28</v>
      </c>
      <c r="T500" s="7">
        <f t="shared" si="35"/>
        <v>0.46907603092783506</v>
      </c>
      <c r="U500" s="6">
        <f t="shared" si="36"/>
        <v>6</v>
      </c>
      <c r="V500" s="5" t="str">
        <f t="shared" si="37"/>
        <v>FAIR</v>
      </c>
      <c r="W500" s="6" t="str">
        <f t="shared" si="38"/>
        <v>55+</v>
      </c>
      <c r="X500" s="6" t="str">
        <f t="shared" si="39"/>
        <v>High</v>
      </c>
    </row>
    <row r="501" spans="1:24">
      <c r="A501" s="6" t="s">
        <v>509</v>
      </c>
      <c r="B501" s="6" t="s">
        <v>1303</v>
      </c>
      <c r="C501" s="6" t="s">
        <v>46</v>
      </c>
      <c r="D501" s="6" t="s">
        <v>73</v>
      </c>
      <c r="E501" s="6" t="s">
        <v>74</v>
      </c>
      <c r="F501" s="6">
        <v>46</v>
      </c>
      <c r="G501" s="6" t="s">
        <v>24</v>
      </c>
      <c r="H501" s="6" t="s">
        <v>1304</v>
      </c>
      <c r="I501" s="6" t="s">
        <v>3935</v>
      </c>
      <c r="J501" s="8">
        <v>44648</v>
      </c>
      <c r="K501" s="8">
        <v>45303</v>
      </c>
      <c r="L501" s="6">
        <v>84400.4</v>
      </c>
      <c r="M501" s="6">
        <v>39700.25</v>
      </c>
      <c r="N501" s="6">
        <v>745</v>
      </c>
      <c r="O501" s="6">
        <v>138000</v>
      </c>
      <c r="P501" s="6" t="s">
        <v>26</v>
      </c>
      <c r="Q501" s="6" t="s">
        <v>27</v>
      </c>
      <c r="R501" s="6">
        <v>0</v>
      </c>
      <c r="S501" s="6" t="s">
        <v>28</v>
      </c>
      <c r="T501" s="7">
        <f t="shared" si="35"/>
        <v>0.28768297101449275</v>
      </c>
      <c r="U501" s="6">
        <f t="shared" si="36"/>
        <v>3</v>
      </c>
      <c r="V501" s="5" t="str">
        <f t="shared" si="37"/>
        <v>GOOD</v>
      </c>
      <c r="W501" s="6" t="str">
        <f t="shared" si="38"/>
        <v>45-54</v>
      </c>
      <c r="X501" s="6" t="str">
        <f t="shared" si="39"/>
        <v>Upper-Middle</v>
      </c>
    </row>
    <row r="502" spans="1:24">
      <c r="A502" s="6" t="s">
        <v>513</v>
      </c>
      <c r="B502" s="6" t="s">
        <v>1305</v>
      </c>
      <c r="C502" s="6" t="s">
        <v>57</v>
      </c>
      <c r="D502" s="6" t="s">
        <v>58</v>
      </c>
      <c r="E502" s="6" t="s">
        <v>59</v>
      </c>
      <c r="F502" s="6">
        <v>41</v>
      </c>
      <c r="G502" s="6" t="s">
        <v>34</v>
      </c>
      <c r="H502" s="6" t="s">
        <v>1306</v>
      </c>
      <c r="I502" s="6" t="s">
        <v>3630</v>
      </c>
      <c r="J502" s="8">
        <v>44826</v>
      </c>
      <c r="K502" s="8">
        <v>45302</v>
      </c>
      <c r="L502" s="6">
        <v>24400.799999999999</v>
      </c>
      <c r="M502" s="6">
        <v>10000.9</v>
      </c>
      <c r="N502" s="6">
        <v>765</v>
      </c>
      <c r="O502" s="6">
        <v>70000</v>
      </c>
      <c r="P502" s="6" t="s">
        <v>36</v>
      </c>
      <c r="Q502" s="6" t="s">
        <v>27</v>
      </c>
      <c r="R502" s="6">
        <v>0</v>
      </c>
      <c r="S502" s="6" t="s">
        <v>28</v>
      </c>
      <c r="T502" s="7">
        <f t="shared" si="35"/>
        <v>0.14287</v>
      </c>
      <c r="U502" s="6">
        <f t="shared" si="36"/>
        <v>4</v>
      </c>
      <c r="V502" s="5" t="str">
        <f t="shared" si="37"/>
        <v>VERY GOOD</v>
      </c>
      <c r="W502" s="6" t="str">
        <f t="shared" si="38"/>
        <v>35-44</v>
      </c>
      <c r="X502" s="6" t="str">
        <f t="shared" si="39"/>
        <v>Low</v>
      </c>
    </row>
    <row r="503" spans="1:24">
      <c r="A503" s="6" t="s">
        <v>516</v>
      </c>
      <c r="B503" s="6" t="s">
        <v>1307</v>
      </c>
      <c r="C503" s="6" t="s">
        <v>52</v>
      </c>
      <c r="D503" s="6" t="s">
        <v>277</v>
      </c>
      <c r="E503" s="6" t="s">
        <v>404</v>
      </c>
      <c r="F503" s="6">
        <v>54</v>
      </c>
      <c r="G503" s="6" t="s">
        <v>24</v>
      </c>
      <c r="H503" s="6" t="s">
        <v>1308</v>
      </c>
      <c r="I503" s="6" t="s">
        <v>3936</v>
      </c>
      <c r="J503" s="8">
        <v>44096</v>
      </c>
      <c r="K503" s="8">
        <v>45301</v>
      </c>
      <c r="L503" s="6">
        <v>57700.75</v>
      </c>
      <c r="M503" s="6">
        <v>30800.400000000001</v>
      </c>
      <c r="N503" s="6">
        <v>675</v>
      </c>
      <c r="O503" s="6">
        <v>110000</v>
      </c>
      <c r="P503" s="6" t="s">
        <v>26</v>
      </c>
      <c r="Q503" s="6" t="s">
        <v>27</v>
      </c>
      <c r="R503" s="6">
        <v>0</v>
      </c>
      <c r="S503" s="6" t="s">
        <v>28</v>
      </c>
      <c r="T503" s="7">
        <f t="shared" si="35"/>
        <v>0.2800036363636364</v>
      </c>
      <c r="U503" s="6">
        <f t="shared" si="36"/>
        <v>5</v>
      </c>
      <c r="V503" s="5" t="str">
        <f t="shared" si="37"/>
        <v>GOOD</v>
      </c>
      <c r="W503" s="6" t="str">
        <f t="shared" si="38"/>
        <v>45-54</v>
      </c>
      <c r="X503" s="6" t="str">
        <f t="shared" si="39"/>
        <v>Lower-Middle</v>
      </c>
    </row>
    <row r="504" spans="1:24">
      <c r="A504" s="6" t="s">
        <v>519</v>
      </c>
      <c r="B504" s="6" t="s">
        <v>1309</v>
      </c>
      <c r="C504" s="6" t="s">
        <v>84</v>
      </c>
      <c r="D504" s="6" t="s">
        <v>183</v>
      </c>
      <c r="E504" s="6" t="s">
        <v>184</v>
      </c>
      <c r="F504" s="6">
        <v>33</v>
      </c>
      <c r="G504" s="6" t="s">
        <v>34</v>
      </c>
      <c r="H504" s="6" t="s">
        <v>1310</v>
      </c>
      <c r="I504" s="6" t="s">
        <v>3632</v>
      </c>
      <c r="J504" s="8">
        <v>45334</v>
      </c>
      <c r="K504" s="8">
        <v>45304</v>
      </c>
      <c r="L504" s="6">
        <v>3100.25</v>
      </c>
      <c r="M504" s="6">
        <v>12200.6</v>
      </c>
      <c r="N504" s="6">
        <v>615</v>
      </c>
      <c r="O504" s="6">
        <v>30000</v>
      </c>
      <c r="P504" s="6" t="s">
        <v>76</v>
      </c>
      <c r="Q504" s="6" t="s">
        <v>43</v>
      </c>
      <c r="R504" s="6">
        <v>0</v>
      </c>
      <c r="S504" s="6" t="s">
        <v>28</v>
      </c>
      <c r="T504" s="7">
        <f t="shared" si="35"/>
        <v>0.4066866666666667</v>
      </c>
      <c r="U504" s="6">
        <f t="shared" si="36"/>
        <v>2</v>
      </c>
      <c r="V504" s="5" t="str">
        <f t="shared" si="37"/>
        <v>FAIR</v>
      </c>
      <c r="W504" s="6" t="str">
        <f t="shared" si="38"/>
        <v>25-34</v>
      </c>
      <c r="X504" s="6" t="str">
        <f t="shared" si="39"/>
        <v>Low</v>
      </c>
    </row>
    <row r="505" spans="1:24">
      <c r="A505" s="6" t="s">
        <v>522</v>
      </c>
      <c r="B505" s="6" t="s">
        <v>1311</v>
      </c>
      <c r="C505" s="6" t="s">
        <v>39</v>
      </c>
      <c r="D505" s="6" t="s">
        <v>40</v>
      </c>
      <c r="E505" s="6" t="s">
        <v>41</v>
      </c>
      <c r="F505" s="6">
        <v>61</v>
      </c>
      <c r="G505" s="6" t="s">
        <v>24</v>
      </c>
      <c r="H505" s="6" t="s">
        <v>1312</v>
      </c>
      <c r="I505" s="6" t="s">
        <v>3510</v>
      </c>
      <c r="J505" s="8">
        <v>43395</v>
      </c>
      <c r="K505" s="8">
        <v>45299</v>
      </c>
      <c r="L505" s="6">
        <v>214400.8</v>
      </c>
      <c r="M505" s="6">
        <v>104000.25</v>
      </c>
      <c r="N505" s="6">
        <v>660</v>
      </c>
      <c r="O505" s="6">
        <v>229000</v>
      </c>
      <c r="P505" s="6" t="s">
        <v>76</v>
      </c>
      <c r="Q505" s="6" t="s">
        <v>27</v>
      </c>
      <c r="R505" s="6">
        <v>0</v>
      </c>
      <c r="S505" s="6" t="s">
        <v>28</v>
      </c>
      <c r="T505" s="7">
        <f t="shared" si="35"/>
        <v>0.45414956331877732</v>
      </c>
      <c r="U505" s="6">
        <f t="shared" si="36"/>
        <v>7</v>
      </c>
      <c r="V505" s="5" t="str">
        <f t="shared" si="37"/>
        <v>FAIR</v>
      </c>
      <c r="W505" s="6" t="str">
        <f t="shared" si="38"/>
        <v>55+</v>
      </c>
      <c r="X505" s="6" t="str">
        <f t="shared" si="39"/>
        <v>High</v>
      </c>
    </row>
    <row r="506" spans="1:24">
      <c r="A506" s="6" t="s">
        <v>306</v>
      </c>
      <c r="B506" s="6" t="s">
        <v>1313</v>
      </c>
      <c r="C506" s="6" t="s">
        <v>46</v>
      </c>
      <c r="D506" s="6" t="s">
        <v>209</v>
      </c>
      <c r="E506" s="6" t="s">
        <v>447</v>
      </c>
      <c r="F506" s="6">
        <v>48</v>
      </c>
      <c r="G506" s="6" t="s">
        <v>34</v>
      </c>
      <c r="H506" s="6" t="s">
        <v>1314</v>
      </c>
      <c r="I506" s="6" t="s">
        <v>3937</v>
      </c>
      <c r="J506" s="8">
        <v>44239</v>
      </c>
      <c r="K506" s="8">
        <v>45302</v>
      </c>
      <c r="L506" s="6">
        <v>78800.899999999994</v>
      </c>
      <c r="M506" s="6">
        <v>36600.75</v>
      </c>
      <c r="N506" s="6">
        <v>730</v>
      </c>
      <c r="O506" s="6">
        <v>133000</v>
      </c>
      <c r="P506" s="6" t="s">
        <v>26</v>
      </c>
      <c r="Q506" s="6" t="s">
        <v>27</v>
      </c>
      <c r="R506" s="6">
        <v>0</v>
      </c>
      <c r="S506" s="6" t="s">
        <v>28</v>
      </c>
      <c r="T506" s="7">
        <f t="shared" si="35"/>
        <v>0.27519360902255641</v>
      </c>
      <c r="U506" s="6">
        <f t="shared" si="36"/>
        <v>4</v>
      </c>
      <c r="V506" s="5" t="str">
        <f t="shared" si="37"/>
        <v>GOOD</v>
      </c>
      <c r="W506" s="6" t="str">
        <f t="shared" si="38"/>
        <v>45-54</v>
      </c>
      <c r="X506" s="6" t="str">
        <f t="shared" si="39"/>
        <v>Upper-Middle</v>
      </c>
    </row>
    <row r="507" spans="1:24">
      <c r="A507" s="6" t="s">
        <v>527</v>
      </c>
      <c r="B507" s="6" t="s">
        <v>1315</v>
      </c>
      <c r="C507" s="6" t="s">
        <v>31</v>
      </c>
      <c r="D507" s="6" t="s">
        <v>32</v>
      </c>
      <c r="E507" s="6" t="s">
        <v>90</v>
      </c>
      <c r="F507" s="6">
        <v>37</v>
      </c>
      <c r="G507" s="6" t="s">
        <v>34</v>
      </c>
      <c r="H507" s="6" t="s">
        <v>1316</v>
      </c>
      <c r="I507" s="6" t="s">
        <v>3634</v>
      </c>
      <c r="J507" s="8">
        <v>45306</v>
      </c>
      <c r="K507" s="8">
        <v>45305</v>
      </c>
      <c r="L507" s="6">
        <v>12500.4</v>
      </c>
      <c r="M507" s="6">
        <v>7200.25</v>
      </c>
      <c r="N507" s="6">
        <v>705</v>
      </c>
      <c r="O507" s="6">
        <v>47000</v>
      </c>
      <c r="P507" s="6" t="s">
        <v>26</v>
      </c>
      <c r="Q507" s="6" t="s">
        <v>43</v>
      </c>
      <c r="R507" s="6">
        <v>0</v>
      </c>
      <c r="S507" s="6" t="s">
        <v>28</v>
      </c>
      <c r="T507" s="7">
        <f t="shared" si="35"/>
        <v>0.1531968085106383</v>
      </c>
      <c r="U507" s="6">
        <f t="shared" si="36"/>
        <v>1</v>
      </c>
      <c r="V507" s="5" t="str">
        <f t="shared" si="37"/>
        <v>GOOD</v>
      </c>
      <c r="W507" s="6" t="str">
        <f t="shared" si="38"/>
        <v>35-44</v>
      </c>
      <c r="X507" s="6" t="str">
        <f t="shared" si="39"/>
        <v>Low</v>
      </c>
    </row>
    <row r="508" spans="1:24">
      <c r="A508" s="6" t="s">
        <v>530</v>
      </c>
      <c r="B508" s="6" t="s">
        <v>1317</v>
      </c>
      <c r="C508" s="6" t="s">
        <v>57</v>
      </c>
      <c r="D508" s="6" t="s">
        <v>219</v>
      </c>
      <c r="E508" s="6" t="s">
        <v>220</v>
      </c>
      <c r="F508" s="6">
        <v>42</v>
      </c>
      <c r="G508" s="6" t="s">
        <v>24</v>
      </c>
      <c r="H508" s="6" t="s">
        <v>1318</v>
      </c>
      <c r="I508" s="6" t="s">
        <v>3938</v>
      </c>
      <c r="J508" s="8">
        <v>44801</v>
      </c>
      <c r="K508" s="8">
        <v>45303</v>
      </c>
      <c r="L508" s="6">
        <v>23300.6</v>
      </c>
      <c r="M508" s="6">
        <v>9400.7999999999993</v>
      </c>
      <c r="N508" s="6">
        <v>710</v>
      </c>
      <c r="O508" s="6">
        <v>63000</v>
      </c>
      <c r="P508" s="6" t="s">
        <v>36</v>
      </c>
      <c r="Q508" s="6" t="s">
        <v>27</v>
      </c>
      <c r="R508" s="6">
        <v>0</v>
      </c>
      <c r="S508" s="6" t="s">
        <v>28</v>
      </c>
      <c r="T508" s="7">
        <f t="shared" si="35"/>
        <v>0.14921904761904761</v>
      </c>
      <c r="U508" s="6">
        <f t="shared" si="36"/>
        <v>3</v>
      </c>
      <c r="V508" s="5" t="str">
        <f t="shared" si="37"/>
        <v>GOOD</v>
      </c>
      <c r="W508" s="6" t="str">
        <f t="shared" si="38"/>
        <v>35-44</v>
      </c>
      <c r="X508" s="6" t="str">
        <f t="shared" si="39"/>
        <v>Low</v>
      </c>
    </row>
    <row r="509" spans="1:24">
      <c r="A509" s="6" t="s">
        <v>533</v>
      </c>
      <c r="B509" s="6" t="s">
        <v>1319</v>
      </c>
      <c r="C509" s="6" t="s">
        <v>52</v>
      </c>
      <c r="D509" s="6" t="s">
        <v>204</v>
      </c>
      <c r="E509" s="6" t="s">
        <v>205</v>
      </c>
      <c r="F509" s="6">
        <v>49</v>
      </c>
      <c r="G509" s="6" t="s">
        <v>34</v>
      </c>
      <c r="H509" s="6" t="s">
        <v>1320</v>
      </c>
      <c r="I509" s="6" t="s">
        <v>3636</v>
      </c>
      <c r="J509" s="8">
        <v>44096</v>
      </c>
      <c r="K509" s="8">
        <v>45301</v>
      </c>
      <c r="L509" s="6">
        <v>54600.25</v>
      </c>
      <c r="M509" s="6">
        <v>27700.9</v>
      </c>
      <c r="N509" s="6">
        <v>695</v>
      </c>
      <c r="O509" s="6">
        <v>98000</v>
      </c>
      <c r="P509" s="6" t="s">
        <v>26</v>
      </c>
      <c r="Q509" s="6" t="s">
        <v>27</v>
      </c>
      <c r="R509" s="6">
        <v>0</v>
      </c>
      <c r="S509" s="6" t="s">
        <v>28</v>
      </c>
      <c r="T509" s="7">
        <f t="shared" si="35"/>
        <v>0.28266224489795921</v>
      </c>
      <c r="U509" s="6">
        <f t="shared" si="36"/>
        <v>5</v>
      </c>
      <c r="V509" s="5" t="str">
        <f t="shared" si="37"/>
        <v>GOOD</v>
      </c>
      <c r="W509" s="6" t="str">
        <f t="shared" si="38"/>
        <v>45-54</v>
      </c>
      <c r="X509" s="6" t="str">
        <f t="shared" si="39"/>
        <v>Lower-Middle</v>
      </c>
    </row>
    <row r="510" spans="1:24">
      <c r="A510" s="6" t="s">
        <v>536</v>
      </c>
      <c r="B510" s="6" t="s">
        <v>1321</v>
      </c>
      <c r="C510" s="6" t="s">
        <v>39</v>
      </c>
      <c r="D510" s="6" t="s">
        <v>195</v>
      </c>
      <c r="E510" s="6" t="s">
        <v>300</v>
      </c>
      <c r="F510" s="6">
        <v>57</v>
      </c>
      <c r="G510" s="6" t="s">
        <v>24</v>
      </c>
      <c r="H510" s="6" t="s">
        <v>1322</v>
      </c>
      <c r="I510" s="6" t="s">
        <v>3939</v>
      </c>
      <c r="J510" s="8">
        <v>43552</v>
      </c>
      <c r="K510" s="8">
        <v>45300</v>
      </c>
      <c r="L510" s="6">
        <v>146600.4</v>
      </c>
      <c r="M510" s="6">
        <v>78000.600000000006</v>
      </c>
      <c r="N510" s="6">
        <v>670</v>
      </c>
      <c r="O510" s="6">
        <v>165000</v>
      </c>
      <c r="P510" s="6" t="s">
        <v>76</v>
      </c>
      <c r="Q510" s="6" t="s">
        <v>27</v>
      </c>
      <c r="R510" s="6">
        <v>0</v>
      </c>
      <c r="S510" s="6" t="s">
        <v>28</v>
      </c>
      <c r="T510" s="7">
        <f t="shared" si="35"/>
        <v>0.47273090909090915</v>
      </c>
      <c r="U510" s="6">
        <f t="shared" si="36"/>
        <v>6</v>
      </c>
      <c r="V510" s="5" t="str">
        <f t="shared" si="37"/>
        <v>GOOD</v>
      </c>
      <c r="W510" s="6" t="str">
        <f t="shared" si="38"/>
        <v>55+</v>
      </c>
      <c r="X510" s="6" t="str">
        <f t="shared" si="39"/>
        <v>Upper-Middle</v>
      </c>
    </row>
    <row r="511" spans="1:24">
      <c r="A511" s="6" t="s">
        <v>539</v>
      </c>
      <c r="B511" s="6" t="s">
        <v>1323</v>
      </c>
      <c r="C511" s="6" t="s">
        <v>21</v>
      </c>
      <c r="D511" s="6" t="s">
        <v>58</v>
      </c>
      <c r="E511" s="6" t="s">
        <v>122</v>
      </c>
      <c r="F511" s="6">
        <v>65</v>
      </c>
      <c r="G511" s="6" t="s">
        <v>34</v>
      </c>
      <c r="H511" s="6" t="s">
        <v>1324</v>
      </c>
      <c r="I511" s="6" t="s">
        <v>3638</v>
      </c>
      <c r="J511" s="8">
        <v>43115</v>
      </c>
      <c r="K511" s="8">
        <v>45299</v>
      </c>
      <c r="L511" s="6">
        <v>313500.75</v>
      </c>
      <c r="M511" s="6">
        <v>95000.8</v>
      </c>
      <c r="N511" s="6">
        <v>835</v>
      </c>
      <c r="O511" s="6">
        <v>310000</v>
      </c>
      <c r="P511" s="6" t="s">
        <v>36</v>
      </c>
      <c r="Q511" s="6" t="s">
        <v>27</v>
      </c>
      <c r="R511" s="6">
        <v>0</v>
      </c>
      <c r="S511" s="6" t="s">
        <v>28</v>
      </c>
      <c r="T511" s="7">
        <f t="shared" si="35"/>
        <v>0.3064541935483871</v>
      </c>
      <c r="U511" s="6">
        <f t="shared" si="36"/>
        <v>7</v>
      </c>
      <c r="V511" s="5" t="str">
        <f t="shared" si="37"/>
        <v>EXCEPTIONAL</v>
      </c>
      <c r="W511" s="6" t="str">
        <f t="shared" si="38"/>
        <v>55+</v>
      </c>
      <c r="X511" s="6" t="str">
        <f t="shared" si="39"/>
        <v>High</v>
      </c>
    </row>
    <row r="512" spans="1:24">
      <c r="A512" s="6" t="s">
        <v>542</v>
      </c>
      <c r="B512" s="6" t="s">
        <v>1325</v>
      </c>
      <c r="C512" s="6" t="s">
        <v>52</v>
      </c>
      <c r="D512" s="6" t="s">
        <v>68</v>
      </c>
      <c r="E512" s="6" t="s">
        <v>179</v>
      </c>
      <c r="F512" s="6">
        <v>52</v>
      </c>
      <c r="G512" s="6" t="s">
        <v>34</v>
      </c>
      <c r="H512" s="6" t="s">
        <v>1326</v>
      </c>
      <c r="I512" s="6" t="s">
        <v>3924</v>
      </c>
      <c r="J512" s="8">
        <v>44065</v>
      </c>
      <c r="K512" s="8">
        <v>45302</v>
      </c>
      <c r="L512" s="6">
        <v>63300.6</v>
      </c>
      <c r="M512" s="6">
        <v>33300.25</v>
      </c>
      <c r="N512" s="6">
        <v>665</v>
      </c>
      <c r="O512" s="6">
        <v>118000</v>
      </c>
      <c r="P512" s="6" t="s">
        <v>26</v>
      </c>
      <c r="Q512" s="6" t="s">
        <v>27</v>
      </c>
      <c r="R512" s="6">
        <v>0</v>
      </c>
      <c r="S512" s="6" t="s">
        <v>28</v>
      </c>
      <c r="T512" s="7">
        <f t="shared" si="35"/>
        <v>0.28220550847457626</v>
      </c>
      <c r="U512" s="6">
        <f t="shared" si="36"/>
        <v>4</v>
      </c>
      <c r="V512" s="5" t="str">
        <f t="shared" si="37"/>
        <v>FAIR</v>
      </c>
      <c r="W512" s="6" t="str">
        <f t="shared" si="38"/>
        <v>45-54</v>
      </c>
      <c r="X512" s="6" t="str">
        <f t="shared" si="39"/>
        <v>Lower-Middle</v>
      </c>
    </row>
    <row r="513" spans="1:24">
      <c r="A513" s="6" t="s">
        <v>545</v>
      </c>
      <c r="B513" s="6" t="s">
        <v>1327</v>
      </c>
      <c r="C513" s="6" t="s">
        <v>46</v>
      </c>
      <c r="D513" s="6" t="s">
        <v>241</v>
      </c>
      <c r="E513" s="6" t="s">
        <v>242</v>
      </c>
      <c r="F513" s="6">
        <v>44</v>
      </c>
      <c r="G513" s="6" t="s">
        <v>24</v>
      </c>
      <c r="H513" s="6" t="s">
        <v>1328</v>
      </c>
      <c r="I513" s="6" t="s">
        <v>3940</v>
      </c>
      <c r="J513" s="8">
        <v>44703</v>
      </c>
      <c r="K513" s="8">
        <v>45303</v>
      </c>
      <c r="L513" s="6">
        <v>86600.8</v>
      </c>
      <c r="M513" s="6">
        <v>40800.400000000001</v>
      </c>
      <c r="N513" s="6">
        <v>750</v>
      </c>
      <c r="O513" s="6">
        <v>144000</v>
      </c>
      <c r="P513" s="6" t="s">
        <v>26</v>
      </c>
      <c r="Q513" s="6" t="s">
        <v>27</v>
      </c>
      <c r="R513" s="6">
        <v>0</v>
      </c>
      <c r="S513" s="6" t="s">
        <v>28</v>
      </c>
      <c r="T513" s="7">
        <f t="shared" si="35"/>
        <v>0.28333611111111112</v>
      </c>
      <c r="U513" s="6">
        <f t="shared" si="36"/>
        <v>3</v>
      </c>
      <c r="V513" s="5" t="str">
        <f t="shared" si="37"/>
        <v>VERY GOOD</v>
      </c>
      <c r="W513" s="6" t="str">
        <f t="shared" si="38"/>
        <v>35-44</v>
      </c>
      <c r="X513" s="6" t="str">
        <f t="shared" si="39"/>
        <v>Upper-Middle</v>
      </c>
    </row>
    <row r="514" spans="1:24">
      <c r="A514" s="6" t="s">
        <v>548</v>
      </c>
      <c r="B514" s="6" t="s">
        <v>1329</v>
      </c>
      <c r="C514" s="6" t="s">
        <v>57</v>
      </c>
      <c r="D514" s="6" t="s">
        <v>22</v>
      </c>
      <c r="E514" s="6" t="s">
        <v>381</v>
      </c>
      <c r="F514" s="6">
        <v>40</v>
      </c>
      <c r="G514" s="6" t="s">
        <v>34</v>
      </c>
      <c r="H514" s="6" t="s">
        <v>1330</v>
      </c>
      <c r="I514" s="6" t="s">
        <v>3941</v>
      </c>
      <c r="J514" s="8">
        <v>44887</v>
      </c>
      <c r="K514" s="8">
        <v>45305</v>
      </c>
      <c r="L514" s="6">
        <v>25500.9</v>
      </c>
      <c r="M514" s="6">
        <v>10400.75</v>
      </c>
      <c r="N514" s="6">
        <v>770</v>
      </c>
      <c r="O514" s="6">
        <v>75000</v>
      </c>
      <c r="P514" s="6" t="s">
        <v>36</v>
      </c>
      <c r="Q514" s="6" t="s">
        <v>27</v>
      </c>
      <c r="R514" s="6">
        <v>0</v>
      </c>
      <c r="S514" s="6" t="s">
        <v>28</v>
      </c>
      <c r="T514" s="7">
        <f t="shared" ref="T514:T577" si="40">IFERROR(M514/O514,"")</f>
        <v>0.13867666666666667</v>
      </c>
      <c r="U514" s="6">
        <f t="shared" ref="U514:U577" si="41">MAX($K$2:$K$1599)-K514</f>
        <v>1</v>
      </c>
      <c r="V514" s="5" t="str">
        <f t="shared" ref="V514:V577" si="42">IF(N514&lt;670,"FAIR", IF(N514&lt;750,"GOOD",IF(N514&lt;800,"VERY GOOD","EXCEPTIONAL")))</f>
        <v>VERY GOOD</v>
      </c>
      <c r="W514" s="6" t="str">
        <f t="shared" ref="W514:W577" si="43">IF(F514&lt;25,"18-24",IF(F514&lt;35,"25-34",IF(F514&lt;45,"35-44",IF(F514&lt;55,"45-54","55+"))))</f>
        <v>35-44</v>
      </c>
      <c r="X514" s="6" t="str">
        <f t="shared" ref="X514:X577" si="44">IF(O514&lt;=_xlfn.QUARTILE.INC($O$2:$O$1599,1),"Low",IF(O514&lt;=_xlfn.QUARTILE.INC($O$2:$O$1599,2),"Lower-Middle",IF(O514&lt;=_xlfn.QUARTILE.INC($O$2:$O$1599,3),"Upper-Middle","High")))</f>
        <v>Lower-Middle</v>
      </c>
    </row>
    <row r="515" spans="1:24">
      <c r="A515" s="6" t="s">
        <v>551</v>
      </c>
      <c r="B515" s="6" t="s">
        <v>1331</v>
      </c>
      <c r="C515" s="6" t="s">
        <v>39</v>
      </c>
      <c r="D515" s="6" t="s">
        <v>313</v>
      </c>
      <c r="E515" s="6" t="s">
        <v>501</v>
      </c>
      <c r="F515" s="6">
        <v>63</v>
      </c>
      <c r="G515" s="6" t="s">
        <v>24</v>
      </c>
      <c r="H515" s="6" t="s">
        <v>1332</v>
      </c>
      <c r="I515" s="6" t="s">
        <v>3942</v>
      </c>
      <c r="J515" s="8">
        <v>43303</v>
      </c>
      <c r="K515" s="8">
        <v>45299</v>
      </c>
      <c r="L515" s="6">
        <v>199700.25</v>
      </c>
      <c r="M515" s="6">
        <v>99000.8</v>
      </c>
      <c r="N515" s="6">
        <v>645</v>
      </c>
      <c r="O515" s="6">
        <v>215000</v>
      </c>
      <c r="P515" s="6" t="s">
        <v>76</v>
      </c>
      <c r="Q515" s="6" t="s">
        <v>27</v>
      </c>
      <c r="R515" s="6">
        <v>0</v>
      </c>
      <c r="S515" s="6" t="s">
        <v>28</v>
      </c>
      <c r="T515" s="7">
        <f t="shared" si="40"/>
        <v>0.46046883720930232</v>
      </c>
      <c r="U515" s="6">
        <f t="shared" si="41"/>
        <v>7</v>
      </c>
      <c r="V515" s="5" t="str">
        <f t="shared" si="42"/>
        <v>FAIR</v>
      </c>
      <c r="W515" s="6" t="str">
        <f t="shared" si="43"/>
        <v>55+</v>
      </c>
      <c r="X515" s="6" t="str">
        <f t="shared" si="44"/>
        <v>High</v>
      </c>
    </row>
    <row r="516" spans="1:24">
      <c r="A516" s="6" t="s">
        <v>554</v>
      </c>
      <c r="B516" s="6" t="s">
        <v>1333</v>
      </c>
      <c r="C516" s="6" t="s">
        <v>31</v>
      </c>
      <c r="D516" s="6" t="s">
        <v>214</v>
      </c>
      <c r="E516" s="6" t="s">
        <v>483</v>
      </c>
      <c r="F516" s="6">
        <v>36</v>
      </c>
      <c r="G516" s="6" t="s">
        <v>34</v>
      </c>
      <c r="H516" s="6" t="s">
        <v>1334</v>
      </c>
      <c r="I516" s="6" t="s">
        <v>3943</v>
      </c>
      <c r="J516" s="8">
        <v>45313</v>
      </c>
      <c r="K516" s="8">
        <v>45306</v>
      </c>
      <c r="L516" s="6">
        <v>20200.5</v>
      </c>
      <c r="M516" s="6">
        <v>10000.4</v>
      </c>
      <c r="N516" s="6">
        <v>720</v>
      </c>
      <c r="O516" s="6">
        <v>52000</v>
      </c>
      <c r="P516" s="6" t="s">
        <v>36</v>
      </c>
      <c r="Q516" s="6" t="s">
        <v>27</v>
      </c>
      <c r="R516" s="6">
        <v>0</v>
      </c>
      <c r="S516" s="6" t="s">
        <v>28</v>
      </c>
      <c r="T516" s="7">
        <f t="shared" si="40"/>
        <v>0.19231538461538461</v>
      </c>
      <c r="U516" s="6">
        <f t="shared" si="41"/>
        <v>0</v>
      </c>
      <c r="V516" s="5" t="str">
        <f t="shared" si="42"/>
        <v>GOOD</v>
      </c>
      <c r="W516" s="6" t="str">
        <f t="shared" si="43"/>
        <v>35-44</v>
      </c>
      <c r="X516" s="6" t="str">
        <f t="shared" si="44"/>
        <v>Low</v>
      </c>
    </row>
    <row r="517" spans="1:24">
      <c r="A517" s="6" t="s">
        <v>108</v>
      </c>
      <c r="B517" s="6" t="s">
        <v>1335</v>
      </c>
      <c r="C517" s="6" t="s">
        <v>84</v>
      </c>
      <c r="D517" s="6" t="s">
        <v>32</v>
      </c>
      <c r="E517" s="6" t="s">
        <v>33</v>
      </c>
      <c r="F517" s="6">
        <v>32</v>
      </c>
      <c r="G517" s="6" t="s">
        <v>24</v>
      </c>
      <c r="H517" s="6" t="s">
        <v>1336</v>
      </c>
      <c r="I517" s="6" t="s">
        <v>3644</v>
      </c>
      <c r="J517" s="8">
        <v>45330</v>
      </c>
      <c r="K517" s="8">
        <v>45304</v>
      </c>
      <c r="L517" s="6">
        <v>2850.8</v>
      </c>
      <c r="M517" s="6">
        <v>10600.25</v>
      </c>
      <c r="N517" s="6">
        <v>605</v>
      </c>
      <c r="O517" s="6">
        <v>28000</v>
      </c>
      <c r="P517" s="6" t="s">
        <v>76</v>
      </c>
      <c r="Q517" s="6" t="s">
        <v>43</v>
      </c>
      <c r="R517" s="6">
        <v>0</v>
      </c>
      <c r="S517" s="6" t="s">
        <v>28</v>
      </c>
      <c r="T517" s="7">
        <f t="shared" si="40"/>
        <v>0.37858035714285715</v>
      </c>
      <c r="U517" s="6">
        <f t="shared" si="41"/>
        <v>2</v>
      </c>
      <c r="V517" s="5" t="str">
        <f t="shared" si="42"/>
        <v>FAIR</v>
      </c>
      <c r="W517" s="6" t="str">
        <f t="shared" si="43"/>
        <v>25-34</v>
      </c>
      <c r="X517" s="6" t="str">
        <f t="shared" si="44"/>
        <v>Low</v>
      </c>
    </row>
    <row r="518" spans="1:24">
      <c r="A518" s="6" t="s">
        <v>559</v>
      </c>
      <c r="B518" s="6" t="s">
        <v>1337</v>
      </c>
      <c r="C518" s="6" t="s">
        <v>46</v>
      </c>
      <c r="D518" s="6" t="s">
        <v>254</v>
      </c>
      <c r="E518" s="6" t="s">
        <v>255</v>
      </c>
      <c r="F518" s="6">
        <v>46</v>
      </c>
      <c r="G518" s="6" t="s">
        <v>34</v>
      </c>
      <c r="H518" s="6" t="s">
        <v>1338</v>
      </c>
      <c r="I518" s="6" t="s">
        <v>3944</v>
      </c>
      <c r="J518" s="8">
        <v>44583</v>
      </c>
      <c r="K518" s="8">
        <v>45302</v>
      </c>
      <c r="L518" s="6">
        <v>73300.399999999994</v>
      </c>
      <c r="M518" s="6">
        <v>35500.75</v>
      </c>
      <c r="N518" s="6">
        <v>710</v>
      </c>
      <c r="O518" s="6">
        <v>126000</v>
      </c>
      <c r="P518" s="6" t="s">
        <v>26</v>
      </c>
      <c r="Q518" s="6" t="s">
        <v>27</v>
      </c>
      <c r="R518" s="6">
        <v>0</v>
      </c>
      <c r="S518" s="6" t="s">
        <v>28</v>
      </c>
      <c r="T518" s="7">
        <f t="shared" si="40"/>
        <v>0.2817519841269841</v>
      </c>
      <c r="U518" s="6">
        <f t="shared" si="41"/>
        <v>4</v>
      </c>
      <c r="V518" s="5" t="str">
        <f t="shared" si="42"/>
        <v>GOOD</v>
      </c>
      <c r="W518" s="6" t="str">
        <f t="shared" si="43"/>
        <v>45-54</v>
      </c>
      <c r="X518" s="6" t="str">
        <f t="shared" si="44"/>
        <v>Lower-Middle</v>
      </c>
    </row>
    <row r="519" spans="1:24">
      <c r="A519" s="6" t="s">
        <v>562</v>
      </c>
      <c r="B519" s="6" t="s">
        <v>1339</v>
      </c>
      <c r="C519" s="6" t="s">
        <v>39</v>
      </c>
      <c r="D519" s="6" t="s">
        <v>47</v>
      </c>
      <c r="E519" s="6" t="s">
        <v>98</v>
      </c>
      <c r="F519" s="6">
        <v>60</v>
      </c>
      <c r="G519" s="6" t="s">
        <v>24</v>
      </c>
      <c r="H519" s="6" t="s">
        <v>1340</v>
      </c>
      <c r="I519" s="6" t="s">
        <v>3646</v>
      </c>
      <c r="J519" s="8">
        <v>43456</v>
      </c>
      <c r="K519" s="8">
        <v>45300</v>
      </c>
      <c r="L519" s="6">
        <v>179900.6</v>
      </c>
      <c r="M519" s="6">
        <v>92000.25</v>
      </c>
      <c r="N519" s="6">
        <v>675</v>
      </c>
      <c r="O519" s="6">
        <v>195000</v>
      </c>
      <c r="P519" s="6" t="s">
        <v>76</v>
      </c>
      <c r="Q519" s="6" t="s">
        <v>27</v>
      </c>
      <c r="R519" s="6">
        <v>0</v>
      </c>
      <c r="S519" s="6" t="s">
        <v>28</v>
      </c>
      <c r="T519" s="7">
        <f t="shared" si="40"/>
        <v>0.47179615384615387</v>
      </c>
      <c r="U519" s="6">
        <f t="shared" si="41"/>
        <v>6</v>
      </c>
      <c r="V519" s="5" t="str">
        <f t="shared" si="42"/>
        <v>GOOD</v>
      </c>
      <c r="W519" s="6" t="str">
        <f t="shared" si="43"/>
        <v>55+</v>
      </c>
      <c r="X519" s="6" t="str">
        <f t="shared" si="44"/>
        <v>High</v>
      </c>
    </row>
    <row r="520" spans="1:24">
      <c r="A520" s="6" t="s">
        <v>565</v>
      </c>
      <c r="B520" s="6" t="s">
        <v>1341</v>
      </c>
      <c r="C520" s="6" t="s">
        <v>52</v>
      </c>
      <c r="D520" s="6" t="s">
        <v>233</v>
      </c>
      <c r="E520" s="6" t="s">
        <v>296</v>
      </c>
      <c r="F520" s="6">
        <v>45</v>
      </c>
      <c r="G520" s="6" t="s">
        <v>34</v>
      </c>
      <c r="H520" s="6" t="s">
        <v>1342</v>
      </c>
      <c r="I520" s="6" t="s">
        <v>3647</v>
      </c>
      <c r="J520" s="8">
        <v>44375</v>
      </c>
      <c r="K520" s="8">
        <v>45301</v>
      </c>
      <c r="L520" s="6">
        <v>49700.75</v>
      </c>
      <c r="M520" s="6">
        <v>26600.799999999999</v>
      </c>
      <c r="N520" s="6">
        <v>725</v>
      </c>
      <c r="O520" s="6">
        <v>92000</v>
      </c>
      <c r="P520" s="6" t="s">
        <v>26</v>
      </c>
      <c r="Q520" s="6" t="s">
        <v>27</v>
      </c>
      <c r="R520" s="6">
        <v>0</v>
      </c>
      <c r="S520" s="6" t="s">
        <v>28</v>
      </c>
      <c r="T520" s="7">
        <f t="shared" si="40"/>
        <v>0.28913913043478262</v>
      </c>
      <c r="U520" s="6">
        <f t="shared" si="41"/>
        <v>5</v>
      </c>
      <c r="V520" s="5" t="str">
        <f t="shared" si="42"/>
        <v>GOOD</v>
      </c>
      <c r="W520" s="6" t="str">
        <f t="shared" si="43"/>
        <v>45-54</v>
      </c>
      <c r="X520" s="6" t="str">
        <f t="shared" si="44"/>
        <v>Lower-Middle</v>
      </c>
    </row>
    <row r="521" spans="1:24">
      <c r="A521" s="6" t="s">
        <v>568</v>
      </c>
      <c r="B521" s="6" t="s">
        <v>1343</v>
      </c>
      <c r="C521" s="6" t="s">
        <v>57</v>
      </c>
      <c r="D521" s="6" t="s">
        <v>79</v>
      </c>
      <c r="E521" s="6" t="s">
        <v>80</v>
      </c>
      <c r="F521" s="6">
        <v>43</v>
      </c>
      <c r="G521" s="6" t="s">
        <v>24</v>
      </c>
      <c r="H521" s="6" t="s">
        <v>1344</v>
      </c>
      <c r="I521" s="6" t="s">
        <v>3648</v>
      </c>
      <c r="J521" s="8">
        <v>44826</v>
      </c>
      <c r="K521" s="8">
        <v>45303</v>
      </c>
      <c r="L521" s="6">
        <v>27700.400000000001</v>
      </c>
      <c r="M521" s="6">
        <v>11200.9</v>
      </c>
      <c r="N521" s="6">
        <v>740</v>
      </c>
      <c r="O521" s="6">
        <v>78000</v>
      </c>
      <c r="P521" s="6" t="s">
        <v>36</v>
      </c>
      <c r="Q521" s="6" t="s">
        <v>27</v>
      </c>
      <c r="R521" s="6">
        <v>0</v>
      </c>
      <c r="S521" s="6" t="s">
        <v>28</v>
      </c>
      <c r="T521" s="7">
        <f t="shared" si="40"/>
        <v>0.14360128205128206</v>
      </c>
      <c r="U521" s="6">
        <f t="shared" si="41"/>
        <v>3</v>
      </c>
      <c r="V521" s="5" t="str">
        <f t="shared" si="42"/>
        <v>GOOD</v>
      </c>
      <c r="W521" s="6" t="str">
        <f t="shared" si="43"/>
        <v>35-44</v>
      </c>
      <c r="X521" s="6" t="str">
        <f t="shared" si="44"/>
        <v>Lower-Middle</v>
      </c>
    </row>
    <row r="522" spans="1:24">
      <c r="A522" s="6" t="s">
        <v>571</v>
      </c>
      <c r="B522" s="6" t="s">
        <v>1345</v>
      </c>
      <c r="C522" s="6" t="s">
        <v>21</v>
      </c>
      <c r="D522" s="6" t="s">
        <v>63</v>
      </c>
      <c r="E522" s="6" t="s">
        <v>106</v>
      </c>
      <c r="F522" s="6">
        <v>66</v>
      </c>
      <c r="G522" s="6" t="s">
        <v>34</v>
      </c>
      <c r="H522" s="6" t="s">
        <v>1346</v>
      </c>
      <c r="I522" s="6" t="s">
        <v>3945</v>
      </c>
      <c r="J522" s="8">
        <v>43000</v>
      </c>
      <c r="K522" s="8">
        <v>45299</v>
      </c>
      <c r="L522" s="6">
        <v>268800.90000000002</v>
      </c>
      <c r="M522" s="6">
        <v>82000.600000000006</v>
      </c>
      <c r="N522" s="6">
        <v>830</v>
      </c>
      <c r="O522" s="6">
        <v>290000</v>
      </c>
      <c r="P522" s="6" t="s">
        <v>36</v>
      </c>
      <c r="Q522" s="6" t="s">
        <v>27</v>
      </c>
      <c r="R522" s="6">
        <v>0</v>
      </c>
      <c r="S522" s="6" t="s">
        <v>28</v>
      </c>
      <c r="T522" s="7">
        <f t="shared" si="40"/>
        <v>0.28276068965517243</v>
      </c>
      <c r="U522" s="6">
        <f t="shared" si="41"/>
        <v>7</v>
      </c>
      <c r="V522" s="5" t="str">
        <f t="shared" si="42"/>
        <v>EXCEPTIONAL</v>
      </c>
      <c r="W522" s="6" t="str">
        <f t="shared" si="43"/>
        <v>55+</v>
      </c>
      <c r="X522" s="6" t="str">
        <f t="shared" si="44"/>
        <v>High</v>
      </c>
    </row>
    <row r="523" spans="1:24">
      <c r="A523" s="6" t="s">
        <v>574</v>
      </c>
      <c r="B523" s="6" t="s">
        <v>1347</v>
      </c>
      <c r="C523" s="6" t="s">
        <v>39</v>
      </c>
      <c r="D523" s="6" t="s">
        <v>68</v>
      </c>
      <c r="E523" s="6" t="s">
        <v>114</v>
      </c>
      <c r="F523" s="6">
        <v>58</v>
      </c>
      <c r="G523" s="6" t="s">
        <v>24</v>
      </c>
      <c r="H523" s="6" t="s">
        <v>1348</v>
      </c>
      <c r="I523" s="6" t="s">
        <v>3946</v>
      </c>
      <c r="J523" s="8">
        <v>43593</v>
      </c>
      <c r="K523" s="8">
        <v>45300</v>
      </c>
      <c r="L523" s="6">
        <v>157700.25</v>
      </c>
      <c r="M523" s="6">
        <v>84000.4</v>
      </c>
      <c r="N523" s="6">
        <v>655</v>
      </c>
      <c r="O523" s="6">
        <v>180000</v>
      </c>
      <c r="P523" s="6" t="s">
        <v>76</v>
      </c>
      <c r="Q523" s="6" t="s">
        <v>27</v>
      </c>
      <c r="R523" s="6">
        <v>0</v>
      </c>
      <c r="S523" s="6" t="s">
        <v>28</v>
      </c>
      <c r="T523" s="7">
        <f t="shared" si="40"/>
        <v>0.46666888888888886</v>
      </c>
      <c r="U523" s="6">
        <f t="shared" si="41"/>
        <v>6</v>
      </c>
      <c r="V523" s="5" t="str">
        <f t="shared" si="42"/>
        <v>FAIR</v>
      </c>
      <c r="W523" s="6" t="str">
        <f t="shared" si="43"/>
        <v>55+</v>
      </c>
      <c r="X523" s="6" t="str">
        <f t="shared" si="44"/>
        <v>Upper-Middle</v>
      </c>
    </row>
    <row r="524" spans="1:24">
      <c r="A524" s="6" t="s">
        <v>577</v>
      </c>
      <c r="B524" s="6" t="s">
        <v>1349</v>
      </c>
      <c r="C524" s="6" t="s">
        <v>46</v>
      </c>
      <c r="D524" s="6" t="s">
        <v>85</v>
      </c>
      <c r="E524" s="6" t="s">
        <v>130</v>
      </c>
      <c r="F524" s="6">
        <v>47</v>
      </c>
      <c r="G524" s="6" t="s">
        <v>34</v>
      </c>
      <c r="H524" s="6" t="s">
        <v>1350</v>
      </c>
      <c r="I524" s="6" t="s">
        <v>3947</v>
      </c>
      <c r="J524" s="8">
        <v>44491</v>
      </c>
      <c r="K524" s="8">
        <v>45302</v>
      </c>
      <c r="L524" s="6">
        <v>92200.6</v>
      </c>
      <c r="M524" s="6">
        <v>43500.75</v>
      </c>
      <c r="N524" s="6">
        <v>760</v>
      </c>
      <c r="O524" s="6">
        <v>149000</v>
      </c>
      <c r="P524" s="6" t="s">
        <v>26</v>
      </c>
      <c r="Q524" s="6" t="s">
        <v>27</v>
      </c>
      <c r="R524" s="6">
        <v>0</v>
      </c>
      <c r="S524" s="6" t="s">
        <v>28</v>
      </c>
      <c r="T524" s="7">
        <f t="shared" si="40"/>
        <v>0.29195134228187919</v>
      </c>
      <c r="U524" s="6">
        <f t="shared" si="41"/>
        <v>4</v>
      </c>
      <c r="V524" s="5" t="str">
        <f t="shared" si="42"/>
        <v>VERY GOOD</v>
      </c>
      <c r="W524" s="6" t="str">
        <f t="shared" si="43"/>
        <v>45-54</v>
      </c>
      <c r="X524" s="6" t="str">
        <f t="shared" si="44"/>
        <v>Upper-Middle</v>
      </c>
    </row>
    <row r="525" spans="1:24">
      <c r="A525" s="6" t="s">
        <v>458</v>
      </c>
      <c r="B525" s="6" t="s">
        <v>1351</v>
      </c>
      <c r="C525" s="6" t="s">
        <v>31</v>
      </c>
      <c r="D525" s="6" t="s">
        <v>460</v>
      </c>
      <c r="E525" s="6" t="s">
        <v>663</v>
      </c>
      <c r="F525" s="6">
        <v>38</v>
      </c>
      <c r="G525" s="6" t="s">
        <v>24</v>
      </c>
      <c r="H525" s="6" t="s">
        <v>1352</v>
      </c>
      <c r="I525" s="6" t="s">
        <v>3948</v>
      </c>
      <c r="J525" s="8">
        <v>45288</v>
      </c>
      <c r="K525" s="8">
        <v>45306</v>
      </c>
      <c r="L525" s="6">
        <v>13400.25</v>
      </c>
      <c r="M525" s="6">
        <v>7900.8</v>
      </c>
      <c r="N525" s="6">
        <v>695</v>
      </c>
      <c r="O525" s="6">
        <v>49000</v>
      </c>
      <c r="P525" s="6" t="s">
        <v>26</v>
      </c>
      <c r="Q525" s="6" t="s">
        <v>43</v>
      </c>
      <c r="R525" s="6">
        <v>0</v>
      </c>
      <c r="S525" s="6" t="s">
        <v>28</v>
      </c>
      <c r="T525" s="7">
        <f t="shared" si="40"/>
        <v>0.16124081632653062</v>
      </c>
      <c r="U525" s="6">
        <f t="shared" si="41"/>
        <v>0</v>
      </c>
      <c r="V525" s="5" t="str">
        <f t="shared" si="42"/>
        <v>GOOD</v>
      </c>
      <c r="W525" s="6" t="str">
        <f t="shared" si="43"/>
        <v>35-44</v>
      </c>
      <c r="X525" s="6" t="str">
        <f t="shared" si="44"/>
        <v>Low</v>
      </c>
    </row>
    <row r="526" spans="1:24">
      <c r="A526" s="6" t="s">
        <v>582</v>
      </c>
      <c r="B526" s="6" t="s">
        <v>1353</v>
      </c>
      <c r="C526" s="6" t="s">
        <v>57</v>
      </c>
      <c r="D526" s="6" t="s">
        <v>22</v>
      </c>
      <c r="E526" s="6" t="s">
        <v>23</v>
      </c>
      <c r="F526" s="6">
        <v>41</v>
      </c>
      <c r="G526" s="6" t="s">
        <v>34</v>
      </c>
      <c r="H526" s="6" t="s">
        <v>1354</v>
      </c>
      <c r="I526" s="6" t="s">
        <v>3949</v>
      </c>
      <c r="J526" s="8">
        <v>44764</v>
      </c>
      <c r="K526" s="8">
        <v>45303</v>
      </c>
      <c r="L526" s="6">
        <v>26600.9</v>
      </c>
      <c r="M526" s="6">
        <v>10800.25</v>
      </c>
      <c r="N526" s="6">
        <v>755</v>
      </c>
      <c r="O526" s="6">
        <v>71000</v>
      </c>
      <c r="P526" s="6" t="s">
        <v>36</v>
      </c>
      <c r="Q526" s="6" t="s">
        <v>27</v>
      </c>
      <c r="R526" s="6">
        <v>0</v>
      </c>
      <c r="S526" s="6" t="s">
        <v>28</v>
      </c>
      <c r="T526" s="7">
        <f t="shared" si="40"/>
        <v>0.1521161971830986</v>
      </c>
      <c r="U526" s="6">
        <f t="shared" si="41"/>
        <v>3</v>
      </c>
      <c r="V526" s="5" t="str">
        <f t="shared" si="42"/>
        <v>VERY GOOD</v>
      </c>
      <c r="W526" s="6" t="str">
        <f t="shared" si="43"/>
        <v>35-44</v>
      </c>
      <c r="X526" s="6" t="str">
        <f t="shared" si="44"/>
        <v>Low</v>
      </c>
    </row>
    <row r="527" spans="1:24">
      <c r="A527" s="6" t="s">
        <v>55</v>
      </c>
      <c r="B527" s="6" t="s">
        <v>1355</v>
      </c>
      <c r="C527" s="6" t="s">
        <v>39</v>
      </c>
      <c r="D527" s="6" t="s">
        <v>58</v>
      </c>
      <c r="E527" s="6" t="s">
        <v>122</v>
      </c>
      <c r="F527" s="6">
        <v>59</v>
      </c>
      <c r="G527" s="6" t="s">
        <v>24</v>
      </c>
      <c r="H527" s="6" t="s">
        <v>1356</v>
      </c>
      <c r="I527" s="6" t="s">
        <v>3653</v>
      </c>
      <c r="J527" s="8">
        <v>43508</v>
      </c>
      <c r="K527" s="8">
        <v>45300</v>
      </c>
      <c r="L527" s="6">
        <v>190600.4</v>
      </c>
      <c r="M527" s="6">
        <v>97000.75</v>
      </c>
      <c r="N527" s="6">
        <v>685</v>
      </c>
      <c r="O527" s="6">
        <v>205000</v>
      </c>
      <c r="P527" s="6" t="s">
        <v>76</v>
      </c>
      <c r="Q527" s="6" t="s">
        <v>27</v>
      </c>
      <c r="R527" s="6">
        <v>0</v>
      </c>
      <c r="S527" s="6" t="s">
        <v>28</v>
      </c>
      <c r="T527" s="7">
        <f t="shared" si="40"/>
        <v>0.47317439024390245</v>
      </c>
      <c r="U527" s="6">
        <f t="shared" si="41"/>
        <v>6</v>
      </c>
      <c r="V527" s="5" t="str">
        <f t="shared" si="42"/>
        <v>GOOD</v>
      </c>
      <c r="W527" s="6" t="str">
        <f t="shared" si="43"/>
        <v>55+</v>
      </c>
      <c r="X527" s="6" t="str">
        <f t="shared" si="44"/>
        <v>High</v>
      </c>
    </row>
    <row r="528" spans="1:24">
      <c r="A528" s="6" t="s">
        <v>469</v>
      </c>
      <c r="B528" s="6" t="s">
        <v>1357</v>
      </c>
      <c r="C528" s="6" t="s">
        <v>52</v>
      </c>
      <c r="D528" s="6" t="s">
        <v>471</v>
      </c>
      <c r="E528" s="6" t="s">
        <v>472</v>
      </c>
      <c r="F528" s="6">
        <v>50</v>
      </c>
      <c r="G528" s="6" t="s">
        <v>34</v>
      </c>
      <c r="H528" s="6" t="s">
        <v>1358</v>
      </c>
      <c r="I528" s="6" t="s">
        <v>3950</v>
      </c>
      <c r="J528" s="8">
        <v>44163</v>
      </c>
      <c r="K528" s="8">
        <v>45301</v>
      </c>
      <c r="L528" s="6">
        <v>56600.800000000003</v>
      </c>
      <c r="M528" s="6">
        <v>29700.6</v>
      </c>
      <c r="N528" s="6">
        <v>715</v>
      </c>
      <c r="O528" s="6">
        <v>104000</v>
      </c>
      <c r="P528" s="6" t="s">
        <v>26</v>
      </c>
      <c r="Q528" s="6" t="s">
        <v>27</v>
      </c>
      <c r="R528" s="6">
        <v>0</v>
      </c>
      <c r="S528" s="6" t="s">
        <v>28</v>
      </c>
      <c r="T528" s="7">
        <f t="shared" si="40"/>
        <v>0.28558269230769229</v>
      </c>
      <c r="U528" s="6">
        <f t="shared" si="41"/>
        <v>5</v>
      </c>
      <c r="V528" s="5" t="str">
        <f t="shared" si="42"/>
        <v>GOOD</v>
      </c>
      <c r="W528" s="6" t="str">
        <f t="shared" si="43"/>
        <v>45-54</v>
      </c>
      <c r="X528" s="6" t="str">
        <f t="shared" si="44"/>
        <v>Lower-Middle</v>
      </c>
    </row>
    <row r="529" spans="1:24">
      <c r="A529" s="6" t="s">
        <v>474</v>
      </c>
      <c r="B529" s="6" t="s">
        <v>1359</v>
      </c>
      <c r="C529" s="6" t="s">
        <v>46</v>
      </c>
      <c r="D529" s="6" t="s">
        <v>345</v>
      </c>
      <c r="E529" s="6" t="s">
        <v>346</v>
      </c>
      <c r="F529" s="6">
        <v>53</v>
      </c>
      <c r="G529" s="6" t="s">
        <v>24</v>
      </c>
      <c r="H529" s="6" t="s">
        <v>1360</v>
      </c>
      <c r="I529" s="6" t="s">
        <v>3951</v>
      </c>
      <c r="J529" s="8">
        <v>44065</v>
      </c>
      <c r="K529" s="8">
        <v>45302</v>
      </c>
      <c r="L529" s="6">
        <v>84400.25</v>
      </c>
      <c r="M529" s="6">
        <v>39700.400000000001</v>
      </c>
      <c r="N529" s="6">
        <v>680</v>
      </c>
      <c r="O529" s="6">
        <v>133000</v>
      </c>
      <c r="P529" s="6" t="s">
        <v>26</v>
      </c>
      <c r="Q529" s="6" t="s">
        <v>27</v>
      </c>
      <c r="R529" s="6">
        <v>0</v>
      </c>
      <c r="S529" s="6" t="s">
        <v>28</v>
      </c>
      <c r="T529" s="7">
        <f t="shared" si="40"/>
        <v>0.29849924812030076</v>
      </c>
      <c r="U529" s="6">
        <f t="shared" si="41"/>
        <v>4</v>
      </c>
      <c r="V529" s="5" t="str">
        <f t="shared" si="42"/>
        <v>GOOD</v>
      </c>
      <c r="W529" s="6" t="str">
        <f t="shared" si="43"/>
        <v>45-54</v>
      </c>
      <c r="X529" s="6" t="str">
        <f t="shared" si="44"/>
        <v>Upper-Middle</v>
      </c>
    </row>
    <row r="530" spans="1:24">
      <c r="A530" s="6" t="s">
        <v>592</v>
      </c>
      <c r="B530" s="6" t="s">
        <v>1361</v>
      </c>
      <c r="C530" s="6" t="s">
        <v>84</v>
      </c>
      <c r="D530" s="6" t="s">
        <v>32</v>
      </c>
      <c r="E530" s="6" t="s">
        <v>90</v>
      </c>
      <c r="F530" s="6">
        <v>33</v>
      </c>
      <c r="G530" s="6" t="s">
        <v>34</v>
      </c>
      <c r="H530" s="6" t="s">
        <v>1362</v>
      </c>
      <c r="I530" s="6" t="s">
        <v>3544</v>
      </c>
      <c r="J530" s="8">
        <v>45337</v>
      </c>
      <c r="K530" s="8">
        <v>45304</v>
      </c>
      <c r="L530" s="6">
        <v>2950.4</v>
      </c>
      <c r="M530" s="6">
        <v>11200.75</v>
      </c>
      <c r="N530" s="6">
        <v>610</v>
      </c>
      <c r="O530" s="6">
        <v>29000</v>
      </c>
      <c r="P530" s="6" t="s">
        <v>76</v>
      </c>
      <c r="Q530" s="6" t="s">
        <v>43</v>
      </c>
      <c r="R530" s="6">
        <v>0</v>
      </c>
      <c r="S530" s="6" t="s">
        <v>28</v>
      </c>
      <c r="T530" s="7">
        <f t="shared" si="40"/>
        <v>0.38623275862068968</v>
      </c>
      <c r="U530" s="6">
        <f t="shared" si="41"/>
        <v>2</v>
      </c>
      <c r="V530" s="5" t="str">
        <f t="shared" si="42"/>
        <v>FAIR</v>
      </c>
      <c r="W530" s="6" t="str">
        <f t="shared" si="43"/>
        <v>25-34</v>
      </c>
      <c r="X530" s="6" t="str">
        <f t="shared" si="44"/>
        <v>Low</v>
      </c>
    </row>
    <row r="531" spans="1:24">
      <c r="A531" s="6" t="s">
        <v>595</v>
      </c>
      <c r="B531" s="6" t="s">
        <v>1363</v>
      </c>
      <c r="C531" s="6" t="s">
        <v>21</v>
      </c>
      <c r="D531" s="6" t="s">
        <v>209</v>
      </c>
      <c r="E531" s="6" t="s">
        <v>210</v>
      </c>
      <c r="F531" s="6">
        <v>65</v>
      </c>
      <c r="G531" s="6" t="s">
        <v>24</v>
      </c>
      <c r="H531" s="6" t="s">
        <v>1364</v>
      </c>
      <c r="I531" s="6" t="s">
        <v>3689</v>
      </c>
      <c r="J531" s="8">
        <v>43218</v>
      </c>
      <c r="K531" s="8">
        <v>45299</v>
      </c>
      <c r="L531" s="6">
        <v>288600.8</v>
      </c>
      <c r="M531" s="6">
        <v>88000.25</v>
      </c>
      <c r="N531" s="6">
        <v>825</v>
      </c>
      <c r="O531" s="6">
        <v>285000</v>
      </c>
      <c r="P531" s="6" t="s">
        <v>36</v>
      </c>
      <c r="Q531" s="6" t="s">
        <v>27</v>
      </c>
      <c r="R531" s="6">
        <v>0</v>
      </c>
      <c r="S531" s="6" t="s">
        <v>28</v>
      </c>
      <c r="T531" s="7">
        <f t="shared" si="40"/>
        <v>0.30877280701754384</v>
      </c>
      <c r="U531" s="6">
        <f t="shared" si="41"/>
        <v>7</v>
      </c>
      <c r="V531" s="5" t="str">
        <f t="shared" si="42"/>
        <v>EXCEPTIONAL</v>
      </c>
      <c r="W531" s="6" t="str">
        <f t="shared" si="43"/>
        <v>55+</v>
      </c>
      <c r="X531" s="6" t="str">
        <f t="shared" si="44"/>
        <v>High</v>
      </c>
    </row>
    <row r="532" spans="1:24">
      <c r="A532" s="6" t="s">
        <v>226</v>
      </c>
      <c r="B532" s="6" t="s">
        <v>1365</v>
      </c>
      <c r="C532" s="6" t="s">
        <v>57</v>
      </c>
      <c r="D532" s="6" t="s">
        <v>228</v>
      </c>
      <c r="E532" s="6" t="s">
        <v>678</v>
      </c>
      <c r="F532" s="6">
        <v>40</v>
      </c>
      <c r="G532" s="6" t="s">
        <v>34</v>
      </c>
      <c r="H532" s="6" t="s">
        <v>1366</v>
      </c>
      <c r="I532" s="6" t="s">
        <v>3952</v>
      </c>
      <c r="J532" s="8">
        <v>44948</v>
      </c>
      <c r="K532" s="8">
        <v>45305</v>
      </c>
      <c r="L532" s="6">
        <v>23300.75</v>
      </c>
      <c r="M532" s="6">
        <v>9200.4</v>
      </c>
      <c r="N532" s="6">
        <v>725</v>
      </c>
      <c r="O532" s="6">
        <v>61000</v>
      </c>
      <c r="P532" s="6" t="s">
        <v>36</v>
      </c>
      <c r="Q532" s="6" t="s">
        <v>27</v>
      </c>
      <c r="R532" s="6">
        <v>0</v>
      </c>
      <c r="S532" s="6" t="s">
        <v>28</v>
      </c>
      <c r="T532" s="7">
        <f t="shared" si="40"/>
        <v>0.15082622950819671</v>
      </c>
      <c r="U532" s="6">
        <f t="shared" si="41"/>
        <v>1</v>
      </c>
      <c r="V532" s="5" t="str">
        <f t="shared" si="42"/>
        <v>GOOD</v>
      </c>
      <c r="W532" s="6" t="str">
        <f t="shared" si="43"/>
        <v>35-44</v>
      </c>
      <c r="X532" s="6" t="str">
        <f t="shared" si="44"/>
        <v>Low</v>
      </c>
    </row>
    <row r="533" spans="1:24">
      <c r="A533" s="6" t="s">
        <v>488</v>
      </c>
      <c r="B533" s="6" t="s">
        <v>1367</v>
      </c>
      <c r="C533" s="6" t="s">
        <v>39</v>
      </c>
      <c r="D533" s="6" t="s">
        <v>304</v>
      </c>
      <c r="E533" s="6" t="s">
        <v>304</v>
      </c>
      <c r="F533" s="6">
        <v>57</v>
      </c>
      <c r="G533" s="6" t="s">
        <v>24</v>
      </c>
      <c r="H533" s="6" t="s">
        <v>1368</v>
      </c>
      <c r="I533" s="6" t="s">
        <v>3953</v>
      </c>
      <c r="J533" s="8">
        <v>43689</v>
      </c>
      <c r="K533" s="8">
        <v>45300</v>
      </c>
      <c r="L533" s="6">
        <v>168800.6</v>
      </c>
      <c r="M533" s="6">
        <v>88000.9</v>
      </c>
      <c r="N533" s="6">
        <v>675</v>
      </c>
      <c r="O533" s="6">
        <v>185000</v>
      </c>
      <c r="P533" s="6" t="s">
        <v>76</v>
      </c>
      <c r="Q533" s="6" t="s">
        <v>27</v>
      </c>
      <c r="R533" s="6">
        <v>0</v>
      </c>
      <c r="S533" s="6" t="s">
        <v>28</v>
      </c>
      <c r="T533" s="7">
        <f t="shared" si="40"/>
        <v>0.47568054054054049</v>
      </c>
      <c r="U533" s="6">
        <f t="shared" si="41"/>
        <v>6</v>
      </c>
      <c r="V533" s="5" t="str">
        <f t="shared" si="42"/>
        <v>GOOD</v>
      </c>
      <c r="W533" s="6" t="str">
        <f t="shared" si="43"/>
        <v>55+</v>
      </c>
      <c r="X533" s="6" t="str">
        <f t="shared" si="44"/>
        <v>Upper-Middle</v>
      </c>
    </row>
    <row r="534" spans="1:24">
      <c r="A534" s="6" t="s">
        <v>491</v>
      </c>
      <c r="B534" s="6" t="s">
        <v>1369</v>
      </c>
      <c r="C534" s="6" t="s">
        <v>52</v>
      </c>
      <c r="D534" s="6" t="s">
        <v>493</v>
      </c>
      <c r="E534" s="6" t="s">
        <v>494</v>
      </c>
      <c r="F534" s="6">
        <v>48</v>
      </c>
      <c r="G534" s="6" t="s">
        <v>34</v>
      </c>
      <c r="H534" s="6" t="s">
        <v>1370</v>
      </c>
      <c r="I534" s="6" t="s">
        <v>3954</v>
      </c>
      <c r="J534" s="8">
        <v>44461</v>
      </c>
      <c r="K534" s="8">
        <v>45302</v>
      </c>
      <c r="L534" s="6">
        <v>50800.4</v>
      </c>
      <c r="M534" s="6">
        <v>25500.25</v>
      </c>
      <c r="N534" s="6">
        <v>705</v>
      </c>
      <c r="O534" s="6">
        <v>93000</v>
      </c>
      <c r="P534" s="6" t="s">
        <v>26</v>
      </c>
      <c r="Q534" s="6" t="s">
        <v>27</v>
      </c>
      <c r="R534" s="6">
        <v>0</v>
      </c>
      <c r="S534" s="6" t="s">
        <v>28</v>
      </c>
      <c r="T534" s="7">
        <f t="shared" si="40"/>
        <v>0.27419623655913977</v>
      </c>
      <c r="U534" s="6">
        <f t="shared" si="41"/>
        <v>4</v>
      </c>
      <c r="V534" s="5" t="str">
        <f t="shared" si="42"/>
        <v>GOOD</v>
      </c>
      <c r="W534" s="6" t="str">
        <f t="shared" si="43"/>
        <v>45-54</v>
      </c>
      <c r="X534" s="6" t="str">
        <f t="shared" si="44"/>
        <v>Lower-Middle</v>
      </c>
    </row>
    <row r="535" spans="1:24">
      <c r="A535" s="6" t="s">
        <v>496</v>
      </c>
      <c r="B535" s="6" t="s">
        <v>1371</v>
      </c>
      <c r="C535" s="6" t="s">
        <v>46</v>
      </c>
      <c r="D535" s="6" t="s">
        <v>321</v>
      </c>
      <c r="E535" s="6" t="s">
        <v>498</v>
      </c>
      <c r="F535" s="6">
        <v>51</v>
      </c>
      <c r="G535" s="6" t="s">
        <v>24</v>
      </c>
      <c r="H535" s="6" t="s">
        <v>1372</v>
      </c>
      <c r="I535" s="6" t="s">
        <v>3955</v>
      </c>
      <c r="J535" s="8">
        <v>43949</v>
      </c>
      <c r="K535" s="8">
        <v>45301</v>
      </c>
      <c r="L535" s="6">
        <v>97700.75</v>
      </c>
      <c r="M535" s="6">
        <v>46600.800000000003</v>
      </c>
      <c r="N535" s="6">
        <v>730</v>
      </c>
      <c r="O535" s="6">
        <v>159000</v>
      </c>
      <c r="P535" s="6" t="s">
        <v>26</v>
      </c>
      <c r="Q535" s="6" t="s">
        <v>27</v>
      </c>
      <c r="R535" s="6">
        <v>0</v>
      </c>
      <c r="S535" s="6" t="s">
        <v>28</v>
      </c>
      <c r="T535" s="7">
        <f t="shared" si="40"/>
        <v>0.2930867924528302</v>
      </c>
      <c r="U535" s="6">
        <f t="shared" si="41"/>
        <v>5</v>
      </c>
      <c r="V535" s="5" t="str">
        <f t="shared" si="42"/>
        <v>GOOD</v>
      </c>
      <c r="W535" s="6" t="str">
        <f t="shared" si="43"/>
        <v>45-54</v>
      </c>
      <c r="X535" s="6" t="str">
        <f t="shared" si="44"/>
        <v>Upper-Middle</v>
      </c>
    </row>
    <row r="536" spans="1:24">
      <c r="A536" s="6" t="s">
        <v>324</v>
      </c>
      <c r="B536" s="6" t="s">
        <v>1373</v>
      </c>
      <c r="C536" s="6" t="s">
        <v>31</v>
      </c>
      <c r="D536" s="6" t="s">
        <v>313</v>
      </c>
      <c r="E536" s="6" t="s">
        <v>314</v>
      </c>
      <c r="F536" s="6">
        <v>36</v>
      </c>
      <c r="G536" s="6" t="s">
        <v>34</v>
      </c>
      <c r="H536" s="6" t="s">
        <v>1374</v>
      </c>
      <c r="I536" s="6" t="s">
        <v>3956</v>
      </c>
      <c r="J536" s="8">
        <v>45319</v>
      </c>
      <c r="K536" s="8">
        <v>45306</v>
      </c>
      <c r="L536" s="6">
        <v>11800.9</v>
      </c>
      <c r="M536" s="6">
        <v>7300.75</v>
      </c>
      <c r="N536" s="6">
        <v>685</v>
      </c>
      <c r="O536" s="6">
        <v>46000</v>
      </c>
      <c r="P536" s="6" t="s">
        <v>26</v>
      </c>
      <c r="Q536" s="6" t="s">
        <v>43</v>
      </c>
      <c r="R536" s="6">
        <v>0</v>
      </c>
      <c r="S536" s="6" t="s">
        <v>28</v>
      </c>
      <c r="T536" s="7">
        <f t="shared" si="40"/>
        <v>0.15871195652173914</v>
      </c>
      <c r="U536" s="6">
        <f t="shared" si="41"/>
        <v>0</v>
      </c>
      <c r="V536" s="5" t="str">
        <f t="shared" si="42"/>
        <v>GOOD</v>
      </c>
      <c r="W536" s="6" t="str">
        <f t="shared" si="43"/>
        <v>35-44</v>
      </c>
      <c r="X536" s="6" t="str">
        <f t="shared" si="44"/>
        <v>Low</v>
      </c>
    </row>
    <row r="537" spans="1:24">
      <c r="A537" s="6" t="s">
        <v>503</v>
      </c>
      <c r="B537" s="6" t="s">
        <v>1375</v>
      </c>
      <c r="C537" s="6" t="s">
        <v>21</v>
      </c>
      <c r="D537" s="6" t="s">
        <v>32</v>
      </c>
      <c r="E537" s="6" t="s">
        <v>33</v>
      </c>
      <c r="F537" s="6">
        <v>68</v>
      </c>
      <c r="G537" s="6" t="s">
        <v>24</v>
      </c>
      <c r="H537" s="6" t="s">
        <v>1376</v>
      </c>
      <c r="I537" s="6" t="s">
        <v>3555</v>
      </c>
      <c r="J537" s="8">
        <v>42944</v>
      </c>
      <c r="K537" s="8">
        <v>45299</v>
      </c>
      <c r="L537" s="6">
        <v>299500.25</v>
      </c>
      <c r="M537" s="6">
        <v>92000.4</v>
      </c>
      <c r="N537" s="6">
        <v>840</v>
      </c>
      <c r="O537" s="6">
        <v>300000</v>
      </c>
      <c r="P537" s="6" t="s">
        <v>36</v>
      </c>
      <c r="Q537" s="6" t="s">
        <v>27</v>
      </c>
      <c r="R537" s="6">
        <v>0</v>
      </c>
      <c r="S537" s="6" t="s">
        <v>28</v>
      </c>
      <c r="T537" s="7">
        <f t="shared" si="40"/>
        <v>0.306668</v>
      </c>
      <c r="U537" s="6">
        <f t="shared" si="41"/>
        <v>7</v>
      </c>
      <c r="V537" s="5" t="str">
        <f t="shared" si="42"/>
        <v>EXCEPTIONAL</v>
      </c>
      <c r="W537" s="6" t="str">
        <f t="shared" si="43"/>
        <v>55+</v>
      </c>
      <c r="X537" s="6" t="str">
        <f t="shared" si="44"/>
        <v>High</v>
      </c>
    </row>
    <row r="538" spans="1:24">
      <c r="A538" s="6" t="s">
        <v>506</v>
      </c>
      <c r="B538" s="6" t="s">
        <v>1377</v>
      </c>
      <c r="C538" s="6" t="s">
        <v>39</v>
      </c>
      <c r="D538" s="6" t="s">
        <v>68</v>
      </c>
      <c r="E538" s="6" t="s">
        <v>69</v>
      </c>
      <c r="F538" s="6">
        <v>60</v>
      </c>
      <c r="G538" s="6" t="s">
        <v>34</v>
      </c>
      <c r="H538" s="6" t="s">
        <v>1378</v>
      </c>
      <c r="I538" s="6" t="s">
        <v>3924</v>
      </c>
      <c r="J538" s="8">
        <v>43456</v>
      </c>
      <c r="K538" s="8">
        <v>45300</v>
      </c>
      <c r="L538" s="6">
        <v>179900.4</v>
      </c>
      <c r="M538" s="6">
        <v>92000.75</v>
      </c>
      <c r="N538" s="6">
        <v>650</v>
      </c>
      <c r="O538" s="6">
        <v>195000</v>
      </c>
      <c r="P538" s="6" t="s">
        <v>76</v>
      </c>
      <c r="Q538" s="6" t="s">
        <v>27</v>
      </c>
      <c r="R538" s="6">
        <v>0</v>
      </c>
      <c r="S538" s="6" t="s">
        <v>28</v>
      </c>
      <c r="T538" s="7">
        <f t="shared" si="40"/>
        <v>0.47179871794871797</v>
      </c>
      <c r="U538" s="6">
        <f t="shared" si="41"/>
        <v>6</v>
      </c>
      <c r="V538" s="5" t="str">
        <f t="shared" si="42"/>
        <v>FAIR</v>
      </c>
      <c r="W538" s="6" t="str">
        <f t="shared" si="43"/>
        <v>55+</v>
      </c>
      <c r="X538" s="6" t="str">
        <f t="shared" si="44"/>
        <v>High</v>
      </c>
    </row>
    <row r="539" spans="1:24">
      <c r="A539" s="6" t="s">
        <v>509</v>
      </c>
      <c r="B539" s="6" t="s">
        <v>1379</v>
      </c>
      <c r="C539" s="6" t="s">
        <v>46</v>
      </c>
      <c r="D539" s="6" t="s">
        <v>73</v>
      </c>
      <c r="E539" s="6" t="s">
        <v>126</v>
      </c>
      <c r="F539" s="6">
        <v>47</v>
      </c>
      <c r="G539" s="6" t="s">
        <v>24</v>
      </c>
      <c r="H539" s="6" t="s">
        <v>1380</v>
      </c>
      <c r="I539" s="6" t="s">
        <v>3957</v>
      </c>
      <c r="J539" s="8">
        <v>44679</v>
      </c>
      <c r="K539" s="8">
        <v>45303</v>
      </c>
      <c r="L539" s="6">
        <v>85500.4</v>
      </c>
      <c r="M539" s="6">
        <v>40800.25</v>
      </c>
      <c r="N539" s="6">
        <v>745</v>
      </c>
      <c r="O539" s="6">
        <v>139000</v>
      </c>
      <c r="P539" s="6" t="s">
        <v>26</v>
      </c>
      <c r="Q539" s="6" t="s">
        <v>27</v>
      </c>
      <c r="R539" s="6">
        <v>0</v>
      </c>
      <c r="S539" s="6" t="s">
        <v>28</v>
      </c>
      <c r="T539" s="7">
        <f t="shared" si="40"/>
        <v>0.29352697841726616</v>
      </c>
      <c r="U539" s="6">
        <f t="shared" si="41"/>
        <v>3</v>
      </c>
      <c r="V539" s="5" t="str">
        <f t="shared" si="42"/>
        <v>GOOD</v>
      </c>
      <c r="W539" s="6" t="str">
        <f t="shared" si="43"/>
        <v>45-54</v>
      </c>
      <c r="X539" s="6" t="str">
        <f t="shared" si="44"/>
        <v>Upper-Middle</v>
      </c>
    </row>
    <row r="540" spans="1:24">
      <c r="A540" s="6" t="s">
        <v>513</v>
      </c>
      <c r="B540" s="6" t="s">
        <v>1381</v>
      </c>
      <c r="C540" s="6" t="s">
        <v>57</v>
      </c>
      <c r="D540" s="6" t="s">
        <v>58</v>
      </c>
      <c r="E540" s="6" t="s">
        <v>59</v>
      </c>
      <c r="F540" s="6">
        <v>42</v>
      </c>
      <c r="G540" s="6" t="s">
        <v>34</v>
      </c>
      <c r="H540" s="6" t="s">
        <v>1382</v>
      </c>
      <c r="I540" s="6" t="s">
        <v>3663</v>
      </c>
      <c r="J540" s="8">
        <v>44856</v>
      </c>
      <c r="K540" s="8">
        <v>45302</v>
      </c>
      <c r="L540" s="6">
        <v>25500.799999999999</v>
      </c>
      <c r="M540" s="6">
        <v>10400.9</v>
      </c>
      <c r="N540" s="6">
        <v>765</v>
      </c>
      <c r="O540" s="6">
        <v>71000</v>
      </c>
      <c r="P540" s="6" t="s">
        <v>36</v>
      </c>
      <c r="Q540" s="6" t="s">
        <v>27</v>
      </c>
      <c r="R540" s="6">
        <v>0</v>
      </c>
      <c r="S540" s="6" t="s">
        <v>28</v>
      </c>
      <c r="T540" s="7">
        <f t="shared" si="40"/>
        <v>0.14649154929577465</v>
      </c>
      <c r="U540" s="6">
        <f t="shared" si="41"/>
        <v>4</v>
      </c>
      <c r="V540" s="5" t="str">
        <f t="shared" si="42"/>
        <v>VERY GOOD</v>
      </c>
      <c r="W540" s="6" t="str">
        <f t="shared" si="43"/>
        <v>35-44</v>
      </c>
      <c r="X540" s="6" t="str">
        <f t="shared" si="44"/>
        <v>Low</v>
      </c>
    </row>
    <row r="541" spans="1:24">
      <c r="A541" s="6" t="s">
        <v>516</v>
      </c>
      <c r="B541" s="6" t="s">
        <v>1383</v>
      </c>
      <c r="C541" s="6" t="s">
        <v>52</v>
      </c>
      <c r="D541" s="6" t="s">
        <v>277</v>
      </c>
      <c r="E541" s="6" t="s">
        <v>278</v>
      </c>
      <c r="F541" s="6">
        <v>55</v>
      </c>
      <c r="G541" s="6" t="s">
        <v>24</v>
      </c>
      <c r="H541" s="6" t="s">
        <v>1384</v>
      </c>
      <c r="I541" s="6" t="s">
        <v>3958</v>
      </c>
      <c r="J541" s="8">
        <v>44126</v>
      </c>
      <c r="K541" s="8">
        <v>45301</v>
      </c>
      <c r="L541" s="6">
        <v>58800.75</v>
      </c>
      <c r="M541" s="6">
        <v>31900.400000000001</v>
      </c>
      <c r="N541" s="6">
        <v>675</v>
      </c>
      <c r="O541" s="6">
        <v>111000</v>
      </c>
      <c r="P541" s="6" t="s">
        <v>26</v>
      </c>
      <c r="Q541" s="6" t="s">
        <v>27</v>
      </c>
      <c r="R541" s="6">
        <v>0</v>
      </c>
      <c r="S541" s="6" t="s">
        <v>28</v>
      </c>
      <c r="T541" s="7">
        <f t="shared" si="40"/>
        <v>0.28739099099099102</v>
      </c>
      <c r="U541" s="6">
        <f t="shared" si="41"/>
        <v>5</v>
      </c>
      <c r="V541" s="5" t="str">
        <f t="shared" si="42"/>
        <v>GOOD</v>
      </c>
      <c r="W541" s="6" t="str">
        <f t="shared" si="43"/>
        <v>55+</v>
      </c>
      <c r="X541" s="6" t="str">
        <f t="shared" si="44"/>
        <v>Lower-Middle</v>
      </c>
    </row>
    <row r="542" spans="1:24">
      <c r="A542" s="6" t="s">
        <v>519</v>
      </c>
      <c r="B542" s="6" t="s">
        <v>1385</v>
      </c>
      <c r="C542" s="6" t="s">
        <v>84</v>
      </c>
      <c r="D542" s="6" t="s">
        <v>183</v>
      </c>
      <c r="E542" s="6" t="s">
        <v>273</v>
      </c>
      <c r="F542" s="6">
        <v>34</v>
      </c>
      <c r="G542" s="6" t="s">
        <v>34</v>
      </c>
      <c r="H542" s="6" t="s">
        <v>1386</v>
      </c>
      <c r="I542" s="6" t="s">
        <v>3665</v>
      </c>
      <c r="J542" s="8">
        <v>45344</v>
      </c>
      <c r="K542" s="8">
        <v>45304</v>
      </c>
      <c r="L542" s="6">
        <v>3200.25</v>
      </c>
      <c r="M542" s="6">
        <v>12400.6</v>
      </c>
      <c r="N542" s="6">
        <v>615</v>
      </c>
      <c r="O542" s="6">
        <v>31000</v>
      </c>
      <c r="P542" s="6" t="s">
        <v>76</v>
      </c>
      <c r="Q542" s="6" t="s">
        <v>43</v>
      </c>
      <c r="R542" s="6">
        <v>0</v>
      </c>
      <c r="S542" s="6" t="s">
        <v>28</v>
      </c>
      <c r="T542" s="7">
        <f t="shared" si="40"/>
        <v>0.40001935483870971</v>
      </c>
      <c r="U542" s="6">
        <f t="shared" si="41"/>
        <v>2</v>
      </c>
      <c r="V542" s="5" t="str">
        <f t="shared" si="42"/>
        <v>FAIR</v>
      </c>
      <c r="W542" s="6" t="str">
        <f t="shared" si="43"/>
        <v>25-34</v>
      </c>
      <c r="X542" s="6" t="str">
        <f t="shared" si="44"/>
        <v>Low</v>
      </c>
    </row>
    <row r="543" spans="1:24">
      <c r="A543" s="6" t="s">
        <v>522</v>
      </c>
      <c r="B543" s="6" t="s">
        <v>1387</v>
      </c>
      <c r="C543" s="6" t="s">
        <v>39</v>
      </c>
      <c r="D543" s="6" t="s">
        <v>40</v>
      </c>
      <c r="E543" s="6" t="s">
        <v>94</v>
      </c>
      <c r="F543" s="6">
        <v>62</v>
      </c>
      <c r="G543" s="6" t="s">
        <v>24</v>
      </c>
      <c r="H543" s="6" t="s">
        <v>1388</v>
      </c>
      <c r="I543" s="6" t="s">
        <v>3510</v>
      </c>
      <c r="J543" s="8">
        <v>43426</v>
      </c>
      <c r="K543" s="8">
        <v>45299</v>
      </c>
      <c r="L543" s="6">
        <v>214500.8</v>
      </c>
      <c r="M543" s="6">
        <v>105000.25</v>
      </c>
      <c r="N543" s="6">
        <v>660</v>
      </c>
      <c r="O543" s="6">
        <v>230000</v>
      </c>
      <c r="P543" s="6" t="s">
        <v>76</v>
      </c>
      <c r="Q543" s="6" t="s">
        <v>27</v>
      </c>
      <c r="R543" s="6">
        <v>0</v>
      </c>
      <c r="S543" s="6" t="s">
        <v>28</v>
      </c>
      <c r="T543" s="7">
        <f t="shared" si="40"/>
        <v>0.45652282608695655</v>
      </c>
      <c r="U543" s="6">
        <f t="shared" si="41"/>
        <v>7</v>
      </c>
      <c r="V543" s="5" t="str">
        <f t="shared" si="42"/>
        <v>FAIR</v>
      </c>
      <c r="W543" s="6" t="str">
        <f t="shared" si="43"/>
        <v>55+</v>
      </c>
      <c r="X543" s="6" t="str">
        <f t="shared" si="44"/>
        <v>High</v>
      </c>
    </row>
    <row r="544" spans="1:24">
      <c r="A544" s="6" t="s">
        <v>306</v>
      </c>
      <c r="B544" s="6" t="s">
        <v>1389</v>
      </c>
      <c r="C544" s="6" t="s">
        <v>46</v>
      </c>
      <c r="D544" s="6" t="s">
        <v>209</v>
      </c>
      <c r="E544" s="6" t="s">
        <v>210</v>
      </c>
      <c r="F544" s="6">
        <v>49</v>
      </c>
      <c r="G544" s="6" t="s">
        <v>34</v>
      </c>
      <c r="H544" s="6" t="s">
        <v>1390</v>
      </c>
      <c r="I544" s="6" t="s">
        <v>3722</v>
      </c>
      <c r="J544" s="8">
        <v>44277</v>
      </c>
      <c r="K544" s="8">
        <v>45302</v>
      </c>
      <c r="L544" s="6">
        <v>79900.899999999994</v>
      </c>
      <c r="M544" s="6">
        <v>37700.75</v>
      </c>
      <c r="N544" s="6">
        <v>730</v>
      </c>
      <c r="O544" s="6">
        <v>134000</v>
      </c>
      <c r="P544" s="6" t="s">
        <v>26</v>
      </c>
      <c r="Q544" s="6" t="s">
        <v>27</v>
      </c>
      <c r="R544" s="6">
        <v>0</v>
      </c>
      <c r="S544" s="6" t="s">
        <v>28</v>
      </c>
      <c r="T544" s="7">
        <f t="shared" si="40"/>
        <v>0.28134888059701491</v>
      </c>
      <c r="U544" s="6">
        <f t="shared" si="41"/>
        <v>4</v>
      </c>
      <c r="V544" s="5" t="str">
        <f t="shared" si="42"/>
        <v>GOOD</v>
      </c>
      <c r="W544" s="6" t="str">
        <f t="shared" si="43"/>
        <v>45-54</v>
      </c>
      <c r="X544" s="6" t="str">
        <f t="shared" si="44"/>
        <v>Upper-Middle</v>
      </c>
    </row>
    <row r="545" spans="1:24">
      <c r="A545" s="6" t="s">
        <v>527</v>
      </c>
      <c r="B545" s="6" t="s">
        <v>1391</v>
      </c>
      <c r="C545" s="6" t="s">
        <v>31</v>
      </c>
      <c r="D545" s="6" t="s">
        <v>32</v>
      </c>
      <c r="E545" s="6" t="s">
        <v>90</v>
      </c>
      <c r="F545" s="6">
        <v>38</v>
      </c>
      <c r="G545" s="6" t="s">
        <v>34</v>
      </c>
      <c r="H545" s="6" t="s">
        <v>1392</v>
      </c>
      <c r="I545" s="6" t="s">
        <v>3667</v>
      </c>
      <c r="J545" s="8">
        <v>45319</v>
      </c>
      <c r="K545" s="8">
        <v>45305</v>
      </c>
      <c r="L545" s="6">
        <v>12900.4</v>
      </c>
      <c r="M545" s="6">
        <v>7400.25</v>
      </c>
      <c r="N545" s="6">
        <v>705</v>
      </c>
      <c r="O545" s="6">
        <v>48000</v>
      </c>
      <c r="P545" s="6" t="s">
        <v>26</v>
      </c>
      <c r="Q545" s="6" t="s">
        <v>43</v>
      </c>
      <c r="R545" s="6">
        <v>0</v>
      </c>
      <c r="S545" s="6" t="s">
        <v>28</v>
      </c>
      <c r="T545" s="7">
        <f t="shared" si="40"/>
        <v>0.15417187500000001</v>
      </c>
      <c r="U545" s="6">
        <f t="shared" si="41"/>
        <v>1</v>
      </c>
      <c r="V545" s="5" t="str">
        <f t="shared" si="42"/>
        <v>GOOD</v>
      </c>
      <c r="W545" s="6" t="str">
        <f t="shared" si="43"/>
        <v>35-44</v>
      </c>
      <c r="X545" s="6" t="str">
        <f t="shared" si="44"/>
        <v>Low</v>
      </c>
    </row>
    <row r="546" spans="1:24">
      <c r="A546" s="6" t="s">
        <v>530</v>
      </c>
      <c r="B546" s="6" t="s">
        <v>1393</v>
      </c>
      <c r="C546" s="6" t="s">
        <v>57</v>
      </c>
      <c r="D546" s="6" t="s">
        <v>219</v>
      </c>
      <c r="E546" s="6" t="s">
        <v>220</v>
      </c>
      <c r="F546" s="6">
        <v>43</v>
      </c>
      <c r="G546" s="6" t="s">
        <v>24</v>
      </c>
      <c r="H546" s="6" t="s">
        <v>1394</v>
      </c>
      <c r="I546" s="6" t="s">
        <v>3959</v>
      </c>
      <c r="J546" s="8">
        <v>44826</v>
      </c>
      <c r="K546" s="8">
        <v>45303</v>
      </c>
      <c r="L546" s="6">
        <v>24400.6</v>
      </c>
      <c r="M546" s="6">
        <v>9800.7999999999993</v>
      </c>
      <c r="N546" s="6">
        <v>710</v>
      </c>
      <c r="O546" s="6">
        <v>64000</v>
      </c>
      <c r="P546" s="6" t="s">
        <v>36</v>
      </c>
      <c r="Q546" s="6" t="s">
        <v>27</v>
      </c>
      <c r="R546" s="6">
        <v>0</v>
      </c>
      <c r="S546" s="6" t="s">
        <v>28</v>
      </c>
      <c r="T546" s="7">
        <f t="shared" si="40"/>
        <v>0.15313749999999998</v>
      </c>
      <c r="U546" s="6">
        <f t="shared" si="41"/>
        <v>3</v>
      </c>
      <c r="V546" s="5" t="str">
        <f t="shared" si="42"/>
        <v>GOOD</v>
      </c>
      <c r="W546" s="6" t="str">
        <f t="shared" si="43"/>
        <v>35-44</v>
      </c>
      <c r="X546" s="6" t="str">
        <f t="shared" si="44"/>
        <v>Low</v>
      </c>
    </row>
    <row r="547" spans="1:24">
      <c r="A547" s="6" t="s">
        <v>533</v>
      </c>
      <c r="B547" s="6" t="s">
        <v>1395</v>
      </c>
      <c r="C547" s="6" t="s">
        <v>52</v>
      </c>
      <c r="D547" s="6" t="s">
        <v>204</v>
      </c>
      <c r="E547" s="6" t="s">
        <v>259</v>
      </c>
      <c r="F547" s="6">
        <v>50</v>
      </c>
      <c r="G547" s="6" t="s">
        <v>34</v>
      </c>
      <c r="H547" s="6" t="s">
        <v>1396</v>
      </c>
      <c r="I547" s="6" t="s">
        <v>3669</v>
      </c>
      <c r="J547" s="8">
        <v>44132</v>
      </c>
      <c r="K547" s="8">
        <v>45301</v>
      </c>
      <c r="L547" s="6">
        <v>55700.25</v>
      </c>
      <c r="M547" s="6">
        <v>28800.9</v>
      </c>
      <c r="N547" s="6">
        <v>695</v>
      </c>
      <c r="O547" s="6">
        <v>99000</v>
      </c>
      <c r="P547" s="6" t="s">
        <v>26</v>
      </c>
      <c r="Q547" s="6" t="s">
        <v>27</v>
      </c>
      <c r="R547" s="6">
        <v>0</v>
      </c>
      <c r="S547" s="6" t="s">
        <v>28</v>
      </c>
      <c r="T547" s="7">
        <f t="shared" si="40"/>
        <v>0.29091818181818185</v>
      </c>
      <c r="U547" s="6">
        <f t="shared" si="41"/>
        <v>5</v>
      </c>
      <c r="V547" s="5" t="str">
        <f t="shared" si="42"/>
        <v>GOOD</v>
      </c>
      <c r="W547" s="6" t="str">
        <f t="shared" si="43"/>
        <v>45-54</v>
      </c>
      <c r="X547" s="6" t="str">
        <f t="shared" si="44"/>
        <v>Lower-Middle</v>
      </c>
    </row>
    <row r="548" spans="1:24">
      <c r="A548" s="6" t="s">
        <v>536</v>
      </c>
      <c r="B548" s="6" t="s">
        <v>1397</v>
      </c>
      <c r="C548" s="6" t="s">
        <v>39</v>
      </c>
      <c r="D548" s="6" t="s">
        <v>195</v>
      </c>
      <c r="E548" s="6" t="s">
        <v>196</v>
      </c>
      <c r="F548" s="6">
        <v>58</v>
      </c>
      <c r="G548" s="6" t="s">
        <v>24</v>
      </c>
      <c r="H548" s="6" t="s">
        <v>1398</v>
      </c>
      <c r="I548" s="6" t="s">
        <v>3960</v>
      </c>
      <c r="J548" s="8">
        <v>43577</v>
      </c>
      <c r="K548" s="8">
        <v>45300</v>
      </c>
      <c r="L548" s="6">
        <v>146700.4</v>
      </c>
      <c r="M548" s="6">
        <v>79000.600000000006</v>
      </c>
      <c r="N548" s="6">
        <v>670</v>
      </c>
      <c r="O548" s="6">
        <v>166000</v>
      </c>
      <c r="P548" s="6" t="s">
        <v>76</v>
      </c>
      <c r="Q548" s="6" t="s">
        <v>27</v>
      </c>
      <c r="R548" s="6">
        <v>0</v>
      </c>
      <c r="S548" s="6" t="s">
        <v>28</v>
      </c>
      <c r="T548" s="7">
        <f t="shared" si="40"/>
        <v>0.47590722891566267</v>
      </c>
      <c r="U548" s="6">
        <f t="shared" si="41"/>
        <v>6</v>
      </c>
      <c r="V548" s="5" t="str">
        <f t="shared" si="42"/>
        <v>GOOD</v>
      </c>
      <c r="W548" s="6" t="str">
        <f t="shared" si="43"/>
        <v>55+</v>
      </c>
      <c r="X548" s="6" t="str">
        <f t="shared" si="44"/>
        <v>Upper-Middle</v>
      </c>
    </row>
    <row r="549" spans="1:24">
      <c r="A549" s="6" t="s">
        <v>539</v>
      </c>
      <c r="B549" s="6" t="s">
        <v>1399</v>
      </c>
      <c r="C549" s="6" t="s">
        <v>21</v>
      </c>
      <c r="D549" s="6" t="s">
        <v>58</v>
      </c>
      <c r="E549" s="6" t="s">
        <v>122</v>
      </c>
      <c r="F549" s="6">
        <v>66</v>
      </c>
      <c r="G549" s="6" t="s">
        <v>34</v>
      </c>
      <c r="H549" s="6" t="s">
        <v>1400</v>
      </c>
      <c r="I549" s="6" t="s">
        <v>3671</v>
      </c>
      <c r="J549" s="8">
        <v>43143</v>
      </c>
      <c r="K549" s="8">
        <v>45299</v>
      </c>
      <c r="L549" s="6">
        <v>313600.75</v>
      </c>
      <c r="M549" s="6">
        <v>96000.8</v>
      </c>
      <c r="N549" s="6">
        <v>835</v>
      </c>
      <c r="O549" s="6">
        <v>311000</v>
      </c>
      <c r="P549" s="6" t="s">
        <v>36</v>
      </c>
      <c r="Q549" s="6" t="s">
        <v>27</v>
      </c>
      <c r="R549" s="6">
        <v>0</v>
      </c>
      <c r="S549" s="6" t="s">
        <v>28</v>
      </c>
      <c r="T549" s="7">
        <f t="shared" si="40"/>
        <v>0.30868424437299036</v>
      </c>
      <c r="U549" s="6">
        <f t="shared" si="41"/>
        <v>7</v>
      </c>
      <c r="V549" s="5" t="str">
        <f t="shared" si="42"/>
        <v>EXCEPTIONAL</v>
      </c>
      <c r="W549" s="6" t="str">
        <f t="shared" si="43"/>
        <v>55+</v>
      </c>
      <c r="X549" s="6" t="str">
        <f t="shared" si="44"/>
        <v>High</v>
      </c>
    </row>
    <row r="550" spans="1:24">
      <c r="A550" s="6" t="s">
        <v>542</v>
      </c>
      <c r="B550" s="6" t="s">
        <v>1401</v>
      </c>
      <c r="C550" s="6" t="s">
        <v>52</v>
      </c>
      <c r="D550" s="6" t="s">
        <v>68</v>
      </c>
      <c r="E550" s="6" t="s">
        <v>114</v>
      </c>
      <c r="F550" s="6">
        <v>53</v>
      </c>
      <c r="G550" s="6" t="s">
        <v>34</v>
      </c>
      <c r="H550" s="6" t="s">
        <v>1402</v>
      </c>
      <c r="I550" s="6" t="s">
        <v>3946</v>
      </c>
      <c r="J550" s="8">
        <v>44096</v>
      </c>
      <c r="K550" s="8">
        <v>45302</v>
      </c>
      <c r="L550" s="6">
        <v>64400.6</v>
      </c>
      <c r="M550" s="6">
        <v>34400.25</v>
      </c>
      <c r="N550" s="6">
        <v>665</v>
      </c>
      <c r="O550" s="6">
        <v>119000</v>
      </c>
      <c r="P550" s="6" t="s">
        <v>26</v>
      </c>
      <c r="Q550" s="6" t="s">
        <v>27</v>
      </c>
      <c r="R550" s="6">
        <v>0</v>
      </c>
      <c r="S550" s="6" t="s">
        <v>28</v>
      </c>
      <c r="T550" s="7">
        <f t="shared" si="40"/>
        <v>0.28907773109243695</v>
      </c>
      <c r="U550" s="6">
        <f t="shared" si="41"/>
        <v>4</v>
      </c>
      <c r="V550" s="5" t="str">
        <f t="shared" si="42"/>
        <v>FAIR</v>
      </c>
      <c r="W550" s="6" t="str">
        <f t="shared" si="43"/>
        <v>45-54</v>
      </c>
      <c r="X550" s="6" t="str">
        <f t="shared" si="44"/>
        <v>Lower-Middle</v>
      </c>
    </row>
    <row r="551" spans="1:24">
      <c r="A551" s="6" t="s">
        <v>545</v>
      </c>
      <c r="B551" s="6" t="s">
        <v>1403</v>
      </c>
      <c r="C551" s="6" t="s">
        <v>46</v>
      </c>
      <c r="D551" s="6" t="s">
        <v>241</v>
      </c>
      <c r="E551" s="6" t="s">
        <v>389</v>
      </c>
      <c r="F551" s="6">
        <v>45</v>
      </c>
      <c r="G551" s="6" t="s">
        <v>24</v>
      </c>
      <c r="H551" s="6" t="s">
        <v>1404</v>
      </c>
      <c r="I551" s="6" t="s">
        <v>3961</v>
      </c>
      <c r="J551" s="8">
        <v>44740</v>
      </c>
      <c r="K551" s="8">
        <v>45303</v>
      </c>
      <c r="L551" s="6">
        <v>87700.800000000003</v>
      </c>
      <c r="M551" s="6">
        <v>41900.400000000001</v>
      </c>
      <c r="N551" s="6">
        <v>750</v>
      </c>
      <c r="O551" s="6">
        <v>145000</v>
      </c>
      <c r="P551" s="6" t="s">
        <v>26</v>
      </c>
      <c r="Q551" s="6" t="s">
        <v>27</v>
      </c>
      <c r="R551" s="6">
        <v>0</v>
      </c>
      <c r="S551" s="6" t="s">
        <v>28</v>
      </c>
      <c r="T551" s="7">
        <f t="shared" si="40"/>
        <v>0.28896827586206897</v>
      </c>
      <c r="U551" s="6">
        <f t="shared" si="41"/>
        <v>3</v>
      </c>
      <c r="V551" s="5" t="str">
        <f t="shared" si="42"/>
        <v>VERY GOOD</v>
      </c>
      <c r="W551" s="6" t="str">
        <f t="shared" si="43"/>
        <v>45-54</v>
      </c>
      <c r="X551" s="6" t="str">
        <f t="shared" si="44"/>
        <v>Upper-Middle</v>
      </c>
    </row>
    <row r="552" spans="1:24">
      <c r="A552" s="6" t="s">
        <v>548</v>
      </c>
      <c r="B552" s="6" t="s">
        <v>1405</v>
      </c>
      <c r="C552" s="6" t="s">
        <v>57</v>
      </c>
      <c r="D552" s="6" t="s">
        <v>22</v>
      </c>
      <c r="E552" s="6" t="s">
        <v>282</v>
      </c>
      <c r="F552" s="6">
        <v>41</v>
      </c>
      <c r="G552" s="6" t="s">
        <v>34</v>
      </c>
      <c r="H552" s="6" t="s">
        <v>1406</v>
      </c>
      <c r="I552" s="6" t="s">
        <v>3706</v>
      </c>
      <c r="J552" s="8">
        <v>44917</v>
      </c>
      <c r="K552" s="8">
        <v>45305</v>
      </c>
      <c r="L552" s="6">
        <v>26600.9</v>
      </c>
      <c r="M552" s="6">
        <v>10800.75</v>
      </c>
      <c r="N552" s="6">
        <v>770</v>
      </c>
      <c r="O552" s="6">
        <v>76000</v>
      </c>
      <c r="P552" s="6" t="s">
        <v>36</v>
      </c>
      <c r="Q552" s="6" t="s">
        <v>27</v>
      </c>
      <c r="R552" s="6">
        <v>0</v>
      </c>
      <c r="S552" s="6" t="s">
        <v>28</v>
      </c>
      <c r="T552" s="7">
        <f t="shared" si="40"/>
        <v>0.14211513157894737</v>
      </c>
      <c r="U552" s="6">
        <f t="shared" si="41"/>
        <v>1</v>
      </c>
      <c r="V552" s="5" t="str">
        <f t="shared" si="42"/>
        <v>VERY GOOD</v>
      </c>
      <c r="W552" s="6" t="str">
        <f t="shared" si="43"/>
        <v>35-44</v>
      </c>
      <c r="X552" s="6" t="str">
        <f t="shared" si="44"/>
        <v>Lower-Middle</v>
      </c>
    </row>
    <row r="553" spans="1:24">
      <c r="A553" s="6" t="s">
        <v>551</v>
      </c>
      <c r="B553" s="6" t="s">
        <v>1407</v>
      </c>
      <c r="C553" s="6" t="s">
        <v>39</v>
      </c>
      <c r="D553" s="6" t="s">
        <v>313</v>
      </c>
      <c r="E553" s="6" t="s">
        <v>385</v>
      </c>
      <c r="F553" s="6">
        <v>64</v>
      </c>
      <c r="G553" s="6" t="s">
        <v>24</v>
      </c>
      <c r="H553" s="6" t="s">
        <v>1408</v>
      </c>
      <c r="I553" s="6" t="s">
        <v>3962</v>
      </c>
      <c r="J553" s="8">
        <v>43334</v>
      </c>
      <c r="K553" s="8">
        <v>45299</v>
      </c>
      <c r="L553" s="6">
        <v>199800.25</v>
      </c>
      <c r="M553" s="6">
        <v>100000.8</v>
      </c>
      <c r="N553" s="6">
        <v>645</v>
      </c>
      <c r="O553" s="6">
        <v>216000</v>
      </c>
      <c r="P553" s="6" t="s">
        <v>76</v>
      </c>
      <c r="Q553" s="6" t="s">
        <v>27</v>
      </c>
      <c r="R553" s="6">
        <v>0</v>
      </c>
      <c r="S553" s="6" t="s">
        <v>28</v>
      </c>
      <c r="T553" s="7">
        <f t="shared" si="40"/>
        <v>0.46296666666666669</v>
      </c>
      <c r="U553" s="6">
        <f t="shared" si="41"/>
        <v>7</v>
      </c>
      <c r="V553" s="5" t="str">
        <f t="shared" si="42"/>
        <v>FAIR</v>
      </c>
      <c r="W553" s="6" t="str">
        <f t="shared" si="43"/>
        <v>55+</v>
      </c>
      <c r="X553" s="6" t="str">
        <f t="shared" si="44"/>
        <v>High</v>
      </c>
    </row>
    <row r="554" spans="1:24">
      <c r="A554" s="6" t="s">
        <v>554</v>
      </c>
      <c r="B554" s="6" t="s">
        <v>1409</v>
      </c>
      <c r="C554" s="6" t="s">
        <v>31</v>
      </c>
      <c r="D554" s="6" t="s">
        <v>214</v>
      </c>
      <c r="E554" s="6" t="s">
        <v>215</v>
      </c>
      <c r="F554" s="6">
        <v>37</v>
      </c>
      <c r="G554" s="6" t="s">
        <v>34</v>
      </c>
      <c r="H554" s="6" t="s">
        <v>1410</v>
      </c>
      <c r="I554" s="6" t="s">
        <v>3963</v>
      </c>
      <c r="J554" s="8">
        <v>45327</v>
      </c>
      <c r="K554" s="8">
        <v>45306</v>
      </c>
      <c r="L554" s="6">
        <v>21200.5</v>
      </c>
      <c r="M554" s="6">
        <v>10400.4</v>
      </c>
      <c r="N554" s="6">
        <v>720</v>
      </c>
      <c r="O554" s="6">
        <v>53000</v>
      </c>
      <c r="P554" s="6" t="s">
        <v>36</v>
      </c>
      <c r="Q554" s="6" t="s">
        <v>27</v>
      </c>
      <c r="R554" s="6">
        <v>0</v>
      </c>
      <c r="S554" s="6" t="s">
        <v>28</v>
      </c>
      <c r="T554" s="7">
        <f t="shared" si="40"/>
        <v>0.19623396226415094</v>
      </c>
      <c r="U554" s="6">
        <f t="shared" si="41"/>
        <v>0</v>
      </c>
      <c r="V554" s="5" t="str">
        <f t="shared" si="42"/>
        <v>GOOD</v>
      </c>
      <c r="W554" s="6" t="str">
        <f t="shared" si="43"/>
        <v>35-44</v>
      </c>
      <c r="X554" s="6" t="str">
        <f t="shared" si="44"/>
        <v>Low</v>
      </c>
    </row>
    <row r="555" spans="1:24">
      <c r="A555" s="6" t="s">
        <v>108</v>
      </c>
      <c r="B555" s="6" t="s">
        <v>1411</v>
      </c>
      <c r="C555" s="6" t="s">
        <v>84</v>
      </c>
      <c r="D555" s="6" t="s">
        <v>32</v>
      </c>
      <c r="E555" s="6" t="s">
        <v>33</v>
      </c>
      <c r="F555" s="6">
        <v>33</v>
      </c>
      <c r="G555" s="6" t="s">
        <v>24</v>
      </c>
      <c r="H555" s="6" t="s">
        <v>1412</v>
      </c>
      <c r="I555" s="6" t="s">
        <v>3544</v>
      </c>
      <c r="J555" s="8">
        <v>45334</v>
      </c>
      <c r="K555" s="8">
        <v>45304</v>
      </c>
      <c r="L555" s="6">
        <v>2950.8</v>
      </c>
      <c r="M555" s="6">
        <v>10800.25</v>
      </c>
      <c r="N555" s="6">
        <v>605</v>
      </c>
      <c r="O555" s="6">
        <v>29000</v>
      </c>
      <c r="P555" s="6" t="s">
        <v>76</v>
      </c>
      <c r="Q555" s="6" t="s">
        <v>43</v>
      </c>
      <c r="R555" s="6">
        <v>0</v>
      </c>
      <c r="S555" s="6" t="s">
        <v>28</v>
      </c>
      <c r="T555" s="7">
        <f t="shared" si="40"/>
        <v>0.37242241379310342</v>
      </c>
      <c r="U555" s="6">
        <f t="shared" si="41"/>
        <v>2</v>
      </c>
      <c r="V555" s="5" t="str">
        <f t="shared" si="42"/>
        <v>FAIR</v>
      </c>
      <c r="W555" s="6" t="str">
        <f t="shared" si="43"/>
        <v>25-34</v>
      </c>
      <c r="X555" s="6" t="str">
        <f t="shared" si="44"/>
        <v>Low</v>
      </c>
    </row>
    <row r="556" spans="1:24">
      <c r="A556" s="6" t="s">
        <v>559</v>
      </c>
      <c r="B556" s="6" t="s">
        <v>1413</v>
      </c>
      <c r="C556" s="6" t="s">
        <v>46</v>
      </c>
      <c r="D556" s="6" t="s">
        <v>254</v>
      </c>
      <c r="E556" s="6" t="s">
        <v>255</v>
      </c>
      <c r="F556" s="6">
        <v>47</v>
      </c>
      <c r="G556" s="6" t="s">
        <v>34</v>
      </c>
      <c r="H556" s="6" t="s">
        <v>1414</v>
      </c>
      <c r="I556" s="6" t="s">
        <v>3964</v>
      </c>
      <c r="J556" s="8">
        <v>44614</v>
      </c>
      <c r="K556" s="8">
        <v>45302</v>
      </c>
      <c r="L556" s="6">
        <v>74400.399999999994</v>
      </c>
      <c r="M556" s="6">
        <v>36600.75</v>
      </c>
      <c r="N556" s="6">
        <v>710</v>
      </c>
      <c r="O556" s="6">
        <v>127000</v>
      </c>
      <c r="P556" s="6" t="s">
        <v>26</v>
      </c>
      <c r="Q556" s="6" t="s">
        <v>27</v>
      </c>
      <c r="R556" s="6">
        <v>0</v>
      </c>
      <c r="S556" s="6" t="s">
        <v>28</v>
      </c>
      <c r="T556" s="7">
        <f t="shared" si="40"/>
        <v>0.28819488188976378</v>
      </c>
      <c r="U556" s="6">
        <f t="shared" si="41"/>
        <v>4</v>
      </c>
      <c r="V556" s="5" t="str">
        <f t="shared" si="42"/>
        <v>GOOD</v>
      </c>
      <c r="W556" s="6" t="str">
        <f t="shared" si="43"/>
        <v>45-54</v>
      </c>
      <c r="X556" s="6" t="str">
        <f t="shared" si="44"/>
        <v>Upper-Middle</v>
      </c>
    </row>
    <row r="557" spans="1:24">
      <c r="A557" s="6" t="s">
        <v>562</v>
      </c>
      <c r="B557" s="6" t="s">
        <v>1415</v>
      </c>
      <c r="C557" s="6" t="s">
        <v>39</v>
      </c>
      <c r="D557" s="6" t="s">
        <v>47</v>
      </c>
      <c r="E557" s="6" t="s">
        <v>48</v>
      </c>
      <c r="F557" s="6">
        <v>61</v>
      </c>
      <c r="G557" s="6" t="s">
        <v>24</v>
      </c>
      <c r="H557" s="6" t="s">
        <v>1416</v>
      </c>
      <c r="I557" s="6" t="s">
        <v>3965</v>
      </c>
      <c r="J557" s="8">
        <v>43487</v>
      </c>
      <c r="K557" s="8">
        <v>45300</v>
      </c>
      <c r="L557" s="6">
        <v>180000.6</v>
      </c>
      <c r="M557" s="6">
        <v>93000.25</v>
      </c>
      <c r="N557" s="6">
        <v>675</v>
      </c>
      <c r="O557" s="6">
        <v>196000</v>
      </c>
      <c r="P557" s="6" t="s">
        <v>76</v>
      </c>
      <c r="Q557" s="6" t="s">
        <v>27</v>
      </c>
      <c r="R557" s="6">
        <v>0</v>
      </c>
      <c r="S557" s="6" t="s">
        <v>28</v>
      </c>
      <c r="T557" s="7">
        <f t="shared" si="40"/>
        <v>0.47449107142857144</v>
      </c>
      <c r="U557" s="6">
        <f t="shared" si="41"/>
        <v>6</v>
      </c>
      <c r="V557" s="5" t="str">
        <f t="shared" si="42"/>
        <v>GOOD</v>
      </c>
      <c r="W557" s="6" t="str">
        <f t="shared" si="43"/>
        <v>55+</v>
      </c>
      <c r="X557" s="6" t="str">
        <f t="shared" si="44"/>
        <v>High</v>
      </c>
    </row>
    <row r="558" spans="1:24">
      <c r="A558" s="6" t="s">
        <v>565</v>
      </c>
      <c r="B558" s="6" t="s">
        <v>1417</v>
      </c>
      <c r="C558" s="6" t="s">
        <v>52</v>
      </c>
      <c r="D558" s="6" t="s">
        <v>233</v>
      </c>
      <c r="E558" s="6" t="s">
        <v>234</v>
      </c>
      <c r="F558" s="6">
        <v>46</v>
      </c>
      <c r="G558" s="6" t="s">
        <v>34</v>
      </c>
      <c r="H558" s="6" t="s">
        <v>1418</v>
      </c>
      <c r="I558" s="6" t="s">
        <v>3678</v>
      </c>
      <c r="J558" s="8">
        <v>44399</v>
      </c>
      <c r="K558" s="8">
        <v>45301</v>
      </c>
      <c r="L558" s="6">
        <v>50800.75</v>
      </c>
      <c r="M558" s="6">
        <v>27700.799999999999</v>
      </c>
      <c r="N558" s="6">
        <v>725</v>
      </c>
      <c r="O558" s="6">
        <v>93000</v>
      </c>
      <c r="P558" s="6" t="s">
        <v>26</v>
      </c>
      <c r="Q558" s="6" t="s">
        <v>27</v>
      </c>
      <c r="R558" s="6">
        <v>0</v>
      </c>
      <c r="S558" s="6" t="s">
        <v>28</v>
      </c>
      <c r="T558" s="7">
        <f t="shared" si="40"/>
        <v>0.29785806451612901</v>
      </c>
      <c r="U558" s="6">
        <f t="shared" si="41"/>
        <v>5</v>
      </c>
      <c r="V558" s="5" t="str">
        <f t="shared" si="42"/>
        <v>GOOD</v>
      </c>
      <c r="W558" s="6" t="str">
        <f t="shared" si="43"/>
        <v>45-54</v>
      </c>
      <c r="X558" s="6" t="str">
        <f t="shared" si="44"/>
        <v>Lower-Middle</v>
      </c>
    </row>
    <row r="559" spans="1:24">
      <c r="A559" s="6" t="s">
        <v>568</v>
      </c>
      <c r="B559" s="6" t="s">
        <v>1419</v>
      </c>
      <c r="C559" s="6" t="s">
        <v>57</v>
      </c>
      <c r="D559" s="6" t="s">
        <v>79</v>
      </c>
      <c r="E559" s="6" t="s">
        <v>102</v>
      </c>
      <c r="F559" s="6">
        <v>44</v>
      </c>
      <c r="G559" s="6" t="s">
        <v>24</v>
      </c>
      <c r="H559" s="6" t="s">
        <v>1420</v>
      </c>
      <c r="I559" s="6" t="s">
        <v>3679</v>
      </c>
      <c r="J559" s="8">
        <v>44856</v>
      </c>
      <c r="K559" s="8">
        <v>45303</v>
      </c>
      <c r="L559" s="6">
        <v>28800.400000000001</v>
      </c>
      <c r="M559" s="6">
        <v>11600.9</v>
      </c>
      <c r="N559" s="6">
        <v>740</v>
      </c>
      <c r="O559" s="6">
        <v>79000</v>
      </c>
      <c r="P559" s="6" t="s">
        <v>36</v>
      </c>
      <c r="Q559" s="6" t="s">
        <v>27</v>
      </c>
      <c r="R559" s="6">
        <v>0</v>
      </c>
      <c r="S559" s="6" t="s">
        <v>28</v>
      </c>
      <c r="T559" s="7">
        <f t="shared" si="40"/>
        <v>0.14684683544303798</v>
      </c>
      <c r="U559" s="6">
        <f t="shared" si="41"/>
        <v>3</v>
      </c>
      <c r="V559" s="5" t="str">
        <f t="shared" si="42"/>
        <v>GOOD</v>
      </c>
      <c r="W559" s="6" t="str">
        <f t="shared" si="43"/>
        <v>35-44</v>
      </c>
      <c r="X559" s="6" t="str">
        <f t="shared" si="44"/>
        <v>Lower-Middle</v>
      </c>
    </row>
    <row r="560" spans="1:24">
      <c r="A560" s="6" t="s">
        <v>571</v>
      </c>
      <c r="B560" s="6" t="s">
        <v>1421</v>
      </c>
      <c r="C560" s="6" t="s">
        <v>21</v>
      </c>
      <c r="D560" s="6" t="s">
        <v>63</v>
      </c>
      <c r="E560" s="6" t="s">
        <v>3514</v>
      </c>
      <c r="F560" s="6">
        <v>67</v>
      </c>
      <c r="G560" s="6" t="s">
        <v>34</v>
      </c>
      <c r="H560" s="6" t="s">
        <v>1422</v>
      </c>
      <c r="I560" s="6" t="s">
        <v>3966</v>
      </c>
      <c r="J560" s="8">
        <v>43030</v>
      </c>
      <c r="K560" s="8">
        <v>45299</v>
      </c>
      <c r="L560" s="6">
        <v>268900.90000000002</v>
      </c>
      <c r="M560" s="6">
        <v>83000.600000000006</v>
      </c>
      <c r="N560" s="6">
        <v>830</v>
      </c>
      <c r="O560" s="6">
        <v>291000</v>
      </c>
      <c r="P560" s="6" t="s">
        <v>36</v>
      </c>
      <c r="Q560" s="6" t="s">
        <v>27</v>
      </c>
      <c r="R560" s="6">
        <v>0</v>
      </c>
      <c r="S560" s="6" t="s">
        <v>28</v>
      </c>
      <c r="T560" s="7">
        <f t="shared" si="40"/>
        <v>0.28522542955326463</v>
      </c>
      <c r="U560" s="6">
        <f t="shared" si="41"/>
        <v>7</v>
      </c>
      <c r="V560" s="5" t="str">
        <f t="shared" si="42"/>
        <v>EXCEPTIONAL</v>
      </c>
      <c r="W560" s="6" t="str">
        <f t="shared" si="43"/>
        <v>55+</v>
      </c>
      <c r="X560" s="6" t="str">
        <f t="shared" si="44"/>
        <v>High</v>
      </c>
    </row>
    <row r="561" spans="1:24">
      <c r="A561" s="6" t="s">
        <v>574</v>
      </c>
      <c r="B561" s="6" t="s">
        <v>1423</v>
      </c>
      <c r="C561" s="6" t="s">
        <v>39</v>
      </c>
      <c r="D561" s="6" t="s">
        <v>68</v>
      </c>
      <c r="E561" s="6" t="s">
        <v>179</v>
      </c>
      <c r="F561" s="6">
        <v>59</v>
      </c>
      <c r="G561" s="6" t="s">
        <v>24</v>
      </c>
      <c r="H561" s="6" t="s">
        <v>1424</v>
      </c>
      <c r="I561" s="6" t="s">
        <v>3967</v>
      </c>
      <c r="J561" s="8">
        <v>43621</v>
      </c>
      <c r="K561" s="8">
        <v>45300</v>
      </c>
      <c r="L561" s="6">
        <v>157800.25</v>
      </c>
      <c r="M561" s="6">
        <v>85000.4</v>
      </c>
      <c r="N561" s="6">
        <v>655</v>
      </c>
      <c r="O561" s="6">
        <v>181000</v>
      </c>
      <c r="P561" s="6" t="s">
        <v>76</v>
      </c>
      <c r="Q561" s="6" t="s">
        <v>27</v>
      </c>
      <c r="R561" s="6">
        <v>0</v>
      </c>
      <c r="S561" s="6" t="s">
        <v>28</v>
      </c>
      <c r="T561" s="7">
        <f t="shared" si="40"/>
        <v>0.46961546961325962</v>
      </c>
      <c r="U561" s="6">
        <f t="shared" si="41"/>
        <v>6</v>
      </c>
      <c r="V561" s="5" t="str">
        <f t="shared" si="42"/>
        <v>FAIR</v>
      </c>
      <c r="W561" s="6" t="str">
        <f t="shared" si="43"/>
        <v>55+</v>
      </c>
      <c r="X561" s="6" t="str">
        <f t="shared" si="44"/>
        <v>Upper-Middle</v>
      </c>
    </row>
    <row r="562" spans="1:24">
      <c r="A562" s="6" t="s">
        <v>577</v>
      </c>
      <c r="B562" s="6" t="s">
        <v>1425</v>
      </c>
      <c r="C562" s="6" t="s">
        <v>46</v>
      </c>
      <c r="D562" s="6" t="s">
        <v>85</v>
      </c>
      <c r="E562" s="6" t="s">
        <v>86</v>
      </c>
      <c r="F562" s="6">
        <v>48</v>
      </c>
      <c r="G562" s="6" t="s">
        <v>34</v>
      </c>
      <c r="H562" s="6" t="s">
        <v>1426</v>
      </c>
      <c r="I562" s="6" t="s">
        <v>3968</v>
      </c>
      <c r="J562" s="8">
        <v>44522</v>
      </c>
      <c r="K562" s="8">
        <v>45302</v>
      </c>
      <c r="L562" s="6">
        <v>93300.6</v>
      </c>
      <c r="M562" s="6">
        <v>44600.75</v>
      </c>
      <c r="N562" s="6">
        <v>760</v>
      </c>
      <c r="O562" s="6">
        <v>150000</v>
      </c>
      <c r="P562" s="6" t="s">
        <v>26</v>
      </c>
      <c r="Q562" s="6" t="s">
        <v>27</v>
      </c>
      <c r="R562" s="6">
        <v>0</v>
      </c>
      <c r="S562" s="6" t="s">
        <v>28</v>
      </c>
      <c r="T562" s="7">
        <f t="shared" si="40"/>
        <v>0.29733833333333332</v>
      </c>
      <c r="U562" s="6">
        <f t="shared" si="41"/>
        <v>4</v>
      </c>
      <c r="V562" s="5" t="str">
        <f t="shared" si="42"/>
        <v>VERY GOOD</v>
      </c>
      <c r="W562" s="6" t="str">
        <f t="shared" si="43"/>
        <v>45-54</v>
      </c>
      <c r="X562" s="6" t="str">
        <f t="shared" si="44"/>
        <v>Upper-Middle</v>
      </c>
    </row>
    <row r="563" spans="1:24">
      <c r="A563" s="6" t="s">
        <v>458</v>
      </c>
      <c r="B563" s="6" t="s">
        <v>1427</v>
      </c>
      <c r="C563" s="6" t="s">
        <v>31</v>
      </c>
      <c r="D563" s="6" t="s">
        <v>460</v>
      </c>
      <c r="E563" s="6" t="s">
        <v>461</v>
      </c>
      <c r="F563" s="6">
        <v>39</v>
      </c>
      <c r="G563" s="6" t="s">
        <v>24</v>
      </c>
      <c r="H563" s="6" t="s">
        <v>1428</v>
      </c>
      <c r="I563" s="6" t="s">
        <v>3969</v>
      </c>
      <c r="J563" s="8">
        <v>45313</v>
      </c>
      <c r="K563" s="8">
        <v>45306</v>
      </c>
      <c r="L563" s="6">
        <v>13900.25</v>
      </c>
      <c r="M563" s="6">
        <v>8200.7999999999993</v>
      </c>
      <c r="N563" s="6">
        <v>695</v>
      </c>
      <c r="O563" s="6">
        <v>50000</v>
      </c>
      <c r="P563" s="6" t="s">
        <v>26</v>
      </c>
      <c r="Q563" s="6" t="s">
        <v>43</v>
      </c>
      <c r="R563" s="6">
        <v>0</v>
      </c>
      <c r="S563" s="6" t="s">
        <v>28</v>
      </c>
      <c r="T563" s="7">
        <f t="shared" si="40"/>
        <v>0.164016</v>
      </c>
      <c r="U563" s="6">
        <f t="shared" si="41"/>
        <v>0</v>
      </c>
      <c r="V563" s="5" t="str">
        <f t="shared" si="42"/>
        <v>GOOD</v>
      </c>
      <c r="W563" s="6" t="str">
        <f t="shared" si="43"/>
        <v>35-44</v>
      </c>
      <c r="X563" s="6" t="str">
        <f t="shared" si="44"/>
        <v>Low</v>
      </c>
    </row>
    <row r="564" spans="1:24">
      <c r="A564" s="6" t="s">
        <v>582</v>
      </c>
      <c r="B564" s="6" t="s">
        <v>1429</v>
      </c>
      <c r="C564" s="6" t="s">
        <v>57</v>
      </c>
      <c r="D564" s="6" t="s">
        <v>22</v>
      </c>
      <c r="E564" s="6" t="s">
        <v>53</v>
      </c>
      <c r="F564" s="6">
        <v>42</v>
      </c>
      <c r="G564" s="6" t="s">
        <v>34</v>
      </c>
      <c r="H564" s="6" t="s">
        <v>1430</v>
      </c>
      <c r="I564" s="6" t="s">
        <v>3605</v>
      </c>
      <c r="J564" s="8">
        <v>44801</v>
      </c>
      <c r="K564" s="8">
        <v>45303</v>
      </c>
      <c r="L564" s="6">
        <v>27700.9</v>
      </c>
      <c r="M564" s="6">
        <v>11200.25</v>
      </c>
      <c r="N564" s="6">
        <v>755</v>
      </c>
      <c r="O564" s="6">
        <v>72000</v>
      </c>
      <c r="P564" s="6" t="s">
        <v>36</v>
      </c>
      <c r="Q564" s="6" t="s">
        <v>27</v>
      </c>
      <c r="R564" s="6">
        <v>0</v>
      </c>
      <c r="S564" s="6" t="s">
        <v>28</v>
      </c>
      <c r="T564" s="7">
        <f t="shared" si="40"/>
        <v>0.15555902777777778</v>
      </c>
      <c r="U564" s="6">
        <f t="shared" si="41"/>
        <v>3</v>
      </c>
      <c r="V564" s="5" t="str">
        <f t="shared" si="42"/>
        <v>VERY GOOD</v>
      </c>
      <c r="W564" s="6" t="str">
        <f t="shared" si="43"/>
        <v>35-44</v>
      </c>
      <c r="X564" s="6" t="str">
        <f t="shared" si="44"/>
        <v>Low</v>
      </c>
    </row>
    <row r="565" spans="1:24">
      <c r="A565" s="6" t="s">
        <v>55</v>
      </c>
      <c r="B565" s="6" t="s">
        <v>1431</v>
      </c>
      <c r="C565" s="6" t="s">
        <v>39</v>
      </c>
      <c r="D565" s="6" t="s">
        <v>58</v>
      </c>
      <c r="E565" s="6" t="s">
        <v>122</v>
      </c>
      <c r="F565" s="6">
        <v>60</v>
      </c>
      <c r="G565" s="6" t="s">
        <v>24</v>
      </c>
      <c r="H565" s="6" t="s">
        <v>1432</v>
      </c>
      <c r="I565" s="6" t="s">
        <v>3685</v>
      </c>
      <c r="J565" s="8">
        <v>43546</v>
      </c>
      <c r="K565" s="8">
        <v>45300</v>
      </c>
      <c r="L565" s="6">
        <v>190700.4</v>
      </c>
      <c r="M565" s="6">
        <v>98000.75</v>
      </c>
      <c r="N565" s="6">
        <v>685</v>
      </c>
      <c r="O565" s="6">
        <v>206000</v>
      </c>
      <c r="P565" s="6" t="s">
        <v>76</v>
      </c>
      <c r="Q565" s="6" t="s">
        <v>27</v>
      </c>
      <c r="R565" s="6">
        <v>0</v>
      </c>
      <c r="S565" s="6" t="s">
        <v>28</v>
      </c>
      <c r="T565" s="7">
        <f t="shared" si="40"/>
        <v>0.47573179611650485</v>
      </c>
      <c r="U565" s="6">
        <f t="shared" si="41"/>
        <v>6</v>
      </c>
      <c r="V565" s="5" t="str">
        <f t="shared" si="42"/>
        <v>GOOD</v>
      </c>
      <c r="W565" s="6" t="str">
        <f t="shared" si="43"/>
        <v>55+</v>
      </c>
      <c r="X565" s="6" t="str">
        <f t="shared" si="44"/>
        <v>High</v>
      </c>
    </row>
    <row r="566" spans="1:24">
      <c r="A566" s="6" t="s">
        <v>469</v>
      </c>
      <c r="B566" s="6" t="s">
        <v>1433</v>
      </c>
      <c r="C566" s="6" t="s">
        <v>52</v>
      </c>
      <c r="D566" s="6" t="s">
        <v>471</v>
      </c>
      <c r="E566" s="6" t="s">
        <v>472</v>
      </c>
      <c r="F566" s="6">
        <v>51</v>
      </c>
      <c r="G566" s="6" t="s">
        <v>34</v>
      </c>
      <c r="H566" s="6" t="s">
        <v>1434</v>
      </c>
      <c r="I566" s="6" t="s">
        <v>3970</v>
      </c>
      <c r="J566" s="8">
        <v>44187</v>
      </c>
      <c r="K566" s="8">
        <v>45301</v>
      </c>
      <c r="L566" s="6">
        <v>57700.800000000003</v>
      </c>
      <c r="M566" s="6">
        <v>30800.6</v>
      </c>
      <c r="N566" s="6">
        <v>715</v>
      </c>
      <c r="O566" s="6">
        <v>105000</v>
      </c>
      <c r="P566" s="6" t="s">
        <v>26</v>
      </c>
      <c r="Q566" s="6" t="s">
        <v>27</v>
      </c>
      <c r="R566" s="6">
        <v>0</v>
      </c>
      <c r="S566" s="6" t="s">
        <v>28</v>
      </c>
      <c r="T566" s="7">
        <f t="shared" si="40"/>
        <v>0.29333904761904761</v>
      </c>
      <c r="U566" s="6">
        <f t="shared" si="41"/>
        <v>5</v>
      </c>
      <c r="V566" s="5" t="str">
        <f t="shared" si="42"/>
        <v>GOOD</v>
      </c>
      <c r="W566" s="6" t="str">
        <f t="shared" si="43"/>
        <v>45-54</v>
      </c>
      <c r="X566" s="6" t="str">
        <f t="shared" si="44"/>
        <v>Lower-Middle</v>
      </c>
    </row>
    <row r="567" spans="1:24">
      <c r="A567" s="6" t="s">
        <v>474</v>
      </c>
      <c r="B567" s="6" t="s">
        <v>1435</v>
      </c>
      <c r="C567" s="6" t="s">
        <v>46</v>
      </c>
      <c r="D567" s="6" t="s">
        <v>345</v>
      </c>
      <c r="E567" s="6" t="s">
        <v>476</v>
      </c>
      <c r="F567" s="6">
        <v>54</v>
      </c>
      <c r="G567" s="6" t="s">
        <v>24</v>
      </c>
      <c r="H567" s="6" t="s">
        <v>1436</v>
      </c>
      <c r="I567" s="6" t="s">
        <v>3687</v>
      </c>
      <c r="J567" s="8">
        <v>44102</v>
      </c>
      <c r="K567" s="8">
        <v>45302</v>
      </c>
      <c r="L567" s="6">
        <v>85500.25</v>
      </c>
      <c r="M567" s="6">
        <v>40800.400000000001</v>
      </c>
      <c r="N567" s="6">
        <v>680</v>
      </c>
      <c r="O567" s="6">
        <v>134000</v>
      </c>
      <c r="P567" s="6" t="s">
        <v>26</v>
      </c>
      <c r="Q567" s="6" t="s">
        <v>27</v>
      </c>
      <c r="R567" s="6">
        <v>0</v>
      </c>
      <c r="S567" s="6" t="s">
        <v>28</v>
      </c>
      <c r="T567" s="7">
        <f t="shared" si="40"/>
        <v>0.30448059701492536</v>
      </c>
      <c r="U567" s="6">
        <f t="shared" si="41"/>
        <v>4</v>
      </c>
      <c r="V567" s="5" t="str">
        <f t="shared" si="42"/>
        <v>GOOD</v>
      </c>
      <c r="W567" s="6" t="str">
        <f t="shared" si="43"/>
        <v>45-54</v>
      </c>
      <c r="X567" s="6" t="str">
        <f t="shared" si="44"/>
        <v>Upper-Middle</v>
      </c>
    </row>
    <row r="568" spans="1:24">
      <c r="A568" s="6" t="s">
        <v>592</v>
      </c>
      <c r="B568" s="6" t="s">
        <v>1437</v>
      </c>
      <c r="C568" s="6" t="s">
        <v>84</v>
      </c>
      <c r="D568" s="6" t="s">
        <v>32</v>
      </c>
      <c r="E568" s="6" t="s">
        <v>90</v>
      </c>
      <c r="F568" s="6">
        <v>34</v>
      </c>
      <c r="G568" s="6" t="s">
        <v>34</v>
      </c>
      <c r="H568" s="6" t="s">
        <v>1438</v>
      </c>
      <c r="I568" s="6" t="s">
        <v>3688</v>
      </c>
      <c r="J568" s="8">
        <v>45344</v>
      </c>
      <c r="K568" s="8">
        <v>45304</v>
      </c>
      <c r="L568" s="6">
        <v>3050.4</v>
      </c>
      <c r="M568" s="6">
        <v>11400.75</v>
      </c>
      <c r="N568" s="6">
        <v>610</v>
      </c>
      <c r="O568" s="6">
        <v>30000</v>
      </c>
      <c r="P568" s="6" t="s">
        <v>76</v>
      </c>
      <c r="Q568" s="6" t="s">
        <v>43</v>
      </c>
      <c r="R568" s="6">
        <v>0</v>
      </c>
      <c r="S568" s="6" t="s">
        <v>28</v>
      </c>
      <c r="T568" s="7">
        <f t="shared" si="40"/>
        <v>0.380025</v>
      </c>
      <c r="U568" s="6">
        <f t="shared" si="41"/>
        <v>2</v>
      </c>
      <c r="V568" s="5" t="str">
        <f t="shared" si="42"/>
        <v>FAIR</v>
      </c>
      <c r="W568" s="6" t="str">
        <f t="shared" si="43"/>
        <v>25-34</v>
      </c>
      <c r="X568" s="6" t="str">
        <f t="shared" si="44"/>
        <v>Low</v>
      </c>
    </row>
    <row r="569" spans="1:24">
      <c r="A569" s="6" t="s">
        <v>595</v>
      </c>
      <c r="B569" s="6" t="s">
        <v>1439</v>
      </c>
      <c r="C569" s="6" t="s">
        <v>21</v>
      </c>
      <c r="D569" s="6" t="s">
        <v>209</v>
      </c>
      <c r="E569" s="6" t="s">
        <v>210</v>
      </c>
      <c r="F569" s="6">
        <v>66</v>
      </c>
      <c r="G569" s="6" t="s">
        <v>24</v>
      </c>
      <c r="H569" s="6" t="s">
        <v>1440</v>
      </c>
      <c r="I569" s="6" t="s">
        <v>3722</v>
      </c>
      <c r="J569" s="8">
        <v>43242</v>
      </c>
      <c r="K569" s="8">
        <v>45299</v>
      </c>
      <c r="L569" s="6">
        <v>288700.79999999999</v>
      </c>
      <c r="M569" s="6">
        <v>89000.25</v>
      </c>
      <c r="N569" s="6">
        <v>825</v>
      </c>
      <c r="O569" s="6">
        <v>286000</v>
      </c>
      <c r="P569" s="6" t="s">
        <v>36</v>
      </c>
      <c r="Q569" s="6" t="s">
        <v>27</v>
      </c>
      <c r="R569" s="6">
        <v>0</v>
      </c>
      <c r="S569" s="6" t="s">
        <v>28</v>
      </c>
      <c r="T569" s="7">
        <f t="shared" si="40"/>
        <v>0.31118968531468533</v>
      </c>
      <c r="U569" s="6">
        <f t="shared" si="41"/>
        <v>7</v>
      </c>
      <c r="V569" s="5" t="str">
        <f t="shared" si="42"/>
        <v>EXCEPTIONAL</v>
      </c>
      <c r="W569" s="6" t="str">
        <f t="shared" si="43"/>
        <v>55+</v>
      </c>
      <c r="X569" s="6" t="str">
        <f t="shared" si="44"/>
        <v>High</v>
      </c>
    </row>
    <row r="570" spans="1:24">
      <c r="A570" s="6" t="s">
        <v>226</v>
      </c>
      <c r="B570" s="6" t="s">
        <v>1441</v>
      </c>
      <c r="C570" s="6" t="s">
        <v>57</v>
      </c>
      <c r="D570" s="6" t="s">
        <v>228</v>
      </c>
      <c r="E570" s="6" t="s">
        <v>229</v>
      </c>
      <c r="F570" s="6">
        <v>41</v>
      </c>
      <c r="G570" s="6" t="s">
        <v>34</v>
      </c>
      <c r="H570" s="6" t="s">
        <v>1442</v>
      </c>
      <c r="I570" s="6" t="s">
        <v>3971</v>
      </c>
      <c r="J570" s="8">
        <v>44979</v>
      </c>
      <c r="K570" s="8">
        <v>45305</v>
      </c>
      <c r="L570" s="6">
        <v>24400.75</v>
      </c>
      <c r="M570" s="6">
        <v>9600.4</v>
      </c>
      <c r="N570" s="6">
        <v>725</v>
      </c>
      <c r="O570" s="6">
        <v>62000</v>
      </c>
      <c r="P570" s="6" t="s">
        <v>36</v>
      </c>
      <c r="Q570" s="6" t="s">
        <v>27</v>
      </c>
      <c r="R570" s="6">
        <v>0</v>
      </c>
      <c r="S570" s="6" t="s">
        <v>28</v>
      </c>
      <c r="T570" s="7">
        <f t="shared" si="40"/>
        <v>0.15484516129032258</v>
      </c>
      <c r="U570" s="6">
        <f t="shared" si="41"/>
        <v>1</v>
      </c>
      <c r="V570" s="5" t="str">
        <f t="shared" si="42"/>
        <v>GOOD</v>
      </c>
      <c r="W570" s="6" t="str">
        <f t="shared" si="43"/>
        <v>35-44</v>
      </c>
      <c r="X570" s="6" t="str">
        <f t="shared" si="44"/>
        <v>Low</v>
      </c>
    </row>
    <row r="571" spans="1:24">
      <c r="A571" s="6" t="s">
        <v>488</v>
      </c>
      <c r="B571" s="6" t="s">
        <v>1443</v>
      </c>
      <c r="C571" s="6" t="s">
        <v>39</v>
      </c>
      <c r="D571" s="6" t="s">
        <v>304</v>
      </c>
      <c r="E571" s="6" t="s">
        <v>304</v>
      </c>
      <c r="F571" s="6">
        <v>58</v>
      </c>
      <c r="G571" s="6" t="s">
        <v>24</v>
      </c>
      <c r="H571" s="6" t="s">
        <v>1444</v>
      </c>
      <c r="I571" s="6" t="s">
        <v>3972</v>
      </c>
      <c r="J571" s="8">
        <v>43716</v>
      </c>
      <c r="K571" s="8">
        <v>45300</v>
      </c>
      <c r="L571" s="6">
        <v>168900.6</v>
      </c>
      <c r="M571" s="6">
        <v>89000.9</v>
      </c>
      <c r="N571" s="6">
        <v>675</v>
      </c>
      <c r="O571" s="6">
        <v>186000</v>
      </c>
      <c r="P571" s="6" t="s">
        <v>76</v>
      </c>
      <c r="Q571" s="6" t="s">
        <v>27</v>
      </c>
      <c r="R571" s="6">
        <v>0</v>
      </c>
      <c r="S571" s="6" t="s">
        <v>28</v>
      </c>
      <c r="T571" s="7">
        <f t="shared" si="40"/>
        <v>0.47849946236559138</v>
      </c>
      <c r="U571" s="6">
        <f t="shared" si="41"/>
        <v>6</v>
      </c>
      <c r="V571" s="5" t="str">
        <f t="shared" si="42"/>
        <v>GOOD</v>
      </c>
      <c r="W571" s="6" t="str">
        <f t="shared" si="43"/>
        <v>55+</v>
      </c>
      <c r="X571" s="6" t="str">
        <f t="shared" si="44"/>
        <v>Upper-Middle</v>
      </c>
    </row>
    <row r="572" spans="1:24">
      <c r="A572" s="6" t="s">
        <v>491</v>
      </c>
      <c r="B572" s="6" t="s">
        <v>1445</v>
      </c>
      <c r="C572" s="6" t="s">
        <v>52</v>
      </c>
      <c r="D572" s="6" t="s">
        <v>493</v>
      </c>
      <c r="E572" s="6" t="s">
        <v>494</v>
      </c>
      <c r="F572" s="6">
        <v>49</v>
      </c>
      <c r="G572" s="6" t="s">
        <v>34</v>
      </c>
      <c r="H572" s="6" t="s">
        <v>1446</v>
      </c>
      <c r="I572" s="6" t="s">
        <v>3973</v>
      </c>
      <c r="J572" s="8">
        <v>44491</v>
      </c>
      <c r="K572" s="8">
        <v>45302</v>
      </c>
      <c r="L572" s="6">
        <v>51900.4</v>
      </c>
      <c r="M572" s="6">
        <v>26600.25</v>
      </c>
      <c r="N572" s="6">
        <v>705</v>
      </c>
      <c r="O572" s="6">
        <v>94000</v>
      </c>
      <c r="P572" s="6" t="s">
        <v>26</v>
      </c>
      <c r="Q572" s="6" t="s">
        <v>27</v>
      </c>
      <c r="R572" s="6">
        <v>0</v>
      </c>
      <c r="S572" s="6" t="s">
        <v>28</v>
      </c>
      <c r="T572" s="7">
        <f t="shared" si="40"/>
        <v>0.28298138297872338</v>
      </c>
      <c r="U572" s="6">
        <f t="shared" si="41"/>
        <v>4</v>
      </c>
      <c r="V572" s="5" t="str">
        <f t="shared" si="42"/>
        <v>GOOD</v>
      </c>
      <c r="W572" s="6" t="str">
        <f t="shared" si="43"/>
        <v>45-54</v>
      </c>
      <c r="X572" s="6" t="str">
        <f t="shared" si="44"/>
        <v>Lower-Middle</v>
      </c>
    </row>
    <row r="573" spans="1:24">
      <c r="A573" s="6" t="s">
        <v>496</v>
      </c>
      <c r="B573" s="6" t="s">
        <v>1447</v>
      </c>
      <c r="C573" s="6" t="s">
        <v>46</v>
      </c>
      <c r="D573" s="6" t="s">
        <v>321</v>
      </c>
      <c r="E573" s="6" t="s">
        <v>322</v>
      </c>
      <c r="F573" s="6">
        <v>52</v>
      </c>
      <c r="G573" s="6" t="s">
        <v>24</v>
      </c>
      <c r="H573" s="6" t="s">
        <v>1448</v>
      </c>
      <c r="I573" s="6" t="s">
        <v>3974</v>
      </c>
      <c r="J573" s="8">
        <v>43973</v>
      </c>
      <c r="K573" s="8">
        <v>45301</v>
      </c>
      <c r="L573" s="6">
        <v>98800.75</v>
      </c>
      <c r="M573" s="6">
        <v>47700.800000000003</v>
      </c>
      <c r="N573" s="6">
        <v>730</v>
      </c>
      <c r="O573" s="6">
        <v>160000</v>
      </c>
      <c r="P573" s="6" t="s">
        <v>26</v>
      </c>
      <c r="Q573" s="6" t="s">
        <v>27</v>
      </c>
      <c r="R573" s="6">
        <v>0</v>
      </c>
      <c r="S573" s="6" t="s">
        <v>28</v>
      </c>
      <c r="T573" s="7">
        <f t="shared" si="40"/>
        <v>0.29813000000000001</v>
      </c>
      <c r="U573" s="6">
        <f t="shared" si="41"/>
        <v>5</v>
      </c>
      <c r="V573" s="5" t="str">
        <f t="shared" si="42"/>
        <v>GOOD</v>
      </c>
      <c r="W573" s="6" t="str">
        <f t="shared" si="43"/>
        <v>45-54</v>
      </c>
      <c r="X573" s="6" t="str">
        <f t="shared" si="44"/>
        <v>Upper-Middle</v>
      </c>
    </row>
    <row r="574" spans="1:24">
      <c r="A574" s="6" t="s">
        <v>324</v>
      </c>
      <c r="B574" s="6" t="s">
        <v>1449</v>
      </c>
      <c r="C574" s="6" t="s">
        <v>31</v>
      </c>
      <c r="D574" s="6" t="s">
        <v>313</v>
      </c>
      <c r="E574" s="6" t="s">
        <v>501</v>
      </c>
      <c r="F574" s="6">
        <v>37</v>
      </c>
      <c r="G574" s="6" t="s">
        <v>34</v>
      </c>
      <c r="H574" s="6" t="s">
        <v>1450</v>
      </c>
      <c r="I574" s="6" t="s">
        <v>3975</v>
      </c>
      <c r="J574" s="8">
        <v>45334</v>
      </c>
      <c r="K574" s="8">
        <v>45306</v>
      </c>
      <c r="L574" s="6">
        <v>12200.9</v>
      </c>
      <c r="M574" s="6">
        <v>7500.75</v>
      </c>
      <c r="N574" s="6">
        <v>685</v>
      </c>
      <c r="O574" s="6">
        <v>47000</v>
      </c>
      <c r="P574" s="6" t="s">
        <v>26</v>
      </c>
      <c r="Q574" s="6" t="s">
        <v>43</v>
      </c>
      <c r="R574" s="6">
        <v>0</v>
      </c>
      <c r="S574" s="6" t="s">
        <v>28</v>
      </c>
      <c r="T574" s="7">
        <f t="shared" si="40"/>
        <v>0.15959042553191488</v>
      </c>
      <c r="U574" s="6">
        <f t="shared" si="41"/>
        <v>0</v>
      </c>
      <c r="V574" s="5" t="str">
        <f t="shared" si="42"/>
        <v>GOOD</v>
      </c>
      <c r="W574" s="6" t="str">
        <f t="shared" si="43"/>
        <v>35-44</v>
      </c>
      <c r="X574" s="6" t="str">
        <f t="shared" si="44"/>
        <v>Low</v>
      </c>
    </row>
    <row r="575" spans="1:24">
      <c r="A575" s="6" t="s">
        <v>503</v>
      </c>
      <c r="B575" s="6" t="s">
        <v>1451</v>
      </c>
      <c r="C575" s="6" t="s">
        <v>21</v>
      </c>
      <c r="D575" s="6" t="s">
        <v>32</v>
      </c>
      <c r="E575" s="6" t="s">
        <v>33</v>
      </c>
      <c r="F575" s="6">
        <v>69</v>
      </c>
      <c r="G575" s="6" t="s">
        <v>24</v>
      </c>
      <c r="H575" s="6" t="s">
        <v>1452</v>
      </c>
      <c r="I575" s="6" t="s">
        <v>3695</v>
      </c>
      <c r="J575" s="8">
        <v>42975</v>
      </c>
      <c r="K575" s="8">
        <v>45299</v>
      </c>
      <c r="L575" s="6">
        <v>299600.25</v>
      </c>
      <c r="M575" s="6">
        <v>93000.4</v>
      </c>
      <c r="N575" s="6">
        <v>840</v>
      </c>
      <c r="O575" s="6">
        <v>301000</v>
      </c>
      <c r="P575" s="6" t="s">
        <v>36</v>
      </c>
      <c r="Q575" s="6" t="s">
        <v>27</v>
      </c>
      <c r="R575" s="6">
        <v>0</v>
      </c>
      <c r="S575" s="6" t="s">
        <v>28</v>
      </c>
      <c r="T575" s="7">
        <f t="shared" si="40"/>
        <v>0.30897142857142856</v>
      </c>
      <c r="U575" s="6">
        <f t="shared" si="41"/>
        <v>7</v>
      </c>
      <c r="V575" s="5" t="str">
        <f t="shared" si="42"/>
        <v>EXCEPTIONAL</v>
      </c>
      <c r="W575" s="6" t="str">
        <f t="shared" si="43"/>
        <v>55+</v>
      </c>
      <c r="X575" s="6" t="str">
        <f t="shared" si="44"/>
        <v>High</v>
      </c>
    </row>
    <row r="576" spans="1:24">
      <c r="A576" s="6" t="s">
        <v>506</v>
      </c>
      <c r="B576" s="6" t="s">
        <v>1453</v>
      </c>
      <c r="C576" s="6" t="s">
        <v>39</v>
      </c>
      <c r="D576" s="6" t="s">
        <v>68</v>
      </c>
      <c r="E576" s="6" t="s">
        <v>69</v>
      </c>
      <c r="F576" s="6">
        <v>61</v>
      </c>
      <c r="G576" s="6" t="s">
        <v>34</v>
      </c>
      <c r="H576" s="6" t="s">
        <v>1454</v>
      </c>
      <c r="I576" s="6" t="s">
        <v>3946</v>
      </c>
      <c r="J576" s="8">
        <v>43487</v>
      </c>
      <c r="K576" s="8">
        <v>45300</v>
      </c>
      <c r="L576" s="6">
        <v>180000.4</v>
      </c>
      <c r="M576" s="6">
        <v>93000.75</v>
      </c>
      <c r="N576" s="6">
        <v>650</v>
      </c>
      <c r="O576" s="6">
        <v>196000</v>
      </c>
      <c r="P576" s="6" t="s">
        <v>76</v>
      </c>
      <c r="Q576" s="6" t="s">
        <v>27</v>
      </c>
      <c r="R576" s="6">
        <v>0</v>
      </c>
      <c r="S576" s="6" t="s">
        <v>28</v>
      </c>
      <c r="T576" s="7">
        <f t="shared" si="40"/>
        <v>0.47449362244897958</v>
      </c>
      <c r="U576" s="6">
        <f t="shared" si="41"/>
        <v>6</v>
      </c>
      <c r="V576" s="5" t="str">
        <f t="shared" si="42"/>
        <v>FAIR</v>
      </c>
      <c r="W576" s="6" t="str">
        <f t="shared" si="43"/>
        <v>55+</v>
      </c>
      <c r="X576" s="6" t="str">
        <f t="shared" si="44"/>
        <v>High</v>
      </c>
    </row>
    <row r="577" spans="1:24">
      <c r="A577" s="6" t="s">
        <v>509</v>
      </c>
      <c r="B577" s="6" t="s">
        <v>1455</v>
      </c>
      <c r="C577" s="6" t="s">
        <v>46</v>
      </c>
      <c r="D577" s="6" t="s">
        <v>73</v>
      </c>
      <c r="E577" s="6" t="s">
        <v>158</v>
      </c>
      <c r="F577" s="6">
        <v>48</v>
      </c>
      <c r="G577" s="6" t="s">
        <v>24</v>
      </c>
      <c r="H577" s="6" t="s">
        <v>1456</v>
      </c>
      <c r="I577" s="6" t="s">
        <v>3976</v>
      </c>
      <c r="J577" s="8">
        <v>44703</v>
      </c>
      <c r="K577" s="8">
        <v>45303</v>
      </c>
      <c r="L577" s="6">
        <v>86600.4</v>
      </c>
      <c r="M577" s="6">
        <v>41900.25</v>
      </c>
      <c r="N577" s="6">
        <v>745</v>
      </c>
      <c r="O577" s="6">
        <v>140000</v>
      </c>
      <c r="P577" s="6" t="s">
        <v>26</v>
      </c>
      <c r="Q577" s="6" t="s">
        <v>27</v>
      </c>
      <c r="R577" s="6">
        <v>0</v>
      </c>
      <c r="S577" s="6" t="s">
        <v>28</v>
      </c>
      <c r="T577" s="7">
        <f t="shared" si="40"/>
        <v>0.29928749999999998</v>
      </c>
      <c r="U577" s="6">
        <f t="shared" si="41"/>
        <v>3</v>
      </c>
      <c r="V577" s="5" t="str">
        <f t="shared" si="42"/>
        <v>GOOD</v>
      </c>
      <c r="W577" s="6" t="str">
        <f t="shared" si="43"/>
        <v>45-54</v>
      </c>
      <c r="X577" s="6" t="str">
        <f t="shared" si="44"/>
        <v>Upper-Middle</v>
      </c>
    </row>
    <row r="578" spans="1:24">
      <c r="A578" s="6" t="s">
        <v>513</v>
      </c>
      <c r="B578" s="6" t="s">
        <v>1457</v>
      </c>
      <c r="C578" s="6" t="s">
        <v>57</v>
      </c>
      <c r="D578" s="6" t="s">
        <v>58</v>
      </c>
      <c r="E578" s="6" t="s">
        <v>122</v>
      </c>
      <c r="F578" s="6">
        <v>43</v>
      </c>
      <c r="G578" s="6" t="s">
        <v>34</v>
      </c>
      <c r="H578" s="6" t="s">
        <v>1458</v>
      </c>
      <c r="I578" s="6" t="s">
        <v>3697</v>
      </c>
      <c r="J578" s="8">
        <v>44887</v>
      </c>
      <c r="K578" s="8">
        <v>45302</v>
      </c>
      <c r="L578" s="6">
        <v>26600.799999999999</v>
      </c>
      <c r="M578" s="6">
        <v>10800.9</v>
      </c>
      <c r="N578" s="6">
        <v>765</v>
      </c>
      <c r="O578" s="6">
        <v>72000</v>
      </c>
      <c r="P578" s="6" t="s">
        <v>36</v>
      </c>
      <c r="Q578" s="6" t="s">
        <v>27</v>
      </c>
      <c r="R578" s="6">
        <v>0</v>
      </c>
      <c r="S578" s="6" t="s">
        <v>28</v>
      </c>
      <c r="T578" s="7">
        <f t="shared" ref="T578:T641" si="45">IFERROR(M578/O578,"")</f>
        <v>0.15001249999999999</v>
      </c>
      <c r="U578" s="6">
        <f t="shared" ref="U578:U641" si="46">MAX($K$2:$K$1599)-K578</f>
        <v>4</v>
      </c>
      <c r="V578" s="5" t="str">
        <f t="shared" ref="V578:V641" si="47">IF(N578&lt;670,"FAIR", IF(N578&lt;750,"GOOD",IF(N578&lt;800,"VERY GOOD","EXCEPTIONAL")))</f>
        <v>VERY GOOD</v>
      </c>
      <c r="W578" s="6" t="str">
        <f t="shared" ref="W578:W641" si="48">IF(F578&lt;25,"18-24",IF(F578&lt;35,"25-34",IF(F578&lt;45,"35-44",IF(F578&lt;55,"45-54","55+"))))</f>
        <v>35-44</v>
      </c>
      <c r="X578" s="6" t="str">
        <f t="shared" ref="X578:X641" si="49">IF(O578&lt;=_xlfn.QUARTILE.INC($O$2:$O$1599,1),"Low",IF(O578&lt;=_xlfn.QUARTILE.INC($O$2:$O$1599,2),"Lower-Middle",IF(O578&lt;=_xlfn.QUARTILE.INC($O$2:$O$1599,3),"Upper-Middle","High")))</f>
        <v>Low</v>
      </c>
    </row>
    <row r="579" spans="1:24">
      <c r="A579" s="6" t="s">
        <v>516</v>
      </c>
      <c r="B579" s="6" t="s">
        <v>1459</v>
      </c>
      <c r="C579" s="6" t="s">
        <v>52</v>
      </c>
      <c r="D579" s="6" t="s">
        <v>277</v>
      </c>
      <c r="E579" s="6" t="s">
        <v>404</v>
      </c>
      <c r="F579" s="6">
        <v>56</v>
      </c>
      <c r="G579" s="6" t="s">
        <v>24</v>
      </c>
      <c r="H579" s="6" t="s">
        <v>1460</v>
      </c>
      <c r="I579" s="6" t="s">
        <v>3977</v>
      </c>
      <c r="J579" s="8">
        <v>44157</v>
      </c>
      <c r="K579" s="8">
        <v>45301</v>
      </c>
      <c r="L579" s="6">
        <v>59900.75</v>
      </c>
      <c r="M579" s="6">
        <v>33000.400000000001</v>
      </c>
      <c r="N579" s="6">
        <v>675</v>
      </c>
      <c r="O579" s="6">
        <v>112000</v>
      </c>
      <c r="P579" s="6" t="s">
        <v>26</v>
      </c>
      <c r="Q579" s="6" t="s">
        <v>27</v>
      </c>
      <c r="R579" s="6">
        <v>0</v>
      </c>
      <c r="S579" s="6" t="s">
        <v>28</v>
      </c>
      <c r="T579" s="7">
        <f t="shared" si="45"/>
        <v>0.29464642857142859</v>
      </c>
      <c r="U579" s="6">
        <f t="shared" si="46"/>
        <v>5</v>
      </c>
      <c r="V579" s="5" t="str">
        <f t="shared" si="47"/>
        <v>GOOD</v>
      </c>
      <c r="W579" s="6" t="str">
        <f t="shared" si="48"/>
        <v>55+</v>
      </c>
      <c r="X579" s="6" t="str">
        <f t="shared" si="49"/>
        <v>Lower-Middle</v>
      </c>
    </row>
    <row r="580" spans="1:24">
      <c r="A580" s="6" t="s">
        <v>519</v>
      </c>
      <c r="B580" s="6" t="s">
        <v>1461</v>
      </c>
      <c r="C580" s="6" t="s">
        <v>84</v>
      </c>
      <c r="D580" s="6" t="s">
        <v>183</v>
      </c>
      <c r="E580" s="6" t="s">
        <v>184</v>
      </c>
      <c r="F580" s="6">
        <v>35</v>
      </c>
      <c r="G580" s="6" t="s">
        <v>34</v>
      </c>
      <c r="H580" s="6" t="s">
        <v>1462</v>
      </c>
      <c r="I580" s="6" t="s">
        <v>3699</v>
      </c>
      <c r="J580" s="8">
        <v>45350</v>
      </c>
      <c r="K580" s="8">
        <v>45304</v>
      </c>
      <c r="L580" s="6">
        <v>3300.25</v>
      </c>
      <c r="M580" s="6">
        <v>12600.6</v>
      </c>
      <c r="N580" s="6">
        <v>615</v>
      </c>
      <c r="O580" s="6">
        <v>32000</v>
      </c>
      <c r="P580" s="6" t="s">
        <v>76</v>
      </c>
      <c r="Q580" s="6" t="s">
        <v>43</v>
      </c>
      <c r="R580" s="6">
        <v>0</v>
      </c>
      <c r="S580" s="6" t="s">
        <v>28</v>
      </c>
      <c r="T580" s="7">
        <f t="shared" si="45"/>
        <v>0.39376875</v>
      </c>
      <c r="U580" s="6">
        <f t="shared" si="46"/>
        <v>2</v>
      </c>
      <c r="V580" s="5" t="str">
        <f t="shared" si="47"/>
        <v>FAIR</v>
      </c>
      <c r="W580" s="6" t="str">
        <f t="shared" si="48"/>
        <v>35-44</v>
      </c>
      <c r="X580" s="6" t="str">
        <f t="shared" si="49"/>
        <v>Low</v>
      </c>
    </row>
    <row r="581" spans="1:24">
      <c r="A581" s="6" t="s">
        <v>522</v>
      </c>
      <c r="B581" s="6" t="s">
        <v>1463</v>
      </c>
      <c r="C581" s="6" t="s">
        <v>39</v>
      </c>
      <c r="D581" s="6" t="s">
        <v>40</v>
      </c>
      <c r="E581" s="6" t="s">
        <v>41</v>
      </c>
      <c r="F581" s="6">
        <v>63</v>
      </c>
      <c r="G581" s="6" t="s">
        <v>24</v>
      </c>
      <c r="H581" s="6" t="s">
        <v>1464</v>
      </c>
      <c r="I581" s="6" t="s">
        <v>3510</v>
      </c>
      <c r="J581" s="8">
        <v>43456</v>
      </c>
      <c r="K581" s="8">
        <v>45299</v>
      </c>
      <c r="L581" s="6">
        <v>214600.8</v>
      </c>
      <c r="M581" s="6">
        <v>106000.25</v>
      </c>
      <c r="N581" s="6">
        <v>660</v>
      </c>
      <c r="O581" s="6">
        <v>231000</v>
      </c>
      <c r="P581" s="6" t="s">
        <v>76</v>
      </c>
      <c r="Q581" s="6" t="s">
        <v>27</v>
      </c>
      <c r="R581" s="6">
        <v>0</v>
      </c>
      <c r="S581" s="6" t="s">
        <v>28</v>
      </c>
      <c r="T581" s="7">
        <f t="shared" si="45"/>
        <v>0.45887554112554113</v>
      </c>
      <c r="U581" s="6">
        <f t="shared" si="46"/>
        <v>7</v>
      </c>
      <c r="V581" s="5" t="str">
        <f t="shared" si="47"/>
        <v>FAIR</v>
      </c>
      <c r="W581" s="6" t="str">
        <f t="shared" si="48"/>
        <v>55+</v>
      </c>
      <c r="X581" s="6" t="str">
        <f t="shared" si="49"/>
        <v>High</v>
      </c>
    </row>
    <row r="582" spans="1:24">
      <c r="A582" s="6" t="s">
        <v>306</v>
      </c>
      <c r="B582" s="6" t="s">
        <v>1465</v>
      </c>
      <c r="C582" s="6" t="s">
        <v>46</v>
      </c>
      <c r="D582" s="6" t="s">
        <v>209</v>
      </c>
      <c r="E582" s="6" t="s">
        <v>703</v>
      </c>
      <c r="F582" s="6">
        <v>50</v>
      </c>
      <c r="G582" s="6" t="s">
        <v>34</v>
      </c>
      <c r="H582" s="6" t="s">
        <v>1466</v>
      </c>
      <c r="I582" s="6" t="s">
        <v>3978</v>
      </c>
      <c r="J582" s="8">
        <v>44314</v>
      </c>
      <c r="K582" s="8">
        <v>45302</v>
      </c>
      <c r="L582" s="6">
        <v>81000.899999999994</v>
      </c>
      <c r="M582" s="6">
        <v>38800.75</v>
      </c>
      <c r="N582" s="6">
        <v>730</v>
      </c>
      <c r="O582" s="6">
        <v>135000</v>
      </c>
      <c r="P582" s="6" t="s">
        <v>26</v>
      </c>
      <c r="Q582" s="6" t="s">
        <v>27</v>
      </c>
      <c r="R582" s="6">
        <v>0</v>
      </c>
      <c r="S582" s="6" t="s">
        <v>28</v>
      </c>
      <c r="T582" s="7">
        <f t="shared" si="45"/>
        <v>0.28741296296296298</v>
      </c>
      <c r="U582" s="6">
        <f t="shared" si="46"/>
        <v>4</v>
      </c>
      <c r="V582" s="5" t="str">
        <f t="shared" si="47"/>
        <v>GOOD</v>
      </c>
      <c r="W582" s="6" t="str">
        <f t="shared" si="48"/>
        <v>45-54</v>
      </c>
      <c r="X582" s="6" t="str">
        <f t="shared" si="49"/>
        <v>Upper-Middle</v>
      </c>
    </row>
    <row r="583" spans="1:24">
      <c r="A583" s="6" t="s">
        <v>527</v>
      </c>
      <c r="B583" s="6" t="s">
        <v>1467</v>
      </c>
      <c r="C583" s="6" t="s">
        <v>31</v>
      </c>
      <c r="D583" s="6" t="s">
        <v>32</v>
      </c>
      <c r="E583" s="6" t="s">
        <v>90</v>
      </c>
      <c r="F583" s="6">
        <v>39</v>
      </c>
      <c r="G583" s="6" t="s">
        <v>34</v>
      </c>
      <c r="H583" s="6" t="s">
        <v>1468</v>
      </c>
      <c r="I583" s="6" t="s">
        <v>3578</v>
      </c>
      <c r="J583" s="8">
        <v>45330</v>
      </c>
      <c r="K583" s="8">
        <v>45305</v>
      </c>
      <c r="L583" s="6">
        <v>13300.4</v>
      </c>
      <c r="M583" s="6">
        <v>7600.25</v>
      </c>
      <c r="N583" s="6">
        <v>705</v>
      </c>
      <c r="O583" s="6">
        <v>49000</v>
      </c>
      <c r="P583" s="6" t="s">
        <v>26</v>
      </c>
      <c r="Q583" s="6" t="s">
        <v>43</v>
      </c>
      <c r="R583" s="6">
        <v>0</v>
      </c>
      <c r="S583" s="6" t="s">
        <v>28</v>
      </c>
      <c r="T583" s="7">
        <f t="shared" si="45"/>
        <v>0.15510714285714286</v>
      </c>
      <c r="U583" s="6">
        <f t="shared" si="46"/>
        <v>1</v>
      </c>
      <c r="V583" s="5" t="str">
        <f t="shared" si="47"/>
        <v>GOOD</v>
      </c>
      <c r="W583" s="6" t="str">
        <f t="shared" si="48"/>
        <v>35-44</v>
      </c>
      <c r="X583" s="6" t="str">
        <f t="shared" si="49"/>
        <v>Low</v>
      </c>
    </row>
    <row r="584" spans="1:24">
      <c r="A584" s="6" t="s">
        <v>530</v>
      </c>
      <c r="B584" s="6" t="s">
        <v>1469</v>
      </c>
      <c r="C584" s="6" t="s">
        <v>57</v>
      </c>
      <c r="D584" s="6" t="s">
        <v>219</v>
      </c>
      <c r="E584" s="6" t="s">
        <v>220</v>
      </c>
      <c r="F584" s="6">
        <v>44</v>
      </c>
      <c r="G584" s="6" t="s">
        <v>24</v>
      </c>
      <c r="H584" s="6" t="s">
        <v>1470</v>
      </c>
      <c r="I584" s="6" t="s">
        <v>3979</v>
      </c>
      <c r="J584" s="8">
        <v>44856</v>
      </c>
      <c r="K584" s="8">
        <v>45303</v>
      </c>
      <c r="L584" s="6">
        <v>25500.6</v>
      </c>
      <c r="M584" s="6">
        <v>10200.799999999999</v>
      </c>
      <c r="N584" s="6">
        <v>710</v>
      </c>
      <c r="O584" s="6">
        <v>65000</v>
      </c>
      <c r="P584" s="6" t="s">
        <v>36</v>
      </c>
      <c r="Q584" s="6" t="s">
        <v>27</v>
      </c>
      <c r="R584" s="6">
        <v>0</v>
      </c>
      <c r="S584" s="6" t="s">
        <v>28</v>
      </c>
      <c r="T584" s="7">
        <f t="shared" si="45"/>
        <v>0.15693538461538462</v>
      </c>
      <c r="U584" s="6">
        <f t="shared" si="46"/>
        <v>3</v>
      </c>
      <c r="V584" s="5" t="str">
        <f t="shared" si="47"/>
        <v>GOOD</v>
      </c>
      <c r="W584" s="6" t="str">
        <f t="shared" si="48"/>
        <v>35-44</v>
      </c>
      <c r="X584" s="6" t="str">
        <f t="shared" si="49"/>
        <v>Low</v>
      </c>
    </row>
    <row r="585" spans="1:24">
      <c r="A585" s="6" t="s">
        <v>533</v>
      </c>
      <c r="B585" s="6" t="s">
        <v>1471</v>
      </c>
      <c r="C585" s="6" t="s">
        <v>52</v>
      </c>
      <c r="D585" s="6" t="s">
        <v>204</v>
      </c>
      <c r="E585" s="6" t="s">
        <v>205</v>
      </c>
      <c r="F585" s="6">
        <v>51</v>
      </c>
      <c r="G585" s="6" t="s">
        <v>34</v>
      </c>
      <c r="H585" s="6" t="s">
        <v>1472</v>
      </c>
      <c r="I585" s="6" t="s">
        <v>3980</v>
      </c>
      <c r="J585" s="8">
        <v>44163</v>
      </c>
      <c r="K585" s="8">
        <v>45301</v>
      </c>
      <c r="L585" s="6">
        <v>56800.25</v>
      </c>
      <c r="M585" s="6">
        <v>29900.9</v>
      </c>
      <c r="N585" s="6">
        <v>695</v>
      </c>
      <c r="O585" s="6">
        <v>100000</v>
      </c>
      <c r="P585" s="6" t="s">
        <v>26</v>
      </c>
      <c r="Q585" s="6" t="s">
        <v>27</v>
      </c>
      <c r="R585" s="6">
        <v>0</v>
      </c>
      <c r="S585" s="6" t="s">
        <v>28</v>
      </c>
      <c r="T585" s="7">
        <f t="shared" si="45"/>
        <v>0.29900900000000002</v>
      </c>
      <c r="U585" s="6">
        <f t="shared" si="46"/>
        <v>5</v>
      </c>
      <c r="V585" s="5" t="str">
        <f t="shared" si="47"/>
        <v>GOOD</v>
      </c>
      <c r="W585" s="6" t="str">
        <f t="shared" si="48"/>
        <v>45-54</v>
      </c>
      <c r="X585" s="6" t="str">
        <f t="shared" si="49"/>
        <v>Lower-Middle</v>
      </c>
    </row>
    <row r="586" spans="1:24">
      <c r="A586" s="6" t="s">
        <v>536</v>
      </c>
      <c r="B586" s="6" t="s">
        <v>1473</v>
      </c>
      <c r="C586" s="6" t="s">
        <v>39</v>
      </c>
      <c r="D586" s="6" t="s">
        <v>195</v>
      </c>
      <c r="E586" s="6" t="s">
        <v>196</v>
      </c>
      <c r="F586" s="6">
        <v>59</v>
      </c>
      <c r="G586" s="6" t="s">
        <v>24</v>
      </c>
      <c r="H586" s="6" t="s">
        <v>1474</v>
      </c>
      <c r="I586" s="6" t="s">
        <v>3981</v>
      </c>
      <c r="J586" s="8">
        <v>43607</v>
      </c>
      <c r="K586" s="8">
        <v>45300</v>
      </c>
      <c r="L586" s="6">
        <v>146800.4</v>
      </c>
      <c r="M586" s="6">
        <v>80000.600000000006</v>
      </c>
      <c r="N586" s="6">
        <v>670</v>
      </c>
      <c r="O586" s="6">
        <v>167000</v>
      </c>
      <c r="P586" s="6" t="s">
        <v>76</v>
      </c>
      <c r="Q586" s="6" t="s">
        <v>27</v>
      </c>
      <c r="R586" s="6">
        <v>0</v>
      </c>
      <c r="S586" s="6" t="s">
        <v>28</v>
      </c>
      <c r="T586" s="7">
        <f t="shared" si="45"/>
        <v>0.47904550898203596</v>
      </c>
      <c r="U586" s="6">
        <f t="shared" si="46"/>
        <v>6</v>
      </c>
      <c r="V586" s="5" t="str">
        <f t="shared" si="47"/>
        <v>GOOD</v>
      </c>
      <c r="W586" s="6" t="str">
        <f t="shared" si="48"/>
        <v>55+</v>
      </c>
      <c r="X586" s="6" t="str">
        <f t="shared" si="49"/>
        <v>Upper-Middle</v>
      </c>
    </row>
    <row r="587" spans="1:24">
      <c r="A587" s="6" t="s">
        <v>539</v>
      </c>
      <c r="B587" s="6" t="s">
        <v>1475</v>
      </c>
      <c r="C587" s="6" t="s">
        <v>21</v>
      </c>
      <c r="D587" s="6" t="s">
        <v>58</v>
      </c>
      <c r="E587" s="6" t="s">
        <v>59</v>
      </c>
      <c r="F587" s="6">
        <v>67</v>
      </c>
      <c r="G587" s="6" t="s">
        <v>34</v>
      </c>
      <c r="H587" s="6" t="s">
        <v>1476</v>
      </c>
      <c r="I587" s="6" t="s">
        <v>3704</v>
      </c>
      <c r="J587" s="8">
        <v>43181</v>
      </c>
      <c r="K587" s="8">
        <v>45299</v>
      </c>
      <c r="L587" s="6">
        <v>313700.75</v>
      </c>
      <c r="M587" s="6">
        <v>97000.8</v>
      </c>
      <c r="N587" s="6">
        <v>835</v>
      </c>
      <c r="O587" s="6">
        <v>312000</v>
      </c>
      <c r="P587" s="6" t="s">
        <v>36</v>
      </c>
      <c r="Q587" s="6" t="s">
        <v>27</v>
      </c>
      <c r="R587" s="6">
        <v>0</v>
      </c>
      <c r="S587" s="6" t="s">
        <v>28</v>
      </c>
      <c r="T587" s="7">
        <f t="shared" si="45"/>
        <v>0.31090000000000001</v>
      </c>
      <c r="U587" s="6">
        <f t="shared" si="46"/>
        <v>7</v>
      </c>
      <c r="V587" s="5" t="str">
        <f t="shared" si="47"/>
        <v>EXCEPTIONAL</v>
      </c>
      <c r="W587" s="6" t="str">
        <f t="shared" si="48"/>
        <v>55+</v>
      </c>
      <c r="X587" s="6" t="str">
        <f t="shared" si="49"/>
        <v>High</v>
      </c>
    </row>
    <row r="588" spans="1:24">
      <c r="A588" s="6" t="s">
        <v>542</v>
      </c>
      <c r="B588" s="6" t="s">
        <v>1477</v>
      </c>
      <c r="C588" s="6" t="s">
        <v>52</v>
      </c>
      <c r="D588" s="6" t="s">
        <v>68</v>
      </c>
      <c r="E588" s="6" t="s">
        <v>69</v>
      </c>
      <c r="F588" s="6">
        <v>54</v>
      </c>
      <c r="G588" s="6" t="s">
        <v>34</v>
      </c>
      <c r="H588" s="6" t="s">
        <v>1478</v>
      </c>
      <c r="I588" s="6" t="s">
        <v>3967</v>
      </c>
      <c r="J588" s="8">
        <v>44126</v>
      </c>
      <c r="K588" s="8">
        <v>45302</v>
      </c>
      <c r="L588" s="6">
        <v>65500.6</v>
      </c>
      <c r="M588" s="6">
        <v>35500.25</v>
      </c>
      <c r="N588" s="6">
        <v>665</v>
      </c>
      <c r="O588" s="6">
        <v>120000</v>
      </c>
      <c r="P588" s="6" t="s">
        <v>26</v>
      </c>
      <c r="Q588" s="6" t="s">
        <v>27</v>
      </c>
      <c r="R588" s="6">
        <v>0</v>
      </c>
      <c r="S588" s="6" t="s">
        <v>28</v>
      </c>
      <c r="T588" s="7">
        <f t="shared" si="45"/>
        <v>0.29583541666666668</v>
      </c>
      <c r="U588" s="6">
        <f t="shared" si="46"/>
        <v>4</v>
      </c>
      <c r="V588" s="5" t="str">
        <f t="shared" si="47"/>
        <v>FAIR</v>
      </c>
      <c r="W588" s="6" t="str">
        <f t="shared" si="48"/>
        <v>45-54</v>
      </c>
      <c r="X588" s="6" t="str">
        <f t="shared" si="49"/>
        <v>Lower-Middle</v>
      </c>
    </row>
    <row r="589" spans="1:24">
      <c r="A589" s="6" t="s">
        <v>545</v>
      </c>
      <c r="B589" s="6" t="s">
        <v>1479</v>
      </c>
      <c r="C589" s="6" t="s">
        <v>46</v>
      </c>
      <c r="D589" s="6" t="s">
        <v>241</v>
      </c>
      <c r="E589" s="6" t="s">
        <v>242</v>
      </c>
      <c r="F589" s="6">
        <v>46</v>
      </c>
      <c r="G589" s="6" t="s">
        <v>24</v>
      </c>
      <c r="H589" s="6" t="s">
        <v>1480</v>
      </c>
      <c r="I589" s="6" t="s">
        <v>3982</v>
      </c>
      <c r="J589" s="8">
        <v>44764</v>
      </c>
      <c r="K589" s="8">
        <v>45303</v>
      </c>
      <c r="L589" s="6">
        <v>88800.8</v>
      </c>
      <c r="M589" s="6">
        <v>43000.4</v>
      </c>
      <c r="N589" s="6">
        <v>750</v>
      </c>
      <c r="O589" s="6">
        <v>146000</v>
      </c>
      <c r="P589" s="6" t="s">
        <v>26</v>
      </c>
      <c r="Q589" s="6" t="s">
        <v>27</v>
      </c>
      <c r="R589" s="6">
        <v>0</v>
      </c>
      <c r="S589" s="6" t="s">
        <v>28</v>
      </c>
      <c r="T589" s="7">
        <f t="shared" si="45"/>
        <v>0.29452328767123287</v>
      </c>
      <c r="U589" s="6">
        <f t="shared" si="46"/>
        <v>3</v>
      </c>
      <c r="V589" s="5" t="str">
        <f t="shared" si="47"/>
        <v>VERY GOOD</v>
      </c>
      <c r="W589" s="6" t="str">
        <f t="shared" si="48"/>
        <v>45-54</v>
      </c>
      <c r="X589" s="6" t="str">
        <f t="shared" si="49"/>
        <v>Upper-Middle</v>
      </c>
    </row>
    <row r="590" spans="1:24">
      <c r="A590" s="6" t="s">
        <v>548</v>
      </c>
      <c r="B590" s="6" t="s">
        <v>1481</v>
      </c>
      <c r="C590" s="6" t="s">
        <v>57</v>
      </c>
      <c r="D590" s="6" t="s">
        <v>22</v>
      </c>
      <c r="E590" s="6" t="s">
        <v>118</v>
      </c>
      <c r="F590" s="6">
        <v>42</v>
      </c>
      <c r="G590" s="6" t="s">
        <v>34</v>
      </c>
      <c r="H590" s="6" t="s">
        <v>1482</v>
      </c>
      <c r="I590" s="6" t="s">
        <v>3983</v>
      </c>
      <c r="J590" s="8">
        <v>44948</v>
      </c>
      <c r="K590" s="8">
        <v>45305</v>
      </c>
      <c r="L590" s="6">
        <v>27700.9</v>
      </c>
      <c r="M590" s="6">
        <v>11200.75</v>
      </c>
      <c r="N590" s="6">
        <v>770</v>
      </c>
      <c r="O590" s="6">
        <v>77000</v>
      </c>
      <c r="P590" s="6" t="s">
        <v>36</v>
      </c>
      <c r="Q590" s="6" t="s">
        <v>27</v>
      </c>
      <c r="R590" s="6">
        <v>0</v>
      </c>
      <c r="S590" s="6" t="s">
        <v>28</v>
      </c>
      <c r="T590" s="7">
        <f t="shared" si="45"/>
        <v>0.14546428571428571</v>
      </c>
      <c r="U590" s="6">
        <f t="shared" si="46"/>
        <v>1</v>
      </c>
      <c r="V590" s="5" t="str">
        <f t="shared" si="47"/>
        <v>VERY GOOD</v>
      </c>
      <c r="W590" s="6" t="str">
        <f t="shared" si="48"/>
        <v>35-44</v>
      </c>
      <c r="X590" s="6" t="str">
        <f t="shared" si="49"/>
        <v>Lower-Middle</v>
      </c>
    </row>
    <row r="591" spans="1:24">
      <c r="A591" s="6" t="s">
        <v>551</v>
      </c>
      <c r="B591" s="6" t="s">
        <v>1483</v>
      </c>
      <c r="C591" s="6" t="s">
        <v>39</v>
      </c>
      <c r="D591" s="6" t="s">
        <v>313</v>
      </c>
      <c r="E591" s="6" t="s">
        <v>314</v>
      </c>
      <c r="F591" s="6">
        <v>65</v>
      </c>
      <c r="G591" s="6" t="s">
        <v>24</v>
      </c>
      <c r="H591" s="6" t="s">
        <v>1484</v>
      </c>
      <c r="I591" s="6" t="s">
        <v>3984</v>
      </c>
      <c r="J591" s="8">
        <v>43365</v>
      </c>
      <c r="K591" s="8">
        <v>45299</v>
      </c>
      <c r="L591" s="6">
        <v>199900.25</v>
      </c>
      <c r="M591" s="6">
        <v>101000.8</v>
      </c>
      <c r="N591" s="6">
        <v>645</v>
      </c>
      <c r="O591" s="6">
        <v>217000</v>
      </c>
      <c r="P591" s="6" t="s">
        <v>76</v>
      </c>
      <c r="Q591" s="6" t="s">
        <v>27</v>
      </c>
      <c r="R591" s="6">
        <v>0</v>
      </c>
      <c r="S591" s="6" t="s">
        <v>28</v>
      </c>
      <c r="T591" s="7">
        <f t="shared" si="45"/>
        <v>0.46544147465437791</v>
      </c>
      <c r="U591" s="6">
        <f t="shared" si="46"/>
        <v>7</v>
      </c>
      <c r="V591" s="5" t="str">
        <f t="shared" si="47"/>
        <v>FAIR</v>
      </c>
      <c r="W591" s="6" t="str">
        <f t="shared" si="48"/>
        <v>55+</v>
      </c>
      <c r="X591" s="6" t="str">
        <f t="shared" si="49"/>
        <v>High</v>
      </c>
    </row>
    <row r="592" spans="1:24">
      <c r="A592" s="6" t="s">
        <v>554</v>
      </c>
      <c r="B592" s="6" t="s">
        <v>1485</v>
      </c>
      <c r="C592" s="6" t="s">
        <v>31</v>
      </c>
      <c r="D592" s="6" t="s">
        <v>214</v>
      </c>
      <c r="E592" s="6" t="s">
        <v>724</v>
      </c>
      <c r="F592" s="6">
        <v>38</v>
      </c>
      <c r="G592" s="6" t="s">
        <v>34</v>
      </c>
      <c r="H592" s="6" t="s">
        <v>1486</v>
      </c>
      <c r="I592" s="6" t="s">
        <v>3985</v>
      </c>
      <c r="J592" s="8">
        <v>45337</v>
      </c>
      <c r="K592" s="8">
        <v>45306</v>
      </c>
      <c r="L592" s="6">
        <v>22200.5</v>
      </c>
      <c r="M592" s="6">
        <v>10800.4</v>
      </c>
      <c r="N592" s="6">
        <v>720</v>
      </c>
      <c r="O592" s="6">
        <v>54000</v>
      </c>
      <c r="P592" s="6" t="s">
        <v>36</v>
      </c>
      <c r="Q592" s="6" t="s">
        <v>27</v>
      </c>
      <c r="R592" s="6">
        <v>0</v>
      </c>
      <c r="S592" s="6" t="s">
        <v>28</v>
      </c>
      <c r="T592" s="7">
        <f t="shared" si="45"/>
        <v>0.20000740740740741</v>
      </c>
      <c r="U592" s="6">
        <f t="shared" si="46"/>
        <v>0</v>
      </c>
      <c r="V592" s="5" t="str">
        <f t="shared" si="47"/>
        <v>GOOD</v>
      </c>
      <c r="W592" s="6" t="str">
        <f t="shared" si="48"/>
        <v>35-44</v>
      </c>
      <c r="X592" s="6" t="str">
        <f t="shared" si="49"/>
        <v>Low</v>
      </c>
    </row>
    <row r="593" spans="1:24">
      <c r="A593" s="6" t="s">
        <v>108</v>
      </c>
      <c r="B593" s="6" t="s">
        <v>1487</v>
      </c>
      <c r="C593" s="6" t="s">
        <v>84</v>
      </c>
      <c r="D593" s="6" t="s">
        <v>32</v>
      </c>
      <c r="E593" s="6" t="s">
        <v>33</v>
      </c>
      <c r="F593" s="6">
        <v>34</v>
      </c>
      <c r="G593" s="6" t="s">
        <v>24</v>
      </c>
      <c r="H593" s="6" t="s">
        <v>1488</v>
      </c>
      <c r="I593" s="6" t="s">
        <v>3688</v>
      </c>
      <c r="J593" s="8">
        <v>45340</v>
      </c>
      <c r="K593" s="8">
        <v>45304</v>
      </c>
      <c r="L593" s="6">
        <v>3050.8</v>
      </c>
      <c r="M593" s="6">
        <v>11000.25</v>
      </c>
      <c r="N593" s="6">
        <v>605</v>
      </c>
      <c r="O593" s="6">
        <v>30000</v>
      </c>
      <c r="P593" s="6" t="s">
        <v>76</v>
      </c>
      <c r="Q593" s="6" t="s">
        <v>43</v>
      </c>
      <c r="R593" s="6">
        <v>0</v>
      </c>
      <c r="S593" s="6" t="s">
        <v>28</v>
      </c>
      <c r="T593" s="7">
        <f t="shared" si="45"/>
        <v>0.36667499999999997</v>
      </c>
      <c r="U593" s="6">
        <f t="shared" si="46"/>
        <v>2</v>
      </c>
      <c r="V593" s="5" t="str">
        <f t="shared" si="47"/>
        <v>FAIR</v>
      </c>
      <c r="W593" s="6" t="str">
        <f t="shared" si="48"/>
        <v>25-34</v>
      </c>
      <c r="X593" s="6" t="str">
        <f t="shared" si="49"/>
        <v>Low</v>
      </c>
    </row>
    <row r="594" spans="1:24">
      <c r="A594" s="6" t="s">
        <v>559</v>
      </c>
      <c r="B594" s="6" t="s">
        <v>1489</v>
      </c>
      <c r="C594" s="6" t="s">
        <v>46</v>
      </c>
      <c r="D594" s="6" t="s">
        <v>254</v>
      </c>
      <c r="E594" s="6" t="s">
        <v>255</v>
      </c>
      <c r="F594" s="6">
        <v>48</v>
      </c>
      <c r="G594" s="6" t="s">
        <v>34</v>
      </c>
      <c r="H594" s="6" t="s">
        <v>1490</v>
      </c>
      <c r="I594" s="6" t="s">
        <v>3986</v>
      </c>
      <c r="J594" s="8">
        <v>44642</v>
      </c>
      <c r="K594" s="8">
        <v>45302</v>
      </c>
      <c r="L594" s="6">
        <v>75500.399999999994</v>
      </c>
      <c r="M594" s="6">
        <v>37700.75</v>
      </c>
      <c r="N594" s="6">
        <v>710</v>
      </c>
      <c r="O594" s="6">
        <v>128000</v>
      </c>
      <c r="P594" s="6" t="s">
        <v>26</v>
      </c>
      <c r="Q594" s="6" t="s">
        <v>27</v>
      </c>
      <c r="R594" s="6">
        <v>0</v>
      </c>
      <c r="S594" s="6" t="s">
        <v>28</v>
      </c>
      <c r="T594" s="7">
        <f t="shared" si="45"/>
        <v>0.29453710937499999</v>
      </c>
      <c r="U594" s="6">
        <f t="shared" si="46"/>
        <v>4</v>
      </c>
      <c r="V594" s="5" t="str">
        <f t="shared" si="47"/>
        <v>GOOD</v>
      </c>
      <c r="W594" s="6" t="str">
        <f t="shared" si="48"/>
        <v>45-54</v>
      </c>
      <c r="X594" s="6" t="str">
        <f t="shared" si="49"/>
        <v>Upper-Middle</v>
      </c>
    </row>
    <row r="595" spans="1:24">
      <c r="A595" s="6" t="s">
        <v>562</v>
      </c>
      <c r="B595" s="6" t="s">
        <v>1491</v>
      </c>
      <c r="C595" s="6" t="s">
        <v>39</v>
      </c>
      <c r="D595" s="6" t="s">
        <v>47</v>
      </c>
      <c r="E595" s="6" t="s">
        <v>98</v>
      </c>
      <c r="F595" s="6">
        <v>62</v>
      </c>
      <c r="G595" s="6" t="s">
        <v>24</v>
      </c>
      <c r="H595" s="6" t="s">
        <v>1492</v>
      </c>
      <c r="I595" s="6" t="s">
        <v>3710</v>
      </c>
      <c r="J595" s="8">
        <v>43518</v>
      </c>
      <c r="K595" s="8">
        <v>45300</v>
      </c>
      <c r="L595" s="6">
        <v>180100.6</v>
      </c>
      <c r="M595" s="6">
        <v>94000.25</v>
      </c>
      <c r="N595" s="6">
        <v>675</v>
      </c>
      <c r="O595" s="6">
        <v>197000</v>
      </c>
      <c r="P595" s="6" t="s">
        <v>76</v>
      </c>
      <c r="Q595" s="6" t="s">
        <v>27</v>
      </c>
      <c r="R595" s="6">
        <v>0</v>
      </c>
      <c r="S595" s="6" t="s">
        <v>28</v>
      </c>
      <c r="T595" s="7">
        <f t="shared" si="45"/>
        <v>0.47715862944162435</v>
      </c>
      <c r="U595" s="6">
        <f t="shared" si="46"/>
        <v>6</v>
      </c>
      <c r="V595" s="5" t="str">
        <f t="shared" si="47"/>
        <v>GOOD</v>
      </c>
      <c r="W595" s="6" t="str">
        <f t="shared" si="48"/>
        <v>55+</v>
      </c>
      <c r="X595" s="6" t="str">
        <f t="shared" si="49"/>
        <v>High</v>
      </c>
    </row>
    <row r="596" spans="1:24">
      <c r="A596" s="6" t="s">
        <v>565</v>
      </c>
      <c r="B596" s="6" t="s">
        <v>1493</v>
      </c>
      <c r="C596" s="6" t="s">
        <v>52</v>
      </c>
      <c r="D596" s="6" t="s">
        <v>233</v>
      </c>
      <c r="E596" s="6" t="s">
        <v>234</v>
      </c>
      <c r="F596" s="6">
        <v>47</v>
      </c>
      <c r="G596" s="6" t="s">
        <v>34</v>
      </c>
      <c r="H596" s="6" t="s">
        <v>1494</v>
      </c>
      <c r="I596" s="6" t="s">
        <v>3711</v>
      </c>
      <c r="J596" s="8">
        <v>44436</v>
      </c>
      <c r="K596" s="8">
        <v>45301</v>
      </c>
      <c r="L596" s="6">
        <v>51900.75</v>
      </c>
      <c r="M596" s="6">
        <v>28800.799999999999</v>
      </c>
      <c r="N596" s="6">
        <v>725</v>
      </c>
      <c r="O596" s="6">
        <v>94000</v>
      </c>
      <c r="P596" s="6" t="s">
        <v>26</v>
      </c>
      <c r="Q596" s="6" t="s">
        <v>27</v>
      </c>
      <c r="R596" s="6">
        <v>0</v>
      </c>
      <c r="S596" s="6" t="s">
        <v>28</v>
      </c>
      <c r="T596" s="7">
        <f t="shared" si="45"/>
        <v>0.30639148936170213</v>
      </c>
      <c r="U596" s="6">
        <f t="shared" si="46"/>
        <v>5</v>
      </c>
      <c r="V596" s="5" t="str">
        <f t="shared" si="47"/>
        <v>GOOD</v>
      </c>
      <c r="W596" s="6" t="str">
        <f t="shared" si="48"/>
        <v>45-54</v>
      </c>
      <c r="X596" s="6" t="str">
        <f t="shared" si="49"/>
        <v>Lower-Middle</v>
      </c>
    </row>
    <row r="597" spans="1:24">
      <c r="A597" s="6" t="s">
        <v>568</v>
      </c>
      <c r="B597" s="6" t="s">
        <v>1495</v>
      </c>
      <c r="C597" s="6" t="s">
        <v>57</v>
      </c>
      <c r="D597" s="6" t="s">
        <v>79</v>
      </c>
      <c r="E597" s="6" t="s">
        <v>80</v>
      </c>
      <c r="F597" s="6">
        <v>45</v>
      </c>
      <c r="G597" s="6" t="s">
        <v>24</v>
      </c>
      <c r="H597" s="6" t="s">
        <v>1496</v>
      </c>
      <c r="I597" s="6" t="s">
        <v>3712</v>
      </c>
      <c r="J597" s="8">
        <v>44887</v>
      </c>
      <c r="K597" s="8">
        <v>45303</v>
      </c>
      <c r="L597" s="6">
        <v>29900.400000000001</v>
      </c>
      <c r="M597" s="6">
        <v>12000.9</v>
      </c>
      <c r="N597" s="6">
        <v>740</v>
      </c>
      <c r="O597" s="6">
        <v>80000</v>
      </c>
      <c r="P597" s="6" t="s">
        <v>36</v>
      </c>
      <c r="Q597" s="6" t="s">
        <v>27</v>
      </c>
      <c r="R597" s="6">
        <v>0</v>
      </c>
      <c r="S597" s="6" t="s">
        <v>28</v>
      </c>
      <c r="T597" s="7">
        <f t="shared" si="45"/>
        <v>0.15001124999999998</v>
      </c>
      <c r="U597" s="6">
        <f t="shared" si="46"/>
        <v>3</v>
      </c>
      <c r="V597" s="5" t="str">
        <f t="shared" si="47"/>
        <v>GOOD</v>
      </c>
      <c r="W597" s="6" t="str">
        <f t="shared" si="48"/>
        <v>45-54</v>
      </c>
      <c r="X597" s="6" t="str">
        <f t="shared" si="49"/>
        <v>Lower-Middle</v>
      </c>
    </row>
    <row r="598" spans="1:24">
      <c r="A598" s="6" t="s">
        <v>571</v>
      </c>
      <c r="B598" s="6" t="s">
        <v>1497</v>
      </c>
      <c r="C598" s="6" t="s">
        <v>21</v>
      </c>
      <c r="D598" s="6" t="s">
        <v>63</v>
      </c>
      <c r="E598" s="6" t="s">
        <v>3514</v>
      </c>
      <c r="F598" s="6">
        <v>68</v>
      </c>
      <c r="G598" s="6" t="s">
        <v>34</v>
      </c>
      <c r="H598" s="6" t="s">
        <v>1498</v>
      </c>
      <c r="I598" s="6" t="s">
        <v>3987</v>
      </c>
      <c r="J598" s="8">
        <v>43061</v>
      </c>
      <c r="K598" s="8">
        <v>45299</v>
      </c>
      <c r="L598" s="6">
        <v>269000.90000000002</v>
      </c>
      <c r="M598" s="6">
        <v>84000.6</v>
      </c>
      <c r="N598" s="6">
        <v>830</v>
      </c>
      <c r="O598" s="6">
        <v>292000</v>
      </c>
      <c r="P598" s="6" t="s">
        <v>36</v>
      </c>
      <c r="Q598" s="6" t="s">
        <v>27</v>
      </c>
      <c r="R598" s="6">
        <v>0</v>
      </c>
      <c r="S598" s="6" t="s">
        <v>28</v>
      </c>
      <c r="T598" s="7">
        <f t="shared" si="45"/>
        <v>0.2876732876712329</v>
      </c>
      <c r="U598" s="6">
        <f t="shared" si="46"/>
        <v>7</v>
      </c>
      <c r="V598" s="5" t="str">
        <f t="shared" si="47"/>
        <v>EXCEPTIONAL</v>
      </c>
      <c r="W598" s="6" t="str">
        <f t="shared" si="48"/>
        <v>55+</v>
      </c>
      <c r="X598" s="6" t="str">
        <f t="shared" si="49"/>
        <v>High</v>
      </c>
    </row>
    <row r="599" spans="1:24">
      <c r="A599" s="6" t="s">
        <v>574</v>
      </c>
      <c r="B599" s="6" t="s">
        <v>1499</v>
      </c>
      <c r="C599" s="6" t="s">
        <v>39</v>
      </c>
      <c r="D599" s="6" t="s">
        <v>68</v>
      </c>
      <c r="E599" s="6" t="s">
        <v>114</v>
      </c>
      <c r="F599" s="6">
        <v>60</v>
      </c>
      <c r="G599" s="6" t="s">
        <v>24</v>
      </c>
      <c r="H599" s="6" t="s">
        <v>1500</v>
      </c>
      <c r="I599" s="6" t="s">
        <v>3988</v>
      </c>
      <c r="J599" s="8">
        <v>43658</v>
      </c>
      <c r="K599" s="8">
        <v>45300</v>
      </c>
      <c r="L599" s="6">
        <v>157900.25</v>
      </c>
      <c r="M599" s="6">
        <v>86000.4</v>
      </c>
      <c r="N599" s="6">
        <v>655</v>
      </c>
      <c r="O599" s="6">
        <v>182000</v>
      </c>
      <c r="P599" s="6" t="s">
        <v>76</v>
      </c>
      <c r="Q599" s="6" t="s">
        <v>27</v>
      </c>
      <c r="R599" s="6">
        <v>0</v>
      </c>
      <c r="S599" s="6" t="s">
        <v>28</v>
      </c>
      <c r="T599" s="7">
        <f t="shared" si="45"/>
        <v>0.4725296703296703</v>
      </c>
      <c r="U599" s="6">
        <f t="shared" si="46"/>
        <v>6</v>
      </c>
      <c r="V599" s="5" t="str">
        <f t="shared" si="47"/>
        <v>FAIR</v>
      </c>
      <c r="W599" s="6" t="str">
        <f t="shared" si="48"/>
        <v>55+</v>
      </c>
      <c r="X599" s="6" t="str">
        <f t="shared" si="49"/>
        <v>Upper-Middle</v>
      </c>
    </row>
    <row r="600" spans="1:24">
      <c r="A600" s="6" t="s">
        <v>577</v>
      </c>
      <c r="B600" s="6" t="s">
        <v>1501</v>
      </c>
      <c r="C600" s="6" t="s">
        <v>46</v>
      </c>
      <c r="D600" s="6" t="s">
        <v>85</v>
      </c>
      <c r="E600" s="6" t="s">
        <v>162</v>
      </c>
      <c r="F600" s="6">
        <v>49</v>
      </c>
      <c r="G600" s="6" t="s">
        <v>34</v>
      </c>
      <c r="H600" s="6" t="s">
        <v>1502</v>
      </c>
      <c r="I600" s="6" t="s">
        <v>3840</v>
      </c>
      <c r="J600" s="8">
        <v>44552</v>
      </c>
      <c r="K600" s="8">
        <v>45302</v>
      </c>
      <c r="L600" s="6">
        <v>94400.6</v>
      </c>
      <c r="M600" s="6">
        <v>45700.75</v>
      </c>
      <c r="N600" s="6">
        <v>760</v>
      </c>
      <c r="O600" s="6">
        <v>151000</v>
      </c>
      <c r="P600" s="6" t="s">
        <v>26</v>
      </c>
      <c r="Q600" s="6" t="s">
        <v>27</v>
      </c>
      <c r="R600" s="6">
        <v>0</v>
      </c>
      <c r="S600" s="6" t="s">
        <v>28</v>
      </c>
      <c r="T600" s="7">
        <f t="shared" si="45"/>
        <v>0.30265397350993378</v>
      </c>
      <c r="U600" s="6">
        <f t="shared" si="46"/>
        <v>4</v>
      </c>
      <c r="V600" s="5" t="str">
        <f t="shared" si="47"/>
        <v>VERY GOOD</v>
      </c>
      <c r="W600" s="6" t="str">
        <f t="shared" si="48"/>
        <v>45-54</v>
      </c>
      <c r="X600" s="6" t="str">
        <f t="shared" si="49"/>
        <v>Upper-Middle</v>
      </c>
    </row>
    <row r="601" spans="1:24">
      <c r="A601" s="6" t="s">
        <v>458</v>
      </c>
      <c r="B601" s="6" t="s">
        <v>1503</v>
      </c>
      <c r="C601" s="6" t="s">
        <v>31</v>
      </c>
      <c r="D601" s="6" t="s">
        <v>460</v>
      </c>
      <c r="E601" s="6" t="s">
        <v>663</v>
      </c>
      <c r="F601" s="6">
        <v>40</v>
      </c>
      <c r="G601" s="6" t="s">
        <v>24</v>
      </c>
      <c r="H601" s="6" t="s">
        <v>1504</v>
      </c>
      <c r="I601" s="6" t="s">
        <v>3989</v>
      </c>
      <c r="J601" s="8">
        <v>45334</v>
      </c>
      <c r="K601" s="8">
        <v>45306</v>
      </c>
      <c r="L601" s="6">
        <v>14400.25</v>
      </c>
      <c r="M601" s="6">
        <v>8500.7999999999993</v>
      </c>
      <c r="N601" s="6">
        <v>695</v>
      </c>
      <c r="O601" s="6">
        <v>51000</v>
      </c>
      <c r="P601" s="6" t="s">
        <v>26</v>
      </c>
      <c r="Q601" s="6" t="s">
        <v>43</v>
      </c>
      <c r="R601" s="6">
        <v>0</v>
      </c>
      <c r="S601" s="6" t="s">
        <v>28</v>
      </c>
      <c r="T601" s="7">
        <f t="shared" si="45"/>
        <v>0.16668235294117645</v>
      </c>
      <c r="U601" s="6">
        <f t="shared" si="46"/>
        <v>0</v>
      </c>
      <c r="V601" s="5" t="str">
        <f t="shared" si="47"/>
        <v>GOOD</v>
      </c>
      <c r="W601" s="6" t="str">
        <f t="shared" si="48"/>
        <v>35-44</v>
      </c>
      <c r="X601" s="6" t="str">
        <f t="shared" si="49"/>
        <v>Low</v>
      </c>
    </row>
    <row r="602" spans="1:24">
      <c r="A602" s="6" t="s">
        <v>582</v>
      </c>
      <c r="B602" s="6" t="s">
        <v>1505</v>
      </c>
      <c r="C602" s="6" t="s">
        <v>57</v>
      </c>
      <c r="D602" s="6" t="s">
        <v>22</v>
      </c>
      <c r="E602" s="6" t="s">
        <v>23</v>
      </c>
      <c r="F602" s="6">
        <v>43</v>
      </c>
      <c r="G602" s="6" t="s">
        <v>34</v>
      </c>
      <c r="H602" s="6" t="s">
        <v>1506</v>
      </c>
      <c r="I602" s="6" t="s">
        <v>3990</v>
      </c>
      <c r="J602" s="8">
        <v>44826</v>
      </c>
      <c r="K602" s="8">
        <v>45303</v>
      </c>
      <c r="L602" s="6">
        <v>28800.9</v>
      </c>
      <c r="M602" s="6">
        <v>11600.25</v>
      </c>
      <c r="N602" s="6">
        <v>755</v>
      </c>
      <c r="O602" s="6">
        <v>73000</v>
      </c>
      <c r="P602" s="6" t="s">
        <v>36</v>
      </c>
      <c r="Q602" s="6" t="s">
        <v>27</v>
      </c>
      <c r="R602" s="6">
        <v>0</v>
      </c>
      <c r="S602" s="6" t="s">
        <v>28</v>
      </c>
      <c r="T602" s="7">
        <f t="shared" si="45"/>
        <v>0.15890753424657533</v>
      </c>
      <c r="U602" s="6">
        <f t="shared" si="46"/>
        <v>3</v>
      </c>
      <c r="V602" s="5" t="str">
        <f t="shared" si="47"/>
        <v>VERY GOOD</v>
      </c>
      <c r="W602" s="6" t="str">
        <f t="shared" si="48"/>
        <v>35-44</v>
      </c>
      <c r="X602" s="6" t="str">
        <f t="shared" si="49"/>
        <v>Low</v>
      </c>
    </row>
    <row r="603" spans="1:24">
      <c r="A603" s="6" t="s">
        <v>55</v>
      </c>
      <c r="B603" s="6" t="s">
        <v>1507</v>
      </c>
      <c r="C603" s="6" t="s">
        <v>39</v>
      </c>
      <c r="D603" s="6" t="s">
        <v>58</v>
      </c>
      <c r="E603" s="6" t="s">
        <v>122</v>
      </c>
      <c r="F603" s="6">
        <v>61</v>
      </c>
      <c r="G603" s="6" t="s">
        <v>24</v>
      </c>
      <c r="H603" s="6" t="s">
        <v>1508</v>
      </c>
      <c r="I603" s="6" t="s">
        <v>3718</v>
      </c>
      <c r="J603" s="8">
        <v>43583</v>
      </c>
      <c r="K603" s="8">
        <v>45300</v>
      </c>
      <c r="L603" s="6">
        <v>190800.4</v>
      </c>
      <c r="M603" s="6">
        <v>99000.75</v>
      </c>
      <c r="N603" s="6">
        <v>685</v>
      </c>
      <c r="O603" s="6">
        <v>207000</v>
      </c>
      <c r="P603" s="6" t="s">
        <v>76</v>
      </c>
      <c r="Q603" s="6" t="s">
        <v>27</v>
      </c>
      <c r="R603" s="6">
        <v>0</v>
      </c>
      <c r="S603" s="6" t="s">
        <v>28</v>
      </c>
      <c r="T603" s="7">
        <f t="shared" si="45"/>
        <v>0.4782644927536232</v>
      </c>
      <c r="U603" s="6">
        <f t="shared" si="46"/>
        <v>6</v>
      </c>
      <c r="V603" s="5" t="str">
        <f t="shared" si="47"/>
        <v>GOOD</v>
      </c>
      <c r="W603" s="6" t="str">
        <f t="shared" si="48"/>
        <v>55+</v>
      </c>
      <c r="X603" s="6" t="str">
        <f t="shared" si="49"/>
        <v>High</v>
      </c>
    </row>
    <row r="604" spans="1:24">
      <c r="A604" s="6" t="s">
        <v>469</v>
      </c>
      <c r="B604" s="6" t="s">
        <v>1509</v>
      </c>
      <c r="C604" s="6" t="s">
        <v>52</v>
      </c>
      <c r="D604" s="6" t="s">
        <v>471</v>
      </c>
      <c r="E604" s="6" t="s">
        <v>472</v>
      </c>
      <c r="F604" s="6">
        <v>52</v>
      </c>
      <c r="G604" s="6" t="s">
        <v>34</v>
      </c>
      <c r="H604" s="6" t="s">
        <v>1510</v>
      </c>
      <c r="I604" s="6" t="s">
        <v>3991</v>
      </c>
      <c r="J604" s="8">
        <v>44211</v>
      </c>
      <c r="K604" s="8">
        <v>45301</v>
      </c>
      <c r="L604" s="6">
        <v>58800.800000000003</v>
      </c>
      <c r="M604" s="6">
        <v>31900.6</v>
      </c>
      <c r="N604" s="6">
        <v>715</v>
      </c>
      <c r="O604" s="6">
        <v>106000</v>
      </c>
      <c r="P604" s="6" t="s">
        <v>26</v>
      </c>
      <c r="Q604" s="6" t="s">
        <v>27</v>
      </c>
      <c r="R604" s="6">
        <v>0</v>
      </c>
      <c r="S604" s="6" t="s">
        <v>28</v>
      </c>
      <c r="T604" s="7">
        <f t="shared" si="45"/>
        <v>0.30094905660377358</v>
      </c>
      <c r="U604" s="6">
        <f t="shared" si="46"/>
        <v>5</v>
      </c>
      <c r="V604" s="5" t="str">
        <f t="shared" si="47"/>
        <v>GOOD</v>
      </c>
      <c r="W604" s="6" t="str">
        <f t="shared" si="48"/>
        <v>45-54</v>
      </c>
      <c r="X604" s="6" t="str">
        <f t="shared" si="49"/>
        <v>Lower-Middle</v>
      </c>
    </row>
    <row r="605" spans="1:24">
      <c r="A605" s="6" t="s">
        <v>474</v>
      </c>
      <c r="B605" s="6" t="s">
        <v>1511</v>
      </c>
      <c r="C605" s="6" t="s">
        <v>46</v>
      </c>
      <c r="D605" s="6" t="s">
        <v>345</v>
      </c>
      <c r="E605" s="6" t="s">
        <v>346</v>
      </c>
      <c r="F605" s="6">
        <v>55</v>
      </c>
      <c r="G605" s="6" t="s">
        <v>24</v>
      </c>
      <c r="H605" s="6" t="s">
        <v>1512</v>
      </c>
      <c r="I605" s="6" t="s">
        <v>3720</v>
      </c>
      <c r="J605" s="8">
        <v>44126</v>
      </c>
      <c r="K605" s="8">
        <v>45302</v>
      </c>
      <c r="L605" s="6">
        <v>86600.25</v>
      </c>
      <c r="M605" s="6">
        <v>41900.400000000001</v>
      </c>
      <c r="N605" s="6">
        <v>680</v>
      </c>
      <c r="O605" s="6">
        <v>135000</v>
      </c>
      <c r="P605" s="6" t="s">
        <v>26</v>
      </c>
      <c r="Q605" s="6" t="s">
        <v>27</v>
      </c>
      <c r="R605" s="6">
        <v>0</v>
      </c>
      <c r="S605" s="6" t="s">
        <v>28</v>
      </c>
      <c r="T605" s="7">
        <f t="shared" si="45"/>
        <v>0.31037333333333333</v>
      </c>
      <c r="U605" s="6">
        <f t="shared" si="46"/>
        <v>4</v>
      </c>
      <c r="V605" s="5" t="str">
        <f t="shared" si="47"/>
        <v>GOOD</v>
      </c>
      <c r="W605" s="6" t="str">
        <f t="shared" si="48"/>
        <v>55+</v>
      </c>
      <c r="X605" s="6" t="str">
        <f t="shared" si="49"/>
        <v>Upper-Middle</v>
      </c>
    </row>
    <row r="606" spans="1:24">
      <c r="A606" s="6" t="s">
        <v>592</v>
      </c>
      <c r="B606" s="6" t="s">
        <v>1513</v>
      </c>
      <c r="C606" s="6" t="s">
        <v>84</v>
      </c>
      <c r="D606" s="6" t="s">
        <v>32</v>
      </c>
      <c r="E606" s="6" t="s">
        <v>90</v>
      </c>
      <c r="F606" s="6">
        <v>35</v>
      </c>
      <c r="G606" s="6" t="s">
        <v>34</v>
      </c>
      <c r="H606" s="6" t="s">
        <v>1514</v>
      </c>
      <c r="I606" s="6" t="s">
        <v>3721</v>
      </c>
      <c r="J606" s="8">
        <v>45350</v>
      </c>
      <c r="K606" s="8">
        <v>45304</v>
      </c>
      <c r="L606" s="6">
        <v>3150.4</v>
      </c>
      <c r="M606" s="6">
        <v>11600.75</v>
      </c>
      <c r="N606" s="6">
        <v>610</v>
      </c>
      <c r="O606" s="6">
        <v>31000</v>
      </c>
      <c r="P606" s="6" t="s">
        <v>76</v>
      </c>
      <c r="Q606" s="6" t="s">
        <v>43</v>
      </c>
      <c r="R606" s="6">
        <v>0</v>
      </c>
      <c r="S606" s="6" t="s">
        <v>28</v>
      </c>
      <c r="T606" s="7">
        <f t="shared" si="45"/>
        <v>0.37421774193548385</v>
      </c>
      <c r="U606" s="6">
        <f t="shared" si="46"/>
        <v>2</v>
      </c>
      <c r="V606" s="5" t="str">
        <f t="shared" si="47"/>
        <v>FAIR</v>
      </c>
      <c r="W606" s="6" t="str">
        <f t="shared" si="48"/>
        <v>35-44</v>
      </c>
      <c r="X606" s="6" t="str">
        <f t="shared" si="49"/>
        <v>Low</v>
      </c>
    </row>
    <row r="607" spans="1:24">
      <c r="A607" s="6" t="s">
        <v>595</v>
      </c>
      <c r="B607" s="6" t="s">
        <v>1515</v>
      </c>
      <c r="C607" s="6" t="s">
        <v>21</v>
      </c>
      <c r="D607" s="6" t="s">
        <v>209</v>
      </c>
      <c r="E607" s="6" t="s">
        <v>210</v>
      </c>
      <c r="F607" s="6">
        <v>67</v>
      </c>
      <c r="G607" s="6" t="s">
        <v>24</v>
      </c>
      <c r="H607" s="6" t="s">
        <v>1516</v>
      </c>
      <c r="I607" s="6" t="s">
        <v>3733</v>
      </c>
      <c r="J607" s="8">
        <v>43273</v>
      </c>
      <c r="K607" s="8">
        <v>45299</v>
      </c>
      <c r="L607" s="6">
        <v>288800.8</v>
      </c>
      <c r="M607" s="6">
        <v>90000.25</v>
      </c>
      <c r="N607" s="6">
        <v>825</v>
      </c>
      <c r="O607" s="6">
        <v>287000</v>
      </c>
      <c r="P607" s="6" t="s">
        <v>36</v>
      </c>
      <c r="Q607" s="6" t="s">
        <v>27</v>
      </c>
      <c r="R607" s="6">
        <v>0</v>
      </c>
      <c r="S607" s="6" t="s">
        <v>28</v>
      </c>
      <c r="T607" s="7">
        <f t="shared" si="45"/>
        <v>0.31358972125435541</v>
      </c>
      <c r="U607" s="6">
        <f t="shared" si="46"/>
        <v>7</v>
      </c>
      <c r="V607" s="5" t="str">
        <f t="shared" si="47"/>
        <v>EXCEPTIONAL</v>
      </c>
      <c r="W607" s="6" t="str">
        <f t="shared" si="48"/>
        <v>55+</v>
      </c>
      <c r="X607" s="6" t="str">
        <f t="shared" si="49"/>
        <v>High</v>
      </c>
    </row>
    <row r="608" spans="1:24">
      <c r="A608" s="6" t="s">
        <v>226</v>
      </c>
      <c r="B608" s="6" t="s">
        <v>1517</v>
      </c>
      <c r="C608" s="6" t="s">
        <v>57</v>
      </c>
      <c r="D608" s="6" t="s">
        <v>228</v>
      </c>
      <c r="E608" s="6" t="s">
        <v>229</v>
      </c>
      <c r="F608" s="6">
        <v>42</v>
      </c>
      <c r="G608" s="6" t="s">
        <v>34</v>
      </c>
      <c r="H608" s="6" t="s">
        <v>1518</v>
      </c>
      <c r="I608" s="6" t="s">
        <v>3992</v>
      </c>
      <c r="J608" s="8">
        <v>45007</v>
      </c>
      <c r="K608" s="8">
        <v>45305</v>
      </c>
      <c r="L608" s="6">
        <v>25500.75</v>
      </c>
      <c r="M608" s="6">
        <v>10000.4</v>
      </c>
      <c r="N608" s="6">
        <v>725</v>
      </c>
      <c r="O608" s="6">
        <v>63000</v>
      </c>
      <c r="P608" s="6" t="s">
        <v>36</v>
      </c>
      <c r="Q608" s="6" t="s">
        <v>27</v>
      </c>
      <c r="R608" s="6">
        <v>0</v>
      </c>
      <c r="S608" s="6" t="s">
        <v>28</v>
      </c>
      <c r="T608" s="7">
        <f t="shared" si="45"/>
        <v>0.15873650793650793</v>
      </c>
      <c r="U608" s="6">
        <f t="shared" si="46"/>
        <v>1</v>
      </c>
      <c r="V608" s="5" t="str">
        <f t="shared" si="47"/>
        <v>GOOD</v>
      </c>
      <c r="W608" s="6" t="str">
        <f t="shared" si="48"/>
        <v>35-44</v>
      </c>
      <c r="X608" s="6" t="str">
        <f t="shared" si="49"/>
        <v>Low</v>
      </c>
    </row>
    <row r="609" spans="1:24">
      <c r="A609" s="6" t="s">
        <v>488</v>
      </c>
      <c r="B609" s="6" t="s">
        <v>1519</v>
      </c>
      <c r="C609" s="6" t="s">
        <v>39</v>
      </c>
      <c r="D609" s="6" t="s">
        <v>304</v>
      </c>
      <c r="E609" s="6" t="s">
        <v>304</v>
      </c>
      <c r="F609" s="6">
        <v>59</v>
      </c>
      <c r="G609" s="6" t="s">
        <v>24</v>
      </c>
      <c r="H609" s="6" t="s">
        <v>1520</v>
      </c>
      <c r="I609" s="6" t="s">
        <v>3993</v>
      </c>
      <c r="J609" s="8">
        <v>43746</v>
      </c>
      <c r="K609" s="8">
        <v>45300</v>
      </c>
      <c r="L609" s="6">
        <v>169000.6</v>
      </c>
      <c r="M609" s="6">
        <v>90000.9</v>
      </c>
      <c r="N609" s="6">
        <v>675</v>
      </c>
      <c r="O609" s="6">
        <v>187000</v>
      </c>
      <c r="P609" s="6" t="s">
        <v>76</v>
      </c>
      <c r="Q609" s="6" t="s">
        <v>27</v>
      </c>
      <c r="R609" s="6">
        <v>0</v>
      </c>
      <c r="S609" s="6" t="s">
        <v>28</v>
      </c>
      <c r="T609" s="7">
        <f t="shared" si="45"/>
        <v>0.48128823529411763</v>
      </c>
      <c r="U609" s="6">
        <f t="shared" si="46"/>
        <v>6</v>
      </c>
      <c r="V609" s="5" t="str">
        <f t="shared" si="47"/>
        <v>GOOD</v>
      </c>
      <c r="W609" s="6" t="str">
        <f t="shared" si="48"/>
        <v>55+</v>
      </c>
      <c r="X609" s="6" t="str">
        <f t="shared" si="49"/>
        <v>Upper-Middle</v>
      </c>
    </row>
    <row r="610" spans="1:24">
      <c r="A610" s="6" t="s">
        <v>491</v>
      </c>
      <c r="B610" s="6" t="s">
        <v>1521</v>
      </c>
      <c r="C610" s="6" t="s">
        <v>52</v>
      </c>
      <c r="D610" s="6" t="s">
        <v>493</v>
      </c>
      <c r="E610" s="6" t="s">
        <v>494</v>
      </c>
      <c r="F610" s="6">
        <v>50</v>
      </c>
      <c r="G610" s="6" t="s">
        <v>34</v>
      </c>
      <c r="H610" s="6" t="s">
        <v>1522</v>
      </c>
      <c r="I610" s="6" t="s">
        <v>3994</v>
      </c>
      <c r="J610" s="8">
        <v>44522</v>
      </c>
      <c r="K610" s="8">
        <v>45302</v>
      </c>
      <c r="L610" s="6">
        <v>53000.4</v>
      </c>
      <c r="M610" s="6">
        <v>27700.25</v>
      </c>
      <c r="N610" s="6">
        <v>705</v>
      </c>
      <c r="O610" s="6">
        <v>95000</v>
      </c>
      <c r="P610" s="6" t="s">
        <v>26</v>
      </c>
      <c r="Q610" s="6" t="s">
        <v>27</v>
      </c>
      <c r="R610" s="6">
        <v>0</v>
      </c>
      <c r="S610" s="6" t="s">
        <v>28</v>
      </c>
      <c r="T610" s="7">
        <f t="shared" si="45"/>
        <v>0.29158157894736841</v>
      </c>
      <c r="U610" s="6">
        <f t="shared" si="46"/>
        <v>4</v>
      </c>
      <c r="V610" s="5" t="str">
        <f t="shared" si="47"/>
        <v>GOOD</v>
      </c>
      <c r="W610" s="6" t="str">
        <f t="shared" si="48"/>
        <v>45-54</v>
      </c>
      <c r="X610" s="6" t="str">
        <f t="shared" si="49"/>
        <v>Lower-Middle</v>
      </c>
    </row>
    <row r="611" spans="1:24">
      <c r="A611" s="6" t="s">
        <v>496</v>
      </c>
      <c r="B611" s="6" t="s">
        <v>1523</v>
      </c>
      <c r="C611" s="6" t="s">
        <v>46</v>
      </c>
      <c r="D611" s="6" t="s">
        <v>321</v>
      </c>
      <c r="E611" s="6" t="s">
        <v>498</v>
      </c>
      <c r="F611" s="6">
        <v>53</v>
      </c>
      <c r="G611" s="6" t="s">
        <v>24</v>
      </c>
      <c r="H611" s="6" t="s">
        <v>1524</v>
      </c>
      <c r="I611" s="6" t="s">
        <v>3995</v>
      </c>
      <c r="J611" s="8">
        <v>44004</v>
      </c>
      <c r="K611" s="8">
        <v>45301</v>
      </c>
      <c r="L611" s="6">
        <v>99900.75</v>
      </c>
      <c r="M611" s="6">
        <v>48800.800000000003</v>
      </c>
      <c r="N611" s="6">
        <v>730</v>
      </c>
      <c r="O611" s="6">
        <v>161000</v>
      </c>
      <c r="P611" s="6" t="s">
        <v>26</v>
      </c>
      <c r="Q611" s="6" t="s">
        <v>27</v>
      </c>
      <c r="R611" s="6">
        <v>0</v>
      </c>
      <c r="S611" s="6" t="s">
        <v>28</v>
      </c>
      <c r="T611" s="7">
        <f t="shared" si="45"/>
        <v>0.3031105590062112</v>
      </c>
      <c r="U611" s="6">
        <f t="shared" si="46"/>
        <v>5</v>
      </c>
      <c r="V611" s="5" t="str">
        <f t="shared" si="47"/>
        <v>GOOD</v>
      </c>
      <c r="W611" s="6" t="str">
        <f t="shared" si="48"/>
        <v>45-54</v>
      </c>
      <c r="X611" s="6" t="str">
        <f t="shared" si="49"/>
        <v>Upper-Middle</v>
      </c>
    </row>
    <row r="612" spans="1:24">
      <c r="A612" s="6" t="s">
        <v>324</v>
      </c>
      <c r="B612" s="6" t="s">
        <v>1525</v>
      </c>
      <c r="C612" s="6" t="s">
        <v>31</v>
      </c>
      <c r="D612" s="6" t="s">
        <v>313</v>
      </c>
      <c r="E612" s="6" t="s">
        <v>385</v>
      </c>
      <c r="F612" s="6">
        <v>38</v>
      </c>
      <c r="G612" s="6" t="s">
        <v>34</v>
      </c>
      <c r="H612" s="6" t="s">
        <v>1526</v>
      </c>
      <c r="I612" s="6" t="s">
        <v>3996</v>
      </c>
      <c r="J612" s="8">
        <v>45344</v>
      </c>
      <c r="K612" s="8">
        <v>45306</v>
      </c>
      <c r="L612" s="6">
        <v>12600.9</v>
      </c>
      <c r="M612" s="6">
        <v>7700.75</v>
      </c>
      <c r="N612" s="6">
        <v>685</v>
      </c>
      <c r="O612" s="6">
        <v>48000</v>
      </c>
      <c r="P612" s="6" t="s">
        <v>26</v>
      </c>
      <c r="Q612" s="6" t="s">
        <v>43</v>
      </c>
      <c r="R612" s="6">
        <v>0</v>
      </c>
      <c r="S612" s="6" t="s">
        <v>28</v>
      </c>
      <c r="T612" s="7">
        <f t="shared" si="45"/>
        <v>0.16043229166666667</v>
      </c>
      <c r="U612" s="6">
        <f t="shared" si="46"/>
        <v>0</v>
      </c>
      <c r="V612" s="5" t="str">
        <f t="shared" si="47"/>
        <v>GOOD</v>
      </c>
      <c r="W612" s="6" t="str">
        <f t="shared" si="48"/>
        <v>35-44</v>
      </c>
      <c r="X612" s="6" t="str">
        <f t="shared" si="49"/>
        <v>Low</v>
      </c>
    </row>
    <row r="613" spans="1:24">
      <c r="A613" s="6" t="s">
        <v>503</v>
      </c>
      <c r="B613" s="6" t="s">
        <v>1527</v>
      </c>
      <c r="C613" s="6" t="s">
        <v>21</v>
      </c>
      <c r="D613" s="6" t="s">
        <v>32</v>
      </c>
      <c r="E613" s="6" t="s">
        <v>33</v>
      </c>
      <c r="F613" s="6">
        <v>70</v>
      </c>
      <c r="G613" s="6" t="s">
        <v>24</v>
      </c>
      <c r="H613" s="6" t="s">
        <v>1528</v>
      </c>
      <c r="I613" s="6" t="s">
        <v>3728</v>
      </c>
      <c r="J613" s="8">
        <v>43000</v>
      </c>
      <c r="K613" s="8">
        <v>45299</v>
      </c>
      <c r="L613" s="6">
        <v>299700.25</v>
      </c>
      <c r="M613" s="6">
        <v>94000.4</v>
      </c>
      <c r="N613" s="6">
        <v>840</v>
      </c>
      <c r="O613" s="6">
        <v>302000</v>
      </c>
      <c r="P613" s="6" t="s">
        <v>36</v>
      </c>
      <c r="Q613" s="6" t="s">
        <v>27</v>
      </c>
      <c r="R613" s="6">
        <v>0</v>
      </c>
      <c r="S613" s="6" t="s">
        <v>28</v>
      </c>
      <c r="T613" s="7">
        <f t="shared" si="45"/>
        <v>0.31125960264900659</v>
      </c>
      <c r="U613" s="6">
        <f t="shared" si="46"/>
        <v>7</v>
      </c>
      <c r="V613" s="5" t="str">
        <f t="shared" si="47"/>
        <v>EXCEPTIONAL</v>
      </c>
      <c r="W613" s="6" t="str">
        <f t="shared" si="48"/>
        <v>55+</v>
      </c>
      <c r="X613" s="6" t="str">
        <f t="shared" si="49"/>
        <v>High</v>
      </c>
    </row>
    <row r="614" spans="1:24">
      <c r="A614" s="6" t="s">
        <v>506</v>
      </c>
      <c r="B614" s="6" t="s">
        <v>1529</v>
      </c>
      <c r="C614" s="6" t="s">
        <v>39</v>
      </c>
      <c r="D614" s="6" t="s">
        <v>68</v>
      </c>
      <c r="E614" s="6" t="s">
        <v>69</v>
      </c>
      <c r="F614" s="6">
        <v>62</v>
      </c>
      <c r="G614" s="6" t="s">
        <v>34</v>
      </c>
      <c r="H614" s="6" t="s">
        <v>1530</v>
      </c>
      <c r="I614" s="6" t="s">
        <v>3967</v>
      </c>
      <c r="J614" s="8">
        <v>43518</v>
      </c>
      <c r="K614" s="8">
        <v>45300</v>
      </c>
      <c r="L614" s="6">
        <v>180100.4</v>
      </c>
      <c r="M614" s="6">
        <v>94000.75</v>
      </c>
      <c r="N614" s="6">
        <v>650</v>
      </c>
      <c r="O614" s="6">
        <v>197000</v>
      </c>
      <c r="P614" s="6" t="s">
        <v>76</v>
      </c>
      <c r="Q614" s="6" t="s">
        <v>27</v>
      </c>
      <c r="R614" s="6">
        <v>0</v>
      </c>
      <c r="S614" s="6" t="s">
        <v>28</v>
      </c>
      <c r="T614" s="7">
        <f t="shared" si="45"/>
        <v>0.47716116751269033</v>
      </c>
      <c r="U614" s="6">
        <f t="shared" si="46"/>
        <v>6</v>
      </c>
      <c r="V614" s="5" t="str">
        <f t="shared" si="47"/>
        <v>FAIR</v>
      </c>
      <c r="W614" s="6" t="str">
        <f t="shared" si="48"/>
        <v>55+</v>
      </c>
      <c r="X614" s="6" t="str">
        <f t="shared" si="49"/>
        <v>High</v>
      </c>
    </row>
    <row r="615" spans="1:24">
      <c r="A615" s="6" t="s">
        <v>509</v>
      </c>
      <c r="B615" s="6" t="s">
        <v>1531</v>
      </c>
      <c r="C615" s="6" t="s">
        <v>46</v>
      </c>
      <c r="D615" s="6" t="s">
        <v>73</v>
      </c>
      <c r="E615" s="6" t="s">
        <v>74</v>
      </c>
      <c r="F615" s="6">
        <v>49</v>
      </c>
      <c r="G615" s="6" t="s">
        <v>24</v>
      </c>
      <c r="H615" s="6" t="s">
        <v>1532</v>
      </c>
      <c r="I615" s="6" t="s">
        <v>3997</v>
      </c>
      <c r="J615" s="8">
        <v>44740</v>
      </c>
      <c r="K615" s="8">
        <v>45303</v>
      </c>
      <c r="L615" s="6">
        <v>87700.4</v>
      </c>
      <c r="M615" s="6">
        <v>43000.25</v>
      </c>
      <c r="N615" s="6">
        <v>745</v>
      </c>
      <c r="O615" s="6">
        <v>141000</v>
      </c>
      <c r="P615" s="6" t="s">
        <v>26</v>
      </c>
      <c r="Q615" s="6" t="s">
        <v>27</v>
      </c>
      <c r="R615" s="6">
        <v>0</v>
      </c>
      <c r="S615" s="6" t="s">
        <v>28</v>
      </c>
      <c r="T615" s="7">
        <f t="shared" si="45"/>
        <v>0.30496631205673758</v>
      </c>
      <c r="U615" s="6">
        <f t="shared" si="46"/>
        <v>3</v>
      </c>
      <c r="V615" s="5" t="str">
        <f t="shared" si="47"/>
        <v>GOOD</v>
      </c>
      <c r="W615" s="6" t="str">
        <f t="shared" si="48"/>
        <v>45-54</v>
      </c>
      <c r="X615" s="6" t="str">
        <f t="shared" si="49"/>
        <v>Upper-Middle</v>
      </c>
    </row>
    <row r="616" spans="1:24">
      <c r="A616" s="6" t="s">
        <v>513</v>
      </c>
      <c r="B616" s="6" t="s">
        <v>1533</v>
      </c>
      <c r="C616" s="6" t="s">
        <v>57</v>
      </c>
      <c r="D616" s="6" t="s">
        <v>58</v>
      </c>
      <c r="E616" s="6" t="s">
        <v>59</v>
      </c>
      <c r="F616" s="6">
        <v>44</v>
      </c>
      <c r="G616" s="6" t="s">
        <v>34</v>
      </c>
      <c r="H616" s="6" t="s">
        <v>1534</v>
      </c>
      <c r="I616" s="6" t="s">
        <v>3730</v>
      </c>
      <c r="J616" s="8">
        <v>44917</v>
      </c>
      <c r="K616" s="8">
        <v>45302</v>
      </c>
      <c r="L616" s="6">
        <v>27700.799999999999</v>
      </c>
      <c r="M616" s="6">
        <v>11200.9</v>
      </c>
      <c r="N616" s="6">
        <v>765</v>
      </c>
      <c r="O616" s="6">
        <v>73000</v>
      </c>
      <c r="P616" s="6" t="s">
        <v>36</v>
      </c>
      <c r="Q616" s="6" t="s">
        <v>27</v>
      </c>
      <c r="R616" s="6">
        <v>0</v>
      </c>
      <c r="S616" s="6" t="s">
        <v>28</v>
      </c>
      <c r="T616" s="7">
        <f t="shared" si="45"/>
        <v>0.15343698630136987</v>
      </c>
      <c r="U616" s="6">
        <f t="shared" si="46"/>
        <v>4</v>
      </c>
      <c r="V616" s="5" t="str">
        <f t="shared" si="47"/>
        <v>VERY GOOD</v>
      </c>
      <c r="W616" s="6" t="str">
        <f t="shared" si="48"/>
        <v>35-44</v>
      </c>
      <c r="X616" s="6" t="str">
        <f t="shared" si="49"/>
        <v>Low</v>
      </c>
    </row>
    <row r="617" spans="1:24">
      <c r="A617" s="6" t="s">
        <v>516</v>
      </c>
      <c r="B617" s="6" t="s">
        <v>1535</v>
      </c>
      <c r="C617" s="6" t="s">
        <v>52</v>
      </c>
      <c r="D617" s="6" t="s">
        <v>277</v>
      </c>
      <c r="E617" s="6" t="s">
        <v>404</v>
      </c>
      <c r="F617" s="6">
        <v>57</v>
      </c>
      <c r="G617" s="6" t="s">
        <v>24</v>
      </c>
      <c r="H617" s="6" t="s">
        <v>1536</v>
      </c>
      <c r="I617" s="6" t="s">
        <v>3664</v>
      </c>
      <c r="J617" s="8">
        <v>44187</v>
      </c>
      <c r="K617" s="8">
        <v>45301</v>
      </c>
      <c r="L617" s="6">
        <v>61000.75</v>
      </c>
      <c r="M617" s="6">
        <v>34100.400000000001</v>
      </c>
      <c r="N617" s="6">
        <v>675</v>
      </c>
      <c r="O617" s="6">
        <v>113000</v>
      </c>
      <c r="P617" s="6" t="s">
        <v>26</v>
      </c>
      <c r="Q617" s="6" t="s">
        <v>27</v>
      </c>
      <c r="R617" s="6">
        <v>0</v>
      </c>
      <c r="S617" s="6" t="s">
        <v>28</v>
      </c>
      <c r="T617" s="7">
        <f t="shared" si="45"/>
        <v>0.30177345132743366</v>
      </c>
      <c r="U617" s="6">
        <f t="shared" si="46"/>
        <v>5</v>
      </c>
      <c r="V617" s="5" t="str">
        <f t="shared" si="47"/>
        <v>GOOD</v>
      </c>
      <c r="W617" s="6" t="str">
        <f t="shared" si="48"/>
        <v>55+</v>
      </c>
      <c r="X617" s="6" t="str">
        <f t="shared" si="49"/>
        <v>Lower-Middle</v>
      </c>
    </row>
    <row r="618" spans="1:24">
      <c r="A618" s="6" t="s">
        <v>519</v>
      </c>
      <c r="B618" s="6" t="s">
        <v>1537</v>
      </c>
      <c r="C618" s="6" t="s">
        <v>84</v>
      </c>
      <c r="D618" s="6" t="s">
        <v>183</v>
      </c>
      <c r="E618" s="6" t="s">
        <v>184</v>
      </c>
      <c r="F618" s="6">
        <v>36</v>
      </c>
      <c r="G618" s="6" t="s">
        <v>34</v>
      </c>
      <c r="H618" s="6" t="s">
        <v>1538</v>
      </c>
      <c r="I618" s="6" t="s">
        <v>3732</v>
      </c>
      <c r="J618" s="8">
        <v>45356</v>
      </c>
      <c r="K618" s="8">
        <v>45304</v>
      </c>
      <c r="L618" s="6">
        <v>3400.25</v>
      </c>
      <c r="M618" s="6">
        <v>12800.6</v>
      </c>
      <c r="N618" s="6">
        <v>615</v>
      </c>
      <c r="O618" s="6">
        <v>33000</v>
      </c>
      <c r="P618" s="6" t="s">
        <v>76</v>
      </c>
      <c r="Q618" s="6" t="s">
        <v>43</v>
      </c>
      <c r="R618" s="6">
        <v>0</v>
      </c>
      <c r="S618" s="6" t="s">
        <v>28</v>
      </c>
      <c r="T618" s="7">
        <f t="shared" si="45"/>
        <v>0.38789696969696968</v>
      </c>
      <c r="U618" s="6">
        <f t="shared" si="46"/>
        <v>2</v>
      </c>
      <c r="V618" s="5" t="str">
        <f t="shared" si="47"/>
        <v>FAIR</v>
      </c>
      <c r="W618" s="6" t="str">
        <f t="shared" si="48"/>
        <v>35-44</v>
      </c>
      <c r="X618" s="6" t="str">
        <f t="shared" si="49"/>
        <v>Low</v>
      </c>
    </row>
    <row r="619" spans="1:24">
      <c r="A619" s="6" t="s">
        <v>522</v>
      </c>
      <c r="B619" s="6" t="s">
        <v>1539</v>
      </c>
      <c r="C619" s="6" t="s">
        <v>39</v>
      </c>
      <c r="D619" s="6" t="s">
        <v>40</v>
      </c>
      <c r="E619" s="6" t="s">
        <v>41</v>
      </c>
      <c r="F619" s="6">
        <v>64</v>
      </c>
      <c r="G619" s="6" t="s">
        <v>24</v>
      </c>
      <c r="H619" s="6" t="s">
        <v>1540</v>
      </c>
      <c r="I619" s="6" t="s">
        <v>3510</v>
      </c>
      <c r="J619" s="8">
        <v>43487</v>
      </c>
      <c r="K619" s="8">
        <v>45299</v>
      </c>
      <c r="L619" s="6">
        <v>214700.79999999999</v>
      </c>
      <c r="M619" s="6">
        <v>107000.25</v>
      </c>
      <c r="N619" s="6">
        <v>660</v>
      </c>
      <c r="O619" s="6">
        <v>232000</v>
      </c>
      <c r="P619" s="6" t="s">
        <v>76</v>
      </c>
      <c r="Q619" s="6" t="s">
        <v>27</v>
      </c>
      <c r="R619" s="6">
        <v>0</v>
      </c>
      <c r="S619" s="6" t="s">
        <v>28</v>
      </c>
      <c r="T619" s="7">
        <f t="shared" si="45"/>
        <v>0.46120797413793102</v>
      </c>
      <c r="U619" s="6">
        <f t="shared" si="46"/>
        <v>7</v>
      </c>
      <c r="V619" s="5" t="str">
        <f t="shared" si="47"/>
        <v>FAIR</v>
      </c>
      <c r="W619" s="6" t="str">
        <f t="shared" si="48"/>
        <v>55+</v>
      </c>
      <c r="X619" s="6" t="str">
        <f t="shared" si="49"/>
        <v>High</v>
      </c>
    </row>
    <row r="620" spans="1:24">
      <c r="A620" s="6" t="s">
        <v>306</v>
      </c>
      <c r="B620" s="6" t="s">
        <v>1541</v>
      </c>
      <c r="C620" s="6" t="s">
        <v>46</v>
      </c>
      <c r="D620" s="6" t="s">
        <v>209</v>
      </c>
      <c r="E620" s="6" t="s">
        <v>447</v>
      </c>
      <c r="F620" s="6">
        <v>51</v>
      </c>
      <c r="G620" s="6" t="s">
        <v>34</v>
      </c>
      <c r="H620" s="6" t="s">
        <v>1542</v>
      </c>
      <c r="I620" s="6" t="s">
        <v>3998</v>
      </c>
      <c r="J620" s="8">
        <v>44338</v>
      </c>
      <c r="K620" s="8">
        <v>45302</v>
      </c>
      <c r="L620" s="6">
        <v>82100.899999999994</v>
      </c>
      <c r="M620" s="6">
        <v>39900.75</v>
      </c>
      <c r="N620" s="6">
        <v>730</v>
      </c>
      <c r="O620" s="6">
        <v>136000</v>
      </c>
      <c r="P620" s="6" t="s">
        <v>26</v>
      </c>
      <c r="Q620" s="6" t="s">
        <v>27</v>
      </c>
      <c r="R620" s="6">
        <v>0</v>
      </c>
      <c r="S620" s="6" t="s">
        <v>28</v>
      </c>
      <c r="T620" s="7">
        <f t="shared" si="45"/>
        <v>0.29338786764705882</v>
      </c>
      <c r="U620" s="6">
        <f t="shared" si="46"/>
        <v>4</v>
      </c>
      <c r="V620" s="5" t="str">
        <f t="shared" si="47"/>
        <v>GOOD</v>
      </c>
      <c r="W620" s="6" t="str">
        <f t="shared" si="48"/>
        <v>45-54</v>
      </c>
      <c r="X620" s="6" t="str">
        <f t="shared" si="49"/>
        <v>Upper-Middle</v>
      </c>
    </row>
    <row r="621" spans="1:24">
      <c r="A621" s="6" t="s">
        <v>527</v>
      </c>
      <c r="B621" s="6" t="s">
        <v>1543</v>
      </c>
      <c r="C621" s="6" t="s">
        <v>31</v>
      </c>
      <c r="D621" s="6" t="s">
        <v>32</v>
      </c>
      <c r="E621" s="6" t="s">
        <v>90</v>
      </c>
      <c r="F621" s="6">
        <v>40</v>
      </c>
      <c r="G621" s="6" t="s">
        <v>34</v>
      </c>
      <c r="H621" s="6" t="s">
        <v>1544</v>
      </c>
      <c r="I621" s="6" t="s">
        <v>3644</v>
      </c>
      <c r="J621" s="8">
        <v>45344</v>
      </c>
      <c r="K621" s="8">
        <v>45305</v>
      </c>
      <c r="L621" s="6">
        <v>13700.4</v>
      </c>
      <c r="M621" s="6">
        <v>7800.25</v>
      </c>
      <c r="N621" s="6">
        <v>705</v>
      </c>
      <c r="O621" s="6">
        <v>50000</v>
      </c>
      <c r="P621" s="6" t="s">
        <v>26</v>
      </c>
      <c r="Q621" s="6" t="s">
        <v>43</v>
      </c>
      <c r="R621" s="6">
        <v>0</v>
      </c>
      <c r="S621" s="6" t="s">
        <v>28</v>
      </c>
      <c r="T621" s="7">
        <f t="shared" si="45"/>
        <v>0.156005</v>
      </c>
      <c r="U621" s="6">
        <f t="shared" si="46"/>
        <v>1</v>
      </c>
      <c r="V621" s="5" t="str">
        <f t="shared" si="47"/>
        <v>GOOD</v>
      </c>
      <c r="W621" s="6" t="str">
        <f t="shared" si="48"/>
        <v>35-44</v>
      </c>
      <c r="X621" s="6" t="str">
        <f t="shared" si="49"/>
        <v>Low</v>
      </c>
    </row>
    <row r="622" spans="1:24">
      <c r="A622" s="6" t="s">
        <v>530</v>
      </c>
      <c r="B622" s="6" t="s">
        <v>1545</v>
      </c>
      <c r="C622" s="6" t="s">
        <v>57</v>
      </c>
      <c r="D622" s="6" t="s">
        <v>219</v>
      </c>
      <c r="E622" s="6" t="s">
        <v>220</v>
      </c>
      <c r="F622" s="6">
        <v>45</v>
      </c>
      <c r="G622" s="6" t="s">
        <v>24</v>
      </c>
      <c r="H622" s="6" t="s">
        <v>1546</v>
      </c>
      <c r="I622" s="6" t="s">
        <v>3999</v>
      </c>
      <c r="J622" s="8">
        <v>44887</v>
      </c>
      <c r="K622" s="8">
        <v>45303</v>
      </c>
      <c r="L622" s="6">
        <v>26600.6</v>
      </c>
      <c r="M622" s="6">
        <v>10600.8</v>
      </c>
      <c r="N622" s="6">
        <v>710</v>
      </c>
      <c r="O622" s="6">
        <v>66000</v>
      </c>
      <c r="P622" s="6" t="s">
        <v>36</v>
      </c>
      <c r="Q622" s="6" t="s">
        <v>27</v>
      </c>
      <c r="R622" s="6">
        <v>0</v>
      </c>
      <c r="S622" s="6" t="s">
        <v>28</v>
      </c>
      <c r="T622" s="7">
        <f t="shared" si="45"/>
        <v>0.1606181818181818</v>
      </c>
      <c r="U622" s="6">
        <f t="shared" si="46"/>
        <v>3</v>
      </c>
      <c r="V622" s="5" t="str">
        <f t="shared" si="47"/>
        <v>GOOD</v>
      </c>
      <c r="W622" s="6" t="str">
        <f t="shared" si="48"/>
        <v>45-54</v>
      </c>
      <c r="X622" s="6" t="str">
        <f t="shared" si="49"/>
        <v>Low</v>
      </c>
    </row>
    <row r="623" spans="1:24">
      <c r="A623" s="6" t="s">
        <v>533</v>
      </c>
      <c r="B623" s="6" t="s">
        <v>1547</v>
      </c>
      <c r="C623" s="6" t="s">
        <v>52</v>
      </c>
      <c r="D623" s="6" t="s">
        <v>204</v>
      </c>
      <c r="E623" s="6" t="s">
        <v>259</v>
      </c>
      <c r="F623" s="6">
        <v>52</v>
      </c>
      <c r="G623" s="6" t="s">
        <v>34</v>
      </c>
      <c r="H623" s="6" t="s">
        <v>1548</v>
      </c>
      <c r="I623" s="6" t="s">
        <v>3735</v>
      </c>
      <c r="J623" s="8">
        <v>44187</v>
      </c>
      <c r="K623" s="8">
        <v>45301</v>
      </c>
      <c r="L623" s="6">
        <v>57900.25</v>
      </c>
      <c r="M623" s="6">
        <v>31000.9</v>
      </c>
      <c r="N623" s="6">
        <v>695</v>
      </c>
      <c r="O623" s="6">
        <v>101000</v>
      </c>
      <c r="P623" s="6" t="s">
        <v>26</v>
      </c>
      <c r="Q623" s="6" t="s">
        <v>27</v>
      </c>
      <c r="R623" s="6">
        <v>0</v>
      </c>
      <c r="S623" s="6" t="s">
        <v>28</v>
      </c>
      <c r="T623" s="7">
        <f t="shared" si="45"/>
        <v>0.30693960396039605</v>
      </c>
      <c r="U623" s="6">
        <f t="shared" si="46"/>
        <v>5</v>
      </c>
      <c r="V623" s="5" t="str">
        <f t="shared" si="47"/>
        <v>GOOD</v>
      </c>
      <c r="W623" s="6" t="str">
        <f t="shared" si="48"/>
        <v>45-54</v>
      </c>
      <c r="X623" s="6" t="str">
        <f t="shared" si="49"/>
        <v>Lower-Middle</v>
      </c>
    </row>
    <row r="624" spans="1:24">
      <c r="A624" s="6" t="s">
        <v>536</v>
      </c>
      <c r="B624" s="6" t="s">
        <v>1549</v>
      </c>
      <c r="C624" s="6" t="s">
        <v>39</v>
      </c>
      <c r="D624" s="6" t="s">
        <v>195</v>
      </c>
      <c r="E624" s="6" t="s">
        <v>300</v>
      </c>
      <c r="F624" s="6">
        <v>60</v>
      </c>
      <c r="G624" s="6" t="s">
        <v>24</v>
      </c>
      <c r="H624" s="6" t="s">
        <v>1550</v>
      </c>
      <c r="I624" s="6" t="s">
        <v>4000</v>
      </c>
      <c r="J624" s="8">
        <v>43638</v>
      </c>
      <c r="K624" s="8">
        <v>45300</v>
      </c>
      <c r="L624" s="6">
        <v>146900.4</v>
      </c>
      <c r="M624" s="6">
        <v>81000.600000000006</v>
      </c>
      <c r="N624" s="6">
        <v>670</v>
      </c>
      <c r="O624" s="6">
        <v>168000</v>
      </c>
      <c r="P624" s="6" t="s">
        <v>76</v>
      </c>
      <c r="Q624" s="6" t="s">
        <v>27</v>
      </c>
      <c r="R624" s="6">
        <v>0</v>
      </c>
      <c r="S624" s="6" t="s">
        <v>28</v>
      </c>
      <c r="T624" s="7">
        <f t="shared" si="45"/>
        <v>0.48214642857142859</v>
      </c>
      <c r="U624" s="6">
        <f t="shared" si="46"/>
        <v>6</v>
      </c>
      <c r="V624" s="5" t="str">
        <f t="shared" si="47"/>
        <v>GOOD</v>
      </c>
      <c r="W624" s="6" t="str">
        <f t="shared" si="48"/>
        <v>55+</v>
      </c>
      <c r="X624" s="6" t="str">
        <f t="shared" si="49"/>
        <v>Upper-Middle</v>
      </c>
    </row>
    <row r="625" spans="1:24">
      <c r="A625" s="6" t="s">
        <v>539</v>
      </c>
      <c r="B625" s="6" t="s">
        <v>1551</v>
      </c>
      <c r="C625" s="6" t="s">
        <v>21</v>
      </c>
      <c r="D625" s="6" t="s">
        <v>58</v>
      </c>
      <c r="E625" s="6" t="s">
        <v>59</v>
      </c>
      <c r="F625" s="6">
        <v>68</v>
      </c>
      <c r="G625" s="6" t="s">
        <v>34</v>
      </c>
      <c r="H625" s="6" t="s">
        <v>1552</v>
      </c>
      <c r="I625" s="6" t="s">
        <v>3737</v>
      </c>
      <c r="J625" s="8">
        <v>43218</v>
      </c>
      <c r="K625" s="8">
        <v>45299</v>
      </c>
      <c r="L625" s="6">
        <v>313800.75</v>
      </c>
      <c r="M625" s="6">
        <v>98000.8</v>
      </c>
      <c r="N625" s="6">
        <v>835</v>
      </c>
      <c r="O625" s="6">
        <v>313000</v>
      </c>
      <c r="P625" s="6" t="s">
        <v>36</v>
      </c>
      <c r="Q625" s="6" t="s">
        <v>27</v>
      </c>
      <c r="R625" s="6">
        <v>0</v>
      </c>
      <c r="S625" s="6" t="s">
        <v>28</v>
      </c>
      <c r="T625" s="7">
        <f t="shared" si="45"/>
        <v>0.31310159744408944</v>
      </c>
      <c r="U625" s="6">
        <f t="shared" si="46"/>
        <v>7</v>
      </c>
      <c r="V625" s="5" t="str">
        <f t="shared" si="47"/>
        <v>EXCEPTIONAL</v>
      </c>
      <c r="W625" s="6" t="str">
        <f t="shared" si="48"/>
        <v>55+</v>
      </c>
      <c r="X625" s="6" t="str">
        <f t="shared" si="49"/>
        <v>High</v>
      </c>
    </row>
    <row r="626" spans="1:24">
      <c r="A626" s="6" t="s">
        <v>542</v>
      </c>
      <c r="B626" s="6" t="s">
        <v>1553</v>
      </c>
      <c r="C626" s="6" t="s">
        <v>52</v>
      </c>
      <c r="D626" s="6" t="s">
        <v>68</v>
      </c>
      <c r="E626" s="6" t="s">
        <v>179</v>
      </c>
      <c r="F626" s="6">
        <v>55</v>
      </c>
      <c r="G626" s="6" t="s">
        <v>34</v>
      </c>
      <c r="H626" s="6" t="s">
        <v>1554</v>
      </c>
      <c r="I626" s="6" t="s">
        <v>3988</v>
      </c>
      <c r="J626" s="8">
        <v>44157</v>
      </c>
      <c r="K626" s="8">
        <v>45302</v>
      </c>
      <c r="L626" s="6">
        <v>66600.600000000006</v>
      </c>
      <c r="M626" s="6">
        <v>36600.25</v>
      </c>
      <c r="N626" s="6">
        <v>665</v>
      </c>
      <c r="O626" s="6">
        <v>121000</v>
      </c>
      <c r="P626" s="6" t="s">
        <v>26</v>
      </c>
      <c r="Q626" s="6" t="s">
        <v>27</v>
      </c>
      <c r="R626" s="6">
        <v>0</v>
      </c>
      <c r="S626" s="6" t="s">
        <v>28</v>
      </c>
      <c r="T626" s="7">
        <f t="shared" si="45"/>
        <v>0.3024814049586777</v>
      </c>
      <c r="U626" s="6">
        <f t="shared" si="46"/>
        <v>4</v>
      </c>
      <c r="V626" s="5" t="str">
        <f t="shared" si="47"/>
        <v>FAIR</v>
      </c>
      <c r="W626" s="6" t="str">
        <f t="shared" si="48"/>
        <v>55+</v>
      </c>
      <c r="X626" s="6" t="str">
        <f t="shared" si="49"/>
        <v>Lower-Middle</v>
      </c>
    </row>
    <row r="627" spans="1:24">
      <c r="A627" s="6" t="s">
        <v>545</v>
      </c>
      <c r="B627" s="6" t="s">
        <v>1555</v>
      </c>
      <c r="C627" s="6" t="s">
        <v>46</v>
      </c>
      <c r="D627" s="6" t="s">
        <v>241</v>
      </c>
      <c r="E627" s="6" t="s">
        <v>389</v>
      </c>
      <c r="F627" s="6">
        <v>47</v>
      </c>
      <c r="G627" s="6" t="s">
        <v>24</v>
      </c>
      <c r="H627" s="6" t="s">
        <v>1556</v>
      </c>
      <c r="I627" s="6" t="s">
        <v>4001</v>
      </c>
      <c r="J627" s="8">
        <v>44795</v>
      </c>
      <c r="K627" s="8">
        <v>45303</v>
      </c>
      <c r="L627" s="6">
        <v>89900.800000000003</v>
      </c>
      <c r="M627" s="6">
        <v>44100.4</v>
      </c>
      <c r="N627" s="6">
        <v>750</v>
      </c>
      <c r="O627" s="6">
        <v>147000</v>
      </c>
      <c r="P627" s="6" t="s">
        <v>26</v>
      </c>
      <c r="Q627" s="6" t="s">
        <v>27</v>
      </c>
      <c r="R627" s="6">
        <v>0</v>
      </c>
      <c r="S627" s="6" t="s">
        <v>28</v>
      </c>
      <c r="T627" s="7">
        <f t="shared" si="45"/>
        <v>0.3000027210884354</v>
      </c>
      <c r="U627" s="6">
        <f t="shared" si="46"/>
        <v>3</v>
      </c>
      <c r="V627" s="5" t="str">
        <f t="shared" si="47"/>
        <v>VERY GOOD</v>
      </c>
      <c r="W627" s="6" t="str">
        <f t="shared" si="48"/>
        <v>45-54</v>
      </c>
      <c r="X627" s="6" t="str">
        <f t="shared" si="49"/>
        <v>Upper-Middle</v>
      </c>
    </row>
    <row r="628" spans="1:24">
      <c r="A628" s="6" t="s">
        <v>548</v>
      </c>
      <c r="B628" s="6" t="s">
        <v>1557</v>
      </c>
      <c r="C628" s="6" t="s">
        <v>57</v>
      </c>
      <c r="D628" s="6" t="s">
        <v>22</v>
      </c>
      <c r="E628" s="6" t="s">
        <v>381</v>
      </c>
      <c r="F628" s="6">
        <v>43</v>
      </c>
      <c r="G628" s="6" t="s">
        <v>34</v>
      </c>
      <c r="H628" s="6" t="s">
        <v>1558</v>
      </c>
      <c r="I628" s="6" t="s">
        <v>3769</v>
      </c>
      <c r="J628" s="8">
        <v>44979</v>
      </c>
      <c r="K628" s="8">
        <v>45305</v>
      </c>
      <c r="L628" s="6">
        <v>28800.9</v>
      </c>
      <c r="M628" s="6">
        <v>11600.75</v>
      </c>
      <c r="N628" s="6">
        <v>770</v>
      </c>
      <c r="O628" s="6">
        <v>78000</v>
      </c>
      <c r="P628" s="6" t="s">
        <v>36</v>
      </c>
      <c r="Q628" s="6" t="s">
        <v>27</v>
      </c>
      <c r="R628" s="6">
        <v>0</v>
      </c>
      <c r="S628" s="6" t="s">
        <v>28</v>
      </c>
      <c r="T628" s="7">
        <f t="shared" si="45"/>
        <v>0.1487275641025641</v>
      </c>
      <c r="U628" s="6">
        <f t="shared" si="46"/>
        <v>1</v>
      </c>
      <c r="V628" s="5" t="str">
        <f t="shared" si="47"/>
        <v>VERY GOOD</v>
      </c>
      <c r="W628" s="6" t="str">
        <f t="shared" si="48"/>
        <v>35-44</v>
      </c>
      <c r="X628" s="6" t="str">
        <f t="shared" si="49"/>
        <v>Lower-Middle</v>
      </c>
    </row>
    <row r="629" spans="1:24">
      <c r="A629" s="6" t="s">
        <v>551</v>
      </c>
      <c r="B629" s="6" t="s">
        <v>1559</v>
      </c>
      <c r="C629" s="6" t="s">
        <v>39</v>
      </c>
      <c r="D629" s="6" t="s">
        <v>313</v>
      </c>
      <c r="E629" s="6" t="s">
        <v>501</v>
      </c>
      <c r="F629" s="6">
        <v>66</v>
      </c>
      <c r="G629" s="6" t="s">
        <v>24</v>
      </c>
      <c r="H629" s="6" t="s">
        <v>1560</v>
      </c>
      <c r="I629" s="6" t="s">
        <v>4002</v>
      </c>
      <c r="J629" s="8">
        <v>43395</v>
      </c>
      <c r="K629" s="8">
        <v>45299</v>
      </c>
      <c r="L629" s="6">
        <v>200000.25</v>
      </c>
      <c r="M629" s="6">
        <v>102000.8</v>
      </c>
      <c r="N629" s="6">
        <v>645</v>
      </c>
      <c r="O629" s="6">
        <v>218000</v>
      </c>
      <c r="P629" s="6" t="s">
        <v>76</v>
      </c>
      <c r="Q629" s="6" t="s">
        <v>27</v>
      </c>
      <c r="R629" s="6">
        <v>0</v>
      </c>
      <c r="S629" s="6" t="s">
        <v>28</v>
      </c>
      <c r="T629" s="7">
        <f t="shared" si="45"/>
        <v>0.46789357798165138</v>
      </c>
      <c r="U629" s="6">
        <f t="shared" si="46"/>
        <v>7</v>
      </c>
      <c r="V629" s="5" t="str">
        <f t="shared" si="47"/>
        <v>FAIR</v>
      </c>
      <c r="W629" s="6" t="str">
        <f t="shared" si="48"/>
        <v>55+</v>
      </c>
      <c r="X629" s="6" t="str">
        <f t="shared" si="49"/>
        <v>High</v>
      </c>
    </row>
    <row r="630" spans="1:24">
      <c r="A630" s="6" t="s">
        <v>554</v>
      </c>
      <c r="B630" s="6" t="s">
        <v>1561</v>
      </c>
      <c r="C630" s="6" t="s">
        <v>31</v>
      </c>
      <c r="D630" s="6" t="s">
        <v>214</v>
      </c>
      <c r="E630" s="6" t="s">
        <v>483</v>
      </c>
      <c r="F630" s="6">
        <v>39</v>
      </c>
      <c r="G630" s="6" t="s">
        <v>34</v>
      </c>
      <c r="H630" s="6" t="s">
        <v>1562</v>
      </c>
      <c r="I630" s="6" t="s">
        <v>4003</v>
      </c>
      <c r="J630" s="8">
        <v>45350</v>
      </c>
      <c r="K630" s="8">
        <v>45306</v>
      </c>
      <c r="L630" s="6">
        <v>23200.5</v>
      </c>
      <c r="M630" s="6">
        <v>11200.4</v>
      </c>
      <c r="N630" s="6">
        <v>720</v>
      </c>
      <c r="O630" s="6">
        <v>55000</v>
      </c>
      <c r="P630" s="6" t="s">
        <v>36</v>
      </c>
      <c r="Q630" s="6" t="s">
        <v>27</v>
      </c>
      <c r="R630" s="6">
        <v>0</v>
      </c>
      <c r="S630" s="6" t="s">
        <v>28</v>
      </c>
      <c r="T630" s="7">
        <f t="shared" si="45"/>
        <v>0.20364363636363636</v>
      </c>
      <c r="U630" s="6">
        <f t="shared" si="46"/>
        <v>0</v>
      </c>
      <c r="V630" s="5" t="str">
        <f t="shared" si="47"/>
        <v>GOOD</v>
      </c>
      <c r="W630" s="6" t="str">
        <f t="shared" si="48"/>
        <v>35-44</v>
      </c>
      <c r="X630" s="6" t="str">
        <f t="shared" si="49"/>
        <v>Low</v>
      </c>
    </row>
    <row r="631" spans="1:24">
      <c r="A631" s="6" t="s">
        <v>108</v>
      </c>
      <c r="B631" s="6" t="s">
        <v>1563</v>
      </c>
      <c r="C631" s="6" t="s">
        <v>84</v>
      </c>
      <c r="D631" s="6" t="s">
        <v>32</v>
      </c>
      <c r="E631" s="6" t="s">
        <v>33</v>
      </c>
      <c r="F631" s="6">
        <v>35</v>
      </c>
      <c r="G631" s="6" t="s">
        <v>24</v>
      </c>
      <c r="H631" s="6" t="s">
        <v>1564</v>
      </c>
      <c r="I631" s="6" t="s">
        <v>3721</v>
      </c>
      <c r="J631" s="8">
        <v>45350</v>
      </c>
      <c r="K631" s="8">
        <v>45304</v>
      </c>
      <c r="L631" s="6">
        <v>3150.8</v>
      </c>
      <c r="M631" s="6">
        <v>11200.25</v>
      </c>
      <c r="N631" s="6">
        <v>605</v>
      </c>
      <c r="O631" s="6">
        <v>31000</v>
      </c>
      <c r="P631" s="6" t="s">
        <v>76</v>
      </c>
      <c r="Q631" s="6" t="s">
        <v>43</v>
      </c>
      <c r="R631" s="6">
        <v>0</v>
      </c>
      <c r="S631" s="6" t="s">
        <v>28</v>
      </c>
      <c r="T631" s="7">
        <f t="shared" si="45"/>
        <v>0.3612983870967742</v>
      </c>
      <c r="U631" s="6">
        <f t="shared" si="46"/>
        <v>2</v>
      </c>
      <c r="V631" s="5" t="str">
        <f t="shared" si="47"/>
        <v>FAIR</v>
      </c>
      <c r="W631" s="6" t="str">
        <f t="shared" si="48"/>
        <v>35-44</v>
      </c>
      <c r="X631" s="6" t="str">
        <f t="shared" si="49"/>
        <v>Low</v>
      </c>
    </row>
    <row r="632" spans="1:24">
      <c r="A632" s="6" t="s">
        <v>559</v>
      </c>
      <c r="B632" s="6" t="s">
        <v>1565</v>
      </c>
      <c r="C632" s="6" t="s">
        <v>46</v>
      </c>
      <c r="D632" s="6" t="s">
        <v>254</v>
      </c>
      <c r="E632" s="6" t="s">
        <v>255</v>
      </c>
      <c r="F632" s="6">
        <v>49</v>
      </c>
      <c r="G632" s="6" t="s">
        <v>34</v>
      </c>
      <c r="H632" s="6" t="s">
        <v>1566</v>
      </c>
      <c r="I632" s="6" t="s">
        <v>4004</v>
      </c>
      <c r="J632" s="8">
        <v>44673</v>
      </c>
      <c r="K632" s="8">
        <v>45302</v>
      </c>
      <c r="L632" s="6">
        <v>76600.399999999994</v>
      </c>
      <c r="M632" s="6">
        <v>38800.75</v>
      </c>
      <c r="N632" s="6">
        <v>710</v>
      </c>
      <c r="O632" s="6">
        <v>129000</v>
      </c>
      <c r="P632" s="6" t="s">
        <v>26</v>
      </c>
      <c r="Q632" s="6" t="s">
        <v>27</v>
      </c>
      <c r="R632" s="6">
        <v>0</v>
      </c>
      <c r="S632" s="6" t="s">
        <v>28</v>
      </c>
      <c r="T632" s="7">
        <f t="shared" si="45"/>
        <v>0.300781007751938</v>
      </c>
      <c r="U632" s="6">
        <f t="shared" si="46"/>
        <v>4</v>
      </c>
      <c r="V632" s="5" t="str">
        <f t="shared" si="47"/>
        <v>GOOD</v>
      </c>
      <c r="W632" s="6" t="str">
        <f t="shared" si="48"/>
        <v>45-54</v>
      </c>
      <c r="X632" s="6" t="str">
        <f t="shared" si="49"/>
        <v>Upper-Middle</v>
      </c>
    </row>
    <row r="633" spans="1:24">
      <c r="A633" s="6" t="s">
        <v>562</v>
      </c>
      <c r="B633" s="6" t="s">
        <v>1567</v>
      </c>
      <c r="C633" s="6" t="s">
        <v>39</v>
      </c>
      <c r="D633" s="6" t="s">
        <v>47</v>
      </c>
      <c r="E633" s="6" t="s">
        <v>48</v>
      </c>
      <c r="F633" s="6">
        <v>63</v>
      </c>
      <c r="G633" s="6" t="s">
        <v>24</v>
      </c>
      <c r="H633" s="6" t="s">
        <v>1568</v>
      </c>
      <c r="I633" s="6" t="s">
        <v>3743</v>
      </c>
      <c r="J633" s="8">
        <v>43546</v>
      </c>
      <c r="K633" s="8">
        <v>45300</v>
      </c>
      <c r="L633" s="6">
        <v>180200.6</v>
      </c>
      <c r="M633" s="6">
        <v>95000.25</v>
      </c>
      <c r="N633" s="6">
        <v>675</v>
      </c>
      <c r="O633" s="6">
        <v>198000</v>
      </c>
      <c r="P633" s="6" t="s">
        <v>76</v>
      </c>
      <c r="Q633" s="6" t="s">
        <v>27</v>
      </c>
      <c r="R633" s="6">
        <v>0</v>
      </c>
      <c r="S633" s="6" t="s">
        <v>28</v>
      </c>
      <c r="T633" s="7">
        <f t="shared" si="45"/>
        <v>0.47979924242424243</v>
      </c>
      <c r="U633" s="6">
        <f t="shared" si="46"/>
        <v>6</v>
      </c>
      <c r="V633" s="5" t="str">
        <f t="shared" si="47"/>
        <v>GOOD</v>
      </c>
      <c r="W633" s="6" t="str">
        <f t="shared" si="48"/>
        <v>55+</v>
      </c>
      <c r="X633" s="6" t="str">
        <f t="shared" si="49"/>
        <v>High</v>
      </c>
    </row>
    <row r="634" spans="1:24">
      <c r="A634" s="6" t="s">
        <v>565</v>
      </c>
      <c r="B634" s="6" t="s">
        <v>1569</v>
      </c>
      <c r="C634" s="6" t="s">
        <v>52</v>
      </c>
      <c r="D634" s="6" t="s">
        <v>233</v>
      </c>
      <c r="E634" s="6" t="s">
        <v>296</v>
      </c>
      <c r="F634" s="6">
        <v>48</v>
      </c>
      <c r="G634" s="6" t="s">
        <v>34</v>
      </c>
      <c r="H634" s="6" t="s">
        <v>1570</v>
      </c>
      <c r="I634" s="6" t="s">
        <v>3744</v>
      </c>
      <c r="J634" s="8">
        <v>44461</v>
      </c>
      <c r="K634" s="8">
        <v>45301</v>
      </c>
      <c r="L634" s="6">
        <v>53000.75</v>
      </c>
      <c r="M634" s="6">
        <v>29900.799999999999</v>
      </c>
      <c r="N634" s="6">
        <v>725</v>
      </c>
      <c r="O634" s="6">
        <v>95000</v>
      </c>
      <c r="P634" s="6" t="s">
        <v>26</v>
      </c>
      <c r="Q634" s="6" t="s">
        <v>27</v>
      </c>
      <c r="R634" s="6">
        <v>0</v>
      </c>
      <c r="S634" s="6" t="s">
        <v>28</v>
      </c>
      <c r="T634" s="7">
        <f t="shared" si="45"/>
        <v>0.31474526315789475</v>
      </c>
      <c r="U634" s="6">
        <f t="shared" si="46"/>
        <v>5</v>
      </c>
      <c r="V634" s="5" t="str">
        <f t="shared" si="47"/>
        <v>GOOD</v>
      </c>
      <c r="W634" s="6" t="str">
        <f t="shared" si="48"/>
        <v>45-54</v>
      </c>
      <c r="X634" s="6" t="str">
        <f t="shared" si="49"/>
        <v>Lower-Middle</v>
      </c>
    </row>
    <row r="635" spans="1:24">
      <c r="A635" s="6" t="s">
        <v>568</v>
      </c>
      <c r="B635" s="6" t="s">
        <v>1571</v>
      </c>
      <c r="C635" s="6" t="s">
        <v>57</v>
      </c>
      <c r="D635" s="6" t="s">
        <v>79</v>
      </c>
      <c r="E635" s="6" t="s">
        <v>102</v>
      </c>
      <c r="F635" s="6">
        <v>46</v>
      </c>
      <c r="G635" s="6" t="s">
        <v>24</v>
      </c>
      <c r="H635" s="6" t="s">
        <v>1572</v>
      </c>
      <c r="I635" s="6" t="s">
        <v>3745</v>
      </c>
      <c r="J635" s="8">
        <v>44917</v>
      </c>
      <c r="K635" s="8">
        <v>45303</v>
      </c>
      <c r="L635" s="6">
        <v>31000.400000000001</v>
      </c>
      <c r="M635" s="6">
        <v>12400.9</v>
      </c>
      <c r="N635" s="6">
        <v>740</v>
      </c>
      <c r="O635" s="6">
        <v>81000</v>
      </c>
      <c r="P635" s="6" t="s">
        <v>36</v>
      </c>
      <c r="Q635" s="6" t="s">
        <v>27</v>
      </c>
      <c r="R635" s="6">
        <v>0</v>
      </c>
      <c r="S635" s="6" t="s">
        <v>28</v>
      </c>
      <c r="T635" s="7">
        <f t="shared" si="45"/>
        <v>0.15309753086419753</v>
      </c>
      <c r="U635" s="6">
        <f t="shared" si="46"/>
        <v>3</v>
      </c>
      <c r="V635" s="5" t="str">
        <f t="shared" si="47"/>
        <v>GOOD</v>
      </c>
      <c r="W635" s="6" t="str">
        <f t="shared" si="48"/>
        <v>45-54</v>
      </c>
      <c r="X635" s="6" t="str">
        <f t="shared" si="49"/>
        <v>Lower-Middle</v>
      </c>
    </row>
    <row r="636" spans="1:24">
      <c r="A636" s="6" t="s">
        <v>571</v>
      </c>
      <c r="B636" s="6" t="s">
        <v>1573</v>
      </c>
      <c r="C636" s="6" t="s">
        <v>21</v>
      </c>
      <c r="D636" s="6" t="s">
        <v>63</v>
      </c>
      <c r="E636" s="6" t="s">
        <v>106</v>
      </c>
      <c r="F636" s="6">
        <v>69</v>
      </c>
      <c r="G636" s="6" t="s">
        <v>34</v>
      </c>
      <c r="H636" s="6" t="s">
        <v>1574</v>
      </c>
      <c r="I636" s="6" t="s">
        <v>4005</v>
      </c>
      <c r="J636" s="8">
        <v>43091</v>
      </c>
      <c r="K636" s="8">
        <v>45299</v>
      </c>
      <c r="L636" s="6">
        <v>269100.90000000002</v>
      </c>
      <c r="M636" s="6">
        <v>85000.6</v>
      </c>
      <c r="N636" s="6">
        <v>830</v>
      </c>
      <c r="O636" s="6">
        <v>293000</v>
      </c>
      <c r="P636" s="6" t="s">
        <v>36</v>
      </c>
      <c r="Q636" s="6" t="s">
        <v>27</v>
      </c>
      <c r="R636" s="6">
        <v>0</v>
      </c>
      <c r="S636" s="6" t="s">
        <v>28</v>
      </c>
      <c r="T636" s="7">
        <f t="shared" si="45"/>
        <v>0.29010443686006826</v>
      </c>
      <c r="U636" s="6">
        <f t="shared" si="46"/>
        <v>7</v>
      </c>
      <c r="V636" s="5" t="str">
        <f t="shared" si="47"/>
        <v>EXCEPTIONAL</v>
      </c>
      <c r="W636" s="6" t="str">
        <f t="shared" si="48"/>
        <v>55+</v>
      </c>
      <c r="X636" s="6" t="str">
        <f t="shared" si="49"/>
        <v>High</v>
      </c>
    </row>
    <row r="637" spans="1:24">
      <c r="A637" s="6" t="s">
        <v>574</v>
      </c>
      <c r="B637" s="6" t="s">
        <v>1575</v>
      </c>
      <c r="C637" s="6" t="s">
        <v>39</v>
      </c>
      <c r="D637" s="6" t="s">
        <v>68</v>
      </c>
      <c r="E637" s="6" t="s">
        <v>114</v>
      </c>
      <c r="F637" s="6">
        <v>61</v>
      </c>
      <c r="G637" s="6" t="s">
        <v>24</v>
      </c>
      <c r="H637" s="6" t="s">
        <v>1576</v>
      </c>
      <c r="I637" s="6" t="s">
        <v>4006</v>
      </c>
      <c r="J637" s="8">
        <v>43689</v>
      </c>
      <c r="K637" s="8">
        <v>45300</v>
      </c>
      <c r="L637" s="6">
        <v>158000.25</v>
      </c>
      <c r="M637" s="6">
        <v>87000.4</v>
      </c>
      <c r="N637" s="6">
        <v>655</v>
      </c>
      <c r="O637" s="6">
        <v>183000</v>
      </c>
      <c r="P637" s="6" t="s">
        <v>76</v>
      </c>
      <c r="Q637" s="6" t="s">
        <v>27</v>
      </c>
      <c r="R637" s="6">
        <v>0</v>
      </c>
      <c r="S637" s="6" t="s">
        <v>28</v>
      </c>
      <c r="T637" s="7">
        <f t="shared" si="45"/>
        <v>0.47541202185792347</v>
      </c>
      <c r="U637" s="6">
        <f t="shared" si="46"/>
        <v>6</v>
      </c>
      <c r="V637" s="5" t="str">
        <f t="shared" si="47"/>
        <v>FAIR</v>
      </c>
      <c r="W637" s="6" t="str">
        <f t="shared" si="48"/>
        <v>55+</v>
      </c>
      <c r="X637" s="6" t="str">
        <f t="shared" si="49"/>
        <v>Upper-Middle</v>
      </c>
    </row>
    <row r="638" spans="1:24">
      <c r="A638" s="6" t="s">
        <v>577</v>
      </c>
      <c r="B638" s="6" t="s">
        <v>1577</v>
      </c>
      <c r="C638" s="6" t="s">
        <v>46</v>
      </c>
      <c r="D638" s="6" t="s">
        <v>85</v>
      </c>
      <c r="E638" s="6" t="s">
        <v>130</v>
      </c>
      <c r="F638" s="6">
        <v>50</v>
      </c>
      <c r="G638" s="6" t="s">
        <v>34</v>
      </c>
      <c r="H638" s="6" t="s">
        <v>1578</v>
      </c>
      <c r="I638" s="6" t="s">
        <v>3778</v>
      </c>
      <c r="J638" s="8">
        <v>44583</v>
      </c>
      <c r="K638" s="8">
        <v>45302</v>
      </c>
      <c r="L638" s="6">
        <v>95500.6</v>
      </c>
      <c r="M638" s="6">
        <v>46800.75</v>
      </c>
      <c r="N638" s="6">
        <v>760</v>
      </c>
      <c r="O638" s="6">
        <v>152000</v>
      </c>
      <c r="P638" s="6" t="s">
        <v>26</v>
      </c>
      <c r="Q638" s="6" t="s">
        <v>27</v>
      </c>
      <c r="R638" s="6">
        <v>0</v>
      </c>
      <c r="S638" s="6" t="s">
        <v>28</v>
      </c>
      <c r="T638" s="7">
        <f t="shared" si="45"/>
        <v>0.30789967105263155</v>
      </c>
      <c r="U638" s="6">
        <f t="shared" si="46"/>
        <v>4</v>
      </c>
      <c r="V638" s="5" t="str">
        <f t="shared" si="47"/>
        <v>VERY GOOD</v>
      </c>
      <c r="W638" s="6" t="str">
        <f t="shared" si="48"/>
        <v>45-54</v>
      </c>
      <c r="X638" s="6" t="str">
        <f t="shared" si="49"/>
        <v>Upper-Middle</v>
      </c>
    </row>
    <row r="639" spans="1:24">
      <c r="A639" s="6" t="s">
        <v>458</v>
      </c>
      <c r="B639" s="6" t="s">
        <v>1579</v>
      </c>
      <c r="C639" s="6" t="s">
        <v>31</v>
      </c>
      <c r="D639" s="6" t="s">
        <v>460</v>
      </c>
      <c r="E639" s="6" t="s">
        <v>461</v>
      </c>
      <c r="F639" s="6">
        <v>41</v>
      </c>
      <c r="G639" s="6" t="s">
        <v>24</v>
      </c>
      <c r="H639" s="6" t="s">
        <v>1580</v>
      </c>
      <c r="I639" s="6" t="s">
        <v>4007</v>
      </c>
      <c r="J639" s="8">
        <v>45350</v>
      </c>
      <c r="K639" s="8">
        <v>45306</v>
      </c>
      <c r="L639" s="6">
        <v>14900.25</v>
      </c>
      <c r="M639" s="6">
        <v>8800.7999999999993</v>
      </c>
      <c r="N639" s="6">
        <v>695</v>
      </c>
      <c r="O639" s="6">
        <v>52000</v>
      </c>
      <c r="P639" s="6" t="s">
        <v>26</v>
      </c>
      <c r="Q639" s="6" t="s">
        <v>43</v>
      </c>
      <c r="R639" s="6">
        <v>0</v>
      </c>
      <c r="S639" s="6" t="s">
        <v>28</v>
      </c>
      <c r="T639" s="7">
        <f t="shared" si="45"/>
        <v>0.16924615384615382</v>
      </c>
      <c r="U639" s="6">
        <f t="shared" si="46"/>
        <v>0</v>
      </c>
      <c r="V639" s="5" t="str">
        <f t="shared" si="47"/>
        <v>GOOD</v>
      </c>
      <c r="W639" s="6" t="str">
        <f t="shared" si="48"/>
        <v>35-44</v>
      </c>
      <c r="X639" s="6" t="str">
        <f t="shared" si="49"/>
        <v>Low</v>
      </c>
    </row>
    <row r="640" spans="1:24">
      <c r="A640" s="6" t="s">
        <v>582</v>
      </c>
      <c r="B640" s="6" t="s">
        <v>1581</v>
      </c>
      <c r="C640" s="6" t="s">
        <v>57</v>
      </c>
      <c r="D640" s="6" t="s">
        <v>22</v>
      </c>
      <c r="E640" s="6" t="s">
        <v>53</v>
      </c>
      <c r="F640" s="6">
        <v>44</v>
      </c>
      <c r="G640" s="6" t="s">
        <v>34</v>
      </c>
      <c r="H640" s="6" t="s">
        <v>1582</v>
      </c>
      <c r="I640" s="6" t="s">
        <v>4008</v>
      </c>
      <c r="J640" s="8">
        <v>44856</v>
      </c>
      <c r="K640" s="8">
        <v>45303</v>
      </c>
      <c r="L640" s="6">
        <v>29900.9</v>
      </c>
      <c r="M640" s="6">
        <v>12000.25</v>
      </c>
      <c r="N640" s="6">
        <v>755</v>
      </c>
      <c r="O640" s="6">
        <v>74000</v>
      </c>
      <c r="P640" s="6" t="s">
        <v>36</v>
      </c>
      <c r="Q640" s="6" t="s">
        <v>27</v>
      </c>
      <c r="R640" s="6">
        <v>0</v>
      </c>
      <c r="S640" s="6" t="s">
        <v>28</v>
      </c>
      <c r="T640" s="7">
        <f t="shared" si="45"/>
        <v>0.16216554054054055</v>
      </c>
      <c r="U640" s="6">
        <f t="shared" si="46"/>
        <v>3</v>
      </c>
      <c r="V640" s="5" t="str">
        <f t="shared" si="47"/>
        <v>VERY GOOD</v>
      </c>
      <c r="W640" s="6" t="str">
        <f t="shared" si="48"/>
        <v>35-44</v>
      </c>
      <c r="X640" s="6" t="str">
        <f t="shared" si="49"/>
        <v>Low</v>
      </c>
    </row>
    <row r="641" spans="1:24">
      <c r="A641" s="6" t="s">
        <v>55</v>
      </c>
      <c r="B641" s="6" t="s">
        <v>1583</v>
      </c>
      <c r="C641" s="6" t="s">
        <v>39</v>
      </c>
      <c r="D641" s="6" t="s">
        <v>58</v>
      </c>
      <c r="E641" s="6" t="s">
        <v>122</v>
      </c>
      <c r="F641" s="6">
        <v>62</v>
      </c>
      <c r="G641" s="6" t="s">
        <v>24</v>
      </c>
      <c r="H641" s="6" t="s">
        <v>1584</v>
      </c>
      <c r="I641" s="6" t="s">
        <v>3751</v>
      </c>
      <c r="J641" s="8">
        <v>43607</v>
      </c>
      <c r="K641" s="8">
        <v>45300</v>
      </c>
      <c r="L641" s="6">
        <v>190900.4</v>
      </c>
      <c r="M641" s="6">
        <v>100000.75</v>
      </c>
      <c r="N641" s="6">
        <v>685</v>
      </c>
      <c r="O641" s="6">
        <v>208000</v>
      </c>
      <c r="P641" s="6" t="s">
        <v>76</v>
      </c>
      <c r="Q641" s="6" t="s">
        <v>27</v>
      </c>
      <c r="R641" s="6">
        <v>0</v>
      </c>
      <c r="S641" s="6" t="s">
        <v>28</v>
      </c>
      <c r="T641" s="7">
        <f t="shared" si="45"/>
        <v>0.48077283653846153</v>
      </c>
      <c r="U641" s="6">
        <f t="shared" si="46"/>
        <v>6</v>
      </c>
      <c r="V641" s="5" t="str">
        <f t="shared" si="47"/>
        <v>GOOD</v>
      </c>
      <c r="W641" s="6" t="str">
        <f t="shared" si="48"/>
        <v>55+</v>
      </c>
      <c r="X641" s="6" t="str">
        <f t="shared" si="49"/>
        <v>High</v>
      </c>
    </row>
    <row r="642" spans="1:24">
      <c r="A642" s="6" t="s">
        <v>469</v>
      </c>
      <c r="B642" s="6" t="s">
        <v>1585</v>
      </c>
      <c r="C642" s="6" t="s">
        <v>52</v>
      </c>
      <c r="D642" s="6" t="s">
        <v>471</v>
      </c>
      <c r="E642" s="6" t="s">
        <v>472</v>
      </c>
      <c r="F642" s="6">
        <v>53</v>
      </c>
      <c r="G642" s="6" t="s">
        <v>34</v>
      </c>
      <c r="H642" s="6" t="s">
        <v>1586</v>
      </c>
      <c r="I642" s="6" t="s">
        <v>4009</v>
      </c>
      <c r="J642" s="8">
        <v>44239</v>
      </c>
      <c r="K642" s="8">
        <v>45301</v>
      </c>
      <c r="L642" s="6">
        <v>59900.800000000003</v>
      </c>
      <c r="M642" s="6">
        <v>33000.6</v>
      </c>
      <c r="N642" s="6">
        <v>715</v>
      </c>
      <c r="O642" s="6">
        <v>107000</v>
      </c>
      <c r="P642" s="6" t="s">
        <v>26</v>
      </c>
      <c r="Q642" s="6" t="s">
        <v>27</v>
      </c>
      <c r="R642" s="6">
        <v>0</v>
      </c>
      <c r="S642" s="6" t="s">
        <v>28</v>
      </c>
      <c r="T642" s="7">
        <f t="shared" ref="T642:T705" si="50">IFERROR(M642/O642,"")</f>
        <v>0.30841682242990653</v>
      </c>
      <c r="U642" s="6">
        <f t="shared" ref="U642:U705" si="51">MAX($K$2:$K$1599)-K642</f>
        <v>5</v>
      </c>
      <c r="V642" s="5" t="str">
        <f t="shared" ref="V642:V705" si="52">IF(N642&lt;670,"FAIR", IF(N642&lt;750,"GOOD",IF(N642&lt;800,"VERY GOOD","EXCEPTIONAL")))</f>
        <v>GOOD</v>
      </c>
      <c r="W642" s="6" t="str">
        <f t="shared" ref="W642:W705" si="53">IF(F642&lt;25,"18-24",IF(F642&lt;35,"25-34",IF(F642&lt;45,"35-44",IF(F642&lt;55,"45-54","55+"))))</f>
        <v>45-54</v>
      </c>
      <c r="X642" s="6" t="str">
        <f t="shared" ref="X642:X705" si="54">IF(O642&lt;=_xlfn.QUARTILE.INC($O$2:$O$1599,1),"Low",IF(O642&lt;=_xlfn.QUARTILE.INC($O$2:$O$1599,2),"Lower-Middle",IF(O642&lt;=_xlfn.QUARTILE.INC($O$2:$O$1599,3),"Upper-Middle","High")))</f>
        <v>Lower-Middle</v>
      </c>
    </row>
    <row r="643" spans="1:24">
      <c r="A643" s="6" t="s">
        <v>474</v>
      </c>
      <c r="B643" s="6" t="s">
        <v>1587</v>
      </c>
      <c r="C643" s="6" t="s">
        <v>46</v>
      </c>
      <c r="D643" s="6" t="s">
        <v>345</v>
      </c>
      <c r="E643" s="6" t="s">
        <v>476</v>
      </c>
      <c r="F643" s="6">
        <v>56</v>
      </c>
      <c r="G643" s="6" t="s">
        <v>24</v>
      </c>
      <c r="H643" s="6" t="s">
        <v>1588</v>
      </c>
      <c r="I643" s="6" t="s">
        <v>3753</v>
      </c>
      <c r="J643" s="8">
        <v>44157</v>
      </c>
      <c r="K643" s="8">
        <v>45302</v>
      </c>
      <c r="L643" s="6">
        <v>87700.25</v>
      </c>
      <c r="M643" s="6">
        <v>43000.4</v>
      </c>
      <c r="N643" s="6">
        <v>680</v>
      </c>
      <c r="O643" s="6">
        <v>136000</v>
      </c>
      <c r="P643" s="6" t="s">
        <v>26</v>
      </c>
      <c r="Q643" s="6" t="s">
        <v>27</v>
      </c>
      <c r="R643" s="6">
        <v>0</v>
      </c>
      <c r="S643" s="6" t="s">
        <v>28</v>
      </c>
      <c r="T643" s="7">
        <f t="shared" si="50"/>
        <v>0.31617941176470588</v>
      </c>
      <c r="U643" s="6">
        <f t="shared" si="51"/>
        <v>4</v>
      </c>
      <c r="V643" s="5" t="str">
        <f t="shared" si="52"/>
        <v>GOOD</v>
      </c>
      <c r="W643" s="6" t="str">
        <f t="shared" si="53"/>
        <v>55+</v>
      </c>
      <c r="X643" s="6" t="str">
        <f t="shared" si="54"/>
        <v>Upper-Middle</v>
      </c>
    </row>
    <row r="644" spans="1:24">
      <c r="A644" s="6" t="s">
        <v>592</v>
      </c>
      <c r="B644" s="6" t="s">
        <v>1589</v>
      </c>
      <c r="C644" s="6" t="s">
        <v>84</v>
      </c>
      <c r="D644" s="6" t="s">
        <v>32</v>
      </c>
      <c r="E644" s="6" t="s">
        <v>90</v>
      </c>
      <c r="F644" s="6">
        <v>36</v>
      </c>
      <c r="G644" s="6" t="s">
        <v>34</v>
      </c>
      <c r="H644" s="6" t="s">
        <v>1590</v>
      </c>
      <c r="I644" s="6" t="s">
        <v>3620</v>
      </c>
      <c r="J644" s="8">
        <v>45359</v>
      </c>
      <c r="K644" s="8">
        <v>45304</v>
      </c>
      <c r="L644" s="6">
        <v>3250.4</v>
      </c>
      <c r="M644" s="6">
        <v>11800.75</v>
      </c>
      <c r="N644" s="6">
        <v>610</v>
      </c>
      <c r="O644" s="6">
        <v>32000</v>
      </c>
      <c r="P644" s="6" t="s">
        <v>76</v>
      </c>
      <c r="Q644" s="6" t="s">
        <v>43</v>
      </c>
      <c r="R644" s="6">
        <v>0</v>
      </c>
      <c r="S644" s="6" t="s">
        <v>28</v>
      </c>
      <c r="T644" s="7">
        <f t="shared" si="50"/>
        <v>0.36877343750000002</v>
      </c>
      <c r="U644" s="6">
        <f t="shared" si="51"/>
        <v>2</v>
      </c>
      <c r="V644" s="5" t="str">
        <f t="shared" si="52"/>
        <v>FAIR</v>
      </c>
      <c r="W644" s="6" t="str">
        <f t="shared" si="53"/>
        <v>35-44</v>
      </c>
      <c r="X644" s="6" t="str">
        <f t="shared" si="54"/>
        <v>Low</v>
      </c>
    </row>
    <row r="645" spans="1:24">
      <c r="A645" s="6" t="s">
        <v>595</v>
      </c>
      <c r="B645" s="6" t="s">
        <v>1591</v>
      </c>
      <c r="C645" s="6" t="s">
        <v>21</v>
      </c>
      <c r="D645" s="6" t="s">
        <v>209</v>
      </c>
      <c r="E645" s="6" t="s">
        <v>210</v>
      </c>
      <c r="F645" s="6">
        <v>68</v>
      </c>
      <c r="G645" s="6" t="s">
        <v>24</v>
      </c>
      <c r="H645" s="6" t="s">
        <v>1592</v>
      </c>
      <c r="I645" s="6" t="s">
        <v>4010</v>
      </c>
      <c r="J645" s="8">
        <v>43303</v>
      </c>
      <c r="K645" s="8">
        <v>45299</v>
      </c>
      <c r="L645" s="6">
        <v>288900.8</v>
      </c>
      <c r="M645" s="6">
        <v>91000.25</v>
      </c>
      <c r="N645" s="6">
        <v>825</v>
      </c>
      <c r="O645" s="6">
        <v>288000</v>
      </c>
      <c r="P645" s="6" t="s">
        <v>36</v>
      </c>
      <c r="Q645" s="6" t="s">
        <v>27</v>
      </c>
      <c r="R645" s="6">
        <v>0</v>
      </c>
      <c r="S645" s="6" t="s">
        <v>28</v>
      </c>
      <c r="T645" s="7">
        <f t="shared" si="50"/>
        <v>0.31597309027777776</v>
      </c>
      <c r="U645" s="6">
        <f t="shared" si="51"/>
        <v>7</v>
      </c>
      <c r="V645" s="5" t="str">
        <f t="shared" si="52"/>
        <v>EXCEPTIONAL</v>
      </c>
      <c r="W645" s="6" t="str">
        <f t="shared" si="53"/>
        <v>55+</v>
      </c>
      <c r="X645" s="6" t="str">
        <f t="shared" si="54"/>
        <v>High</v>
      </c>
    </row>
    <row r="646" spans="1:24">
      <c r="A646" s="6" t="s">
        <v>226</v>
      </c>
      <c r="B646" s="6" t="s">
        <v>1593</v>
      </c>
      <c r="C646" s="6" t="s">
        <v>57</v>
      </c>
      <c r="D646" s="6" t="s">
        <v>228</v>
      </c>
      <c r="E646" s="6" t="s">
        <v>678</v>
      </c>
      <c r="F646" s="6">
        <v>43</v>
      </c>
      <c r="G646" s="6" t="s">
        <v>34</v>
      </c>
      <c r="H646" s="6" t="s">
        <v>1594</v>
      </c>
      <c r="I646" s="6" t="s">
        <v>4011</v>
      </c>
      <c r="J646" s="8">
        <v>45038</v>
      </c>
      <c r="K646" s="8">
        <v>45305</v>
      </c>
      <c r="L646" s="6">
        <v>26600.75</v>
      </c>
      <c r="M646" s="6">
        <v>10400.4</v>
      </c>
      <c r="N646" s="6">
        <v>725</v>
      </c>
      <c r="O646" s="6">
        <v>64000</v>
      </c>
      <c r="P646" s="6" t="s">
        <v>36</v>
      </c>
      <c r="Q646" s="6" t="s">
        <v>27</v>
      </c>
      <c r="R646" s="6">
        <v>0</v>
      </c>
      <c r="S646" s="6" t="s">
        <v>28</v>
      </c>
      <c r="T646" s="7">
        <f t="shared" si="50"/>
        <v>0.16250624999999999</v>
      </c>
      <c r="U646" s="6">
        <f t="shared" si="51"/>
        <v>1</v>
      </c>
      <c r="V646" s="5" t="str">
        <f t="shared" si="52"/>
        <v>GOOD</v>
      </c>
      <c r="W646" s="6" t="str">
        <f t="shared" si="53"/>
        <v>35-44</v>
      </c>
      <c r="X646" s="6" t="str">
        <f t="shared" si="54"/>
        <v>Low</v>
      </c>
    </row>
    <row r="647" spans="1:24">
      <c r="A647" s="6" t="s">
        <v>488</v>
      </c>
      <c r="B647" s="6" t="s">
        <v>1595</v>
      </c>
      <c r="C647" s="6" t="s">
        <v>39</v>
      </c>
      <c r="D647" s="6" t="s">
        <v>304</v>
      </c>
      <c r="E647" s="6" t="s">
        <v>304</v>
      </c>
      <c r="F647" s="6">
        <v>60</v>
      </c>
      <c r="G647" s="6" t="s">
        <v>24</v>
      </c>
      <c r="H647" s="6" t="s">
        <v>1596</v>
      </c>
      <c r="I647" s="6" t="s">
        <v>4012</v>
      </c>
      <c r="J647" s="8">
        <v>43781</v>
      </c>
      <c r="K647" s="8">
        <v>45300</v>
      </c>
      <c r="L647" s="6">
        <v>169100.6</v>
      </c>
      <c r="M647" s="6">
        <v>91000.9</v>
      </c>
      <c r="N647" s="6">
        <v>675</v>
      </c>
      <c r="O647" s="6">
        <v>188000</v>
      </c>
      <c r="P647" s="6" t="s">
        <v>76</v>
      </c>
      <c r="Q647" s="6" t="s">
        <v>27</v>
      </c>
      <c r="R647" s="6">
        <v>0</v>
      </c>
      <c r="S647" s="6" t="s">
        <v>28</v>
      </c>
      <c r="T647" s="7">
        <f t="shared" si="50"/>
        <v>0.48404734042553188</v>
      </c>
      <c r="U647" s="6">
        <f t="shared" si="51"/>
        <v>6</v>
      </c>
      <c r="V647" s="5" t="str">
        <f t="shared" si="52"/>
        <v>GOOD</v>
      </c>
      <c r="W647" s="6" t="str">
        <f t="shared" si="53"/>
        <v>55+</v>
      </c>
      <c r="X647" s="6" t="str">
        <f t="shared" si="54"/>
        <v>Upper-Middle</v>
      </c>
    </row>
    <row r="648" spans="1:24">
      <c r="A648" s="6" t="s">
        <v>491</v>
      </c>
      <c r="B648" s="6" t="s">
        <v>1597</v>
      </c>
      <c r="C648" s="6" t="s">
        <v>52</v>
      </c>
      <c r="D648" s="6" t="s">
        <v>493</v>
      </c>
      <c r="E648" s="6" t="s">
        <v>494</v>
      </c>
      <c r="F648" s="6">
        <v>51</v>
      </c>
      <c r="G648" s="6" t="s">
        <v>34</v>
      </c>
      <c r="H648" s="6" t="s">
        <v>1598</v>
      </c>
      <c r="I648" s="6" t="s">
        <v>4013</v>
      </c>
      <c r="J648" s="8">
        <v>44552</v>
      </c>
      <c r="K648" s="8">
        <v>45302</v>
      </c>
      <c r="L648" s="6">
        <v>54100.4</v>
      </c>
      <c r="M648" s="6">
        <v>28800.25</v>
      </c>
      <c r="N648" s="6">
        <v>705</v>
      </c>
      <c r="O648" s="6">
        <v>96000</v>
      </c>
      <c r="P648" s="6" t="s">
        <v>26</v>
      </c>
      <c r="Q648" s="6" t="s">
        <v>27</v>
      </c>
      <c r="R648" s="6">
        <v>0</v>
      </c>
      <c r="S648" s="6" t="s">
        <v>28</v>
      </c>
      <c r="T648" s="7">
        <f t="shared" si="50"/>
        <v>0.30000260416666669</v>
      </c>
      <c r="U648" s="6">
        <f t="shared" si="51"/>
        <v>4</v>
      </c>
      <c r="V648" s="5" t="str">
        <f t="shared" si="52"/>
        <v>GOOD</v>
      </c>
      <c r="W648" s="6" t="str">
        <f t="shared" si="53"/>
        <v>45-54</v>
      </c>
      <c r="X648" s="6" t="str">
        <f t="shared" si="54"/>
        <v>Lower-Middle</v>
      </c>
    </row>
    <row r="649" spans="1:24">
      <c r="A649" s="6" t="s">
        <v>496</v>
      </c>
      <c r="B649" s="6" t="s">
        <v>1599</v>
      </c>
      <c r="C649" s="6" t="s">
        <v>46</v>
      </c>
      <c r="D649" s="6" t="s">
        <v>321</v>
      </c>
      <c r="E649" s="6" t="s">
        <v>498</v>
      </c>
      <c r="F649" s="6">
        <v>54</v>
      </c>
      <c r="G649" s="6" t="s">
        <v>24</v>
      </c>
      <c r="H649" s="6" t="s">
        <v>1600</v>
      </c>
      <c r="I649" s="6" t="s">
        <v>4014</v>
      </c>
      <c r="J649" s="8">
        <v>44034</v>
      </c>
      <c r="K649" s="8">
        <v>45301</v>
      </c>
      <c r="L649" s="6">
        <v>101000.75</v>
      </c>
      <c r="M649" s="6">
        <v>49900.800000000003</v>
      </c>
      <c r="N649" s="6">
        <v>730</v>
      </c>
      <c r="O649" s="6">
        <v>162000</v>
      </c>
      <c r="P649" s="6" t="s">
        <v>26</v>
      </c>
      <c r="Q649" s="6" t="s">
        <v>27</v>
      </c>
      <c r="R649" s="6">
        <v>0</v>
      </c>
      <c r="S649" s="6" t="s">
        <v>28</v>
      </c>
      <c r="T649" s="7">
        <f t="shared" si="50"/>
        <v>0.30802962962962965</v>
      </c>
      <c r="U649" s="6">
        <f t="shared" si="51"/>
        <v>5</v>
      </c>
      <c r="V649" s="5" t="str">
        <f t="shared" si="52"/>
        <v>GOOD</v>
      </c>
      <c r="W649" s="6" t="str">
        <f t="shared" si="53"/>
        <v>45-54</v>
      </c>
      <c r="X649" s="6" t="str">
        <f t="shared" si="54"/>
        <v>Upper-Middle</v>
      </c>
    </row>
    <row r="650" spans="1:24">
      <c r="A650" s="6" t="s">
        <v>324</v>
      </c>
      <c r="B650" s="6" t="s">
        <v>1601</v>
      </c>
      <c r="C650" s="6" t="s">
        <v>31</v>
      </c>
      <c r="D650" s="6" t="s">
        <v>313</v>
      </c>
      <c r="E650" s="6" t="s">
        <v>314</v>
      </c>
      <c r="F650" s="6">
        <v>39</v>
      </c>
      <c r="G650" s="6" t="s">
        <v>34</v>
      </c>
      <c r="H650" s="6" t="s">
        <v>1602</v>
      </c>
      <c r="I650" s="6" t="s">
        <v>4015</v>
      </c>
      <c r="J650" s="8">
        <v>45356</v>
      </c>
      <c r="K650" s="8">
        <v>45306</v>
      </c>
      <c r="L650" s="6">
        <v>13000.9</v>
      </c>
      <c r="M650" s="6">
        <v>7900.75</v>
      </c>
      <c r="N650" s="6">
        <v>685</v>
      </c>
      <c r="O650" s="6">
        <v>49000</v>
      </c>
      <c r="P650" s="6" t="s">
        <v>26</v>
      </c>
      <c r="Q650" s="6" t="s">
        <v>43</v>
      </c>
      <c r="R650" s="6">
        <v>0</v>
      </c>
      <c r="S650" s="6" t="s">
        <v>28</v>
      </c>
      <c r="T650" s="7">
        <f t="shared" si="50"/>
        <v>0.16123979591836735</v>
      </c>
      <c r="U650" s="6">
        <f t="shared" si="51"/>
        <v>0</v>
      </c>
      <c r="V650" s="5" t="str">
        <f t="shared" si="52"/>
        <v>GOOD</v>
      </c>
      <c r="W650" s="6" t="str">
        <f t="shared" si="53"/>
        <v>35-44</v>
      </c>
      <c r="X650" s="6" t="str">
        <f t="shared" si="54"/>
        <v>Low</v>
      </c>
    </row>
    <row r="651" spans="1:24">
      <c r="A651" s="6" t="s">
        <v>503</v>
      </c>
      <c r="B651" s="6" t="s">
        <v>1603</v>
      </c>
      <c r="C651" s="6" t="s">
        <v>21</v>
      </c>
      <c r="D651" s="6" t="s">
        <v>32</v>
      </c>
      <c r="E651" s="6" t="s">
        <v>33</v>
      </c>
      <c r="F651" s="6">
        <v>71</v>
      </c>
      <c r="G651" s="6" t="s">
        <v>24</v>
      </c>
      <c r="H651" s="6" t="s">
        <v>1604</v>
      </c>
      <c r="I651" s="6" t="s">
        <v>3587</v>
      </c>
      <c r="J651" s="8">
        <v>43030</v>
      </c>
      <c r="K651" s="8">
        <v>45299</v>
      </c>
      <c r="L651" s="6">
        <v>299800.25</v>
      </c>
      <c r="M651" s="6">
        <v>95000.4</v>
      </c>
      <c r="N651" s="6">
        <v>840</v>
      </c>
      <c r="O651" s="6">
        <v>303000</v>
      </c>
      <c r="P651" s="6" t="s">
        <v>36</v>
      </c>
      <c r="Q651" s="6" t="s">
        <v>27</v>
      </c>
      <c r="R651" s="6">
        <v>0</v>
      </c>
      <c r="S651" s="6" t="s">
        <v>28</v>
      </c>
      <c r="T651" s="7">
        <f t="shared" si="50"/>
        <v>0.3135326732673267</v>
      </c>
      <c r="U651" s="6">
        <f t="shared" si="51"/>
        <v>7</v>
      </c>
      <c r="V651" s="5" t="str">
        <f t="shared" si="52"/>
        <v>EXCEPTIONAL</v>
      </c>
      <c r="W651" s="6" t="str">
        <f t="shared" si="53"/>
        <v>55+</v>
      </c>
      <c r="X651" s="6" t="str">
        <f t="shared" si="54"/>
        <v>High</v>
      </c>
    </row>
    <row r="652" spans="1:24">
      <c r="A652" s="6" t="s">
        <v>506</v>
      </c>
      <c r="B652" s="6" t="s">
        <v>1605</v>
      </c>
      <c r="C652" s="6" t="s">
        <v>39</v>
      </c>
      <c r="D652" s="6" t="s">
        <v>68</v>
      </c>
      <c r="E652" s="6" t="s">
        <v>69</v>
      </c>
      <c r="F652" s="6">
        <v>63</v>
      </c>
      <c r="G652" s="6" t="s">
        <v>34</v>
      </c>
      <c r="H652" s="6" t="s">
        <v>1606</v>
      </c>
      <c r="I652" s="6" t="s">
        <v>3988</v>
      </c>
      <c r="J652" s="8">
        <v>43546</v>
      </c>
      <c r="K652" s="8">
        <v>45300</v>
      </c>
      <c r="L652" s="6">
        <v>180200.4</v>
      </c>
      <c r="M652" s="6">
        <v>95000.75</v>
      </c>
      <c r="N652" s="6">
        <v>650</v>
      </c>
      <c r="O652" s="6">
        <v>198000</v>
      </c>
      <c r="P652" s="6" t="s">
        <v>76</v>
      </c>
      <c r="Q652" s="6" t="s">
        <v>27</v>
      </c>
      <c r="R652" s="6">
        <v>0</v>
      </c>
      <c r="S652" s="6" t="s">
        <v>28</v>
      </c>
      <c r="T652" s="7">
        <f t="shared" si="50"/>
        <v>0.47980176767676769</v>
      </c>
      <c r="U652" s="6">
        <f t="shared" si="51"/>
        <v>6</v>
      </c>
      <c r="V652" s="5" t="str">
        <f t="shared" si="52"/>
        <v>FAIR</v>
      </c>
      <c r="W652" s="6" t="str">
        <f t="shared" si="53"/>
        <v>55+</v>
      </c>
      <c r="X652" s="6" t="str">
        <f t="shared" si="54"/>
        <v>High</v>
      </c>
    </row>
    <row r="653" spans="1:24">
      <c r="A653" s="6" t="s">
        <v>509</v>
      </c>
      <c r="B653" s="6" t="s">
        <v>1607</v>
      </c>
      <c r="C653" s="6" t="s">
        <v>46</v>
      </c>
      <c r="D653" s="6" t="s">
        <v>73</v>
      </c>
      <c r="E653" s="6" t="s">
        <v>126</v>
      </c>
      <c r="F653" s="6">
        <v>50</v>
      </c>
      <c r="G653" s="6" t="s">
        <v>24</v>
      </c>
      <c r="H653" s="6" t="s">
        <v>1608</v>
      </c>
      <c r="I653" s="6" t="s">
        <v>4016</v>
      </c>
      <c r="J653" s="8">
        <v>44764</v>
      </c>
      <c r="K653" s="8">
        <v>45303</v>
      </c>
      <c r="L653" s="6">
        <v>88800.4</v>
      </c>
      <c r="M653" s="6">
        <v>44100.25</v>
      </c>
      <c r="N653" s="6">
        <v>745</v>
      </c>
      <c r="O653" s="6">
        <v>142000</v>
      </c>
      <c r="P653" s="6" t="s">
        <v>26</v>
      </c>
      <c r="Q653" s="6" t="s">
        <v>27</v>
      </c>
      <c r="R653" s="6">
        <v>0</v>
      </c>
      <c r="S653" s="6" t="s">
        <v>28</v>
      </c>
      <c r="T653" s="7">
        <f t="shared" si="50"/>
        <v>0.31056514084507042</v>
      </c>
      <c r="U653" s="6">
        <f t="shared" si="51"/>
        <v>3</v>
      </c>
      <c r="V653" s="5" t="str">
        <f t="shared" si="52"/>
        <v>GOOD</v>
      </c>
      <c r="W653" s="6" t="str">
        <f t="shared" si="53"/>
        <v>45-54</v>
      </c>
      <c r="X653" s="6" t="str">
        <f t="shared" si="54"/>
        <v>Upper-Middle</v>
      </c>
    </row>
    <row r="654" spans="1:24">
      <c r="A654" s="6" t="s">
        <v>513</v>
      </c>
      <c r="B654" s="6" t="s">
        <v>1609</v>
      </c>
      <c r="C654" s="6" t="s">
        <v>57</v>
      </c>
      <c r="D654" s="6" t="s">
        <v>58</v>
      </c>
      <c r="E654" s="6" t="s">
        <v>59</v>
      </c>
      <c r="F654" s="6">
        <v>45</v>
      </c>
      <c r="G654" s="6" t="s">
        <v>34</v>
      </c>
      <c r="H654" s="6" t="s">
        <v>1610</v>
      </c>
      <c r="I654" s="6" t="s">
        <v>3760</v>
      </c>
      <c r="J654" s="8">
        <v>44948</v>
      </c>
      <c r="K654" s="8">
        <v>45302</v>
      </c>
      <c r="L654" s="6">
        <v>28800.799999999999</v>
      </c>
      <c r="M654" s="6">
        <v>11600.9</v>
      </c>
      <c r="N654" s="6">
        <v>765</v>
      </c>
      <c r="O654" s="6">
        <v>74000</v>
      </c>
      <c r="P654" s="6" t="s">
        <v>36</v>
      </c>
      <c r="Q654" s="6" t="s">
        <v>27</v>
      </c>
      <c r="R654" s="6">
        <v>0</v>
      </c>
      <c r="S654" s="6" t="s">
        <v>28</v>
      </c>
      <c r="T654" s="7">
        <f t="shared" si="50"/>
        <v>0.15676891891891892</v>
      </c>
      <c r="U654" s="6">
        <f t="shared" si="51"/>
        <v>4</v>
      </c>
      <c r="V654" s="5" t="str">
        <f t="shared" si="52"/>
        <v>VERY GOOD</v>
      </c>
      <c r="W654" s="6" t="str">
        <f t="shared" si="53"/>
        <v>45-54</v>
      </c>
      <c r="X654" s="6" t="str">
        <f t="shared" si="54"/>
        <v>Low</v>
      </c>
    </row>
    <row r="655" spans="1:24">
      <c r="A655" s="6" t="s">
        <v>516</v>
      </c>
      <c r="B655" s="6" t="s">
        <v>1611</v>
      </c>
      <c r="C655" s="6" t="s">
        <v>52</v>
      </c>
      <c r="D655" s="6" t="s">
        <v>277</v>
      </c>
      <c r="E655" s="6" t="s">
        <v>278</v>
      </c>
      <c r="F655" s="6">
        <v>58</v>
      </c>
      <c r="G655" s="6" t="s">
        <v>24</v>
      </c>
      <c r="H655" s="6" t="s">
        <v>1612</v>
      </c>
      <c r="I655" s="6" t="s">
        <v>3731</v>
      </c>
      <c r="J655" s="8">
        <v>44218</v>
      </c>
      <c r="K655" s="8">
        <v>45301</v>
      </c>
      <c r="L655" s="6">
        <v>62100.75</v>
      </c>
      <c r="M655" s="6">
        <v>35200.400000000001</v>
      </c>
      <c r="N655" s="6">
        <v>675</v>
      </c>
      <c r="O655" s="6">
        <v>114000</v>
      </c>
      <c r="P655" s="6" t="s">
        <v>26</v>
      </c>
      <c r="Q655" s="6" t="s">
        <v>27</v>
      </c>
      <c r="R655" s="6">
        <v>0</v>
      </c>
      <c r="S655" s="6" t="s">
        <v>28</v>
      </c>
      <c r="T655" s="7">
        <f t="shared" si="50"/>
        <v>0.30877543859649126</v>
      </c>
      <c r="U655" s="6">
        <f t="shared" si="51"/>
        <v>5</v>
      </c>
      <c r="V655" s="5" t="str">
        <f t="shared" si="52"/>
        <v>GOOD</v>
      </c>
      <c r="W655" s="6" t="str">
        <f t="shared" si="53"/>
        <v>55+</v>
      </c>
      <c r="X655" s="6" t="str">
        <f t="shared" si="54"/>
        <v>Lower-Middle</v>
      </c>
    </row>
    <row r="656" spans="1:24">
      <c r="A656" s="6" t="s">
        <v>519</v>
      </c>
      <c r="B656" s="6" t="s">
        <v>1613</v>
      </c>
      <c r="C656" s="6" t="s">
        <v>84</v>
      </c>
      <c r="D656" s="6" t="s">
        <v>183</v>
      </c>
      <c r="E656" s="6" t="s">
        <v>273</v>
      </c>
      <c r="F656" s="6">
        <v>37</v>
      </c>
      <c r="G656" s="6" t="s">
        <v>34</v>
      </c>
      <c r="H656" s="6" t="s">
        <v>1614</v>
      </c>
      <c r="I656" s="6" t="s">
        <v>3762</v>
      </c>
      <c r="J656" s="8">
        <v>45363</v>
      </c>
      <c r="K656" s="8">
        <v>45304</v>
      </c>
      <c r="L656" s="6">
        <v>3500.25</v>
      </c>
      <c r="M656" s="6">
        <v>13000.6</v>
      </c>
      <c r="N656" s="6">
        <v>615</v>
      </c>
      <c r="O656" s="6">
        <v>34000</v>
      </c>
      <c r="P656" s="6" t="s">
        <v>76</v>
      </c>
      <c r="Q656" s="6" t="s">
        <v>43</v>
      </c>
      <c r="R656" s="6">
        <v>0</v>
      </c>
      <c r="S656" s="6" t="s">
        <v>28</v>
      </c>
      <c r="T656" s="7">
        <f t="shared" si="50"/>
        <v>0.38237058823529413</v>
      </c>
      <c r="U656" s="6">
        <f t="shared" si="51"/>
        <v>2</v>
      </c>
      <c r="V656" s="5" t="str">
        <f t="shared" si="52"/>
        <v>FAIR</v>
      </c>
      <c r="W656" s="6" t="str">
        <f t="shared" si="53"/>
        <v>35-44</v>
      </c>
      <c r="X656" s="6" t="str">
        <f t="shared" si="54"/>
        <v>Low</v>
      </c>
    </row>
    <row r="657" spans="1:24">
      <c r="A657" s="6" t="s">
        <v>522</v>
      </c>
      <c r="B657" s="6" t="s">
        <v>1615</v>
      </c>
      <c r="C657" s="6" t="s">
        <v>39</v>
      </c>
      <c r="D657" s="6" t="s">
        <v>40</v>
      </c>
      <c r="E657" s="6" t="s">
        <v>94</v>
      </c>
      <c r="F657" s="6">
        <v>65</v>
      </c>
      <c r="G657" s="6" t="s">
        <v>24</v>
      </c>
      <c r="H657" s="6" t="s">
        <v>1616</v>
      </c>
      <c r="I657" s="6" t="s">
        <v>3510</v>
      </c>
      <c r="J657" s="8">
        <v>43518</v>
      </c>
      <c r="K657" s="8">
        <v>45299</v>
      </c>
      <c r="L657" s="6">
        <v>214800.8</v>
      </c>
      <c r="M657" s="6">
        <v>108000.25</v>
      </c>
      <c r="N657" s="6">
        <v>660</v>
      </c>
      <c r="O657" s="6">
        <v>233000</v>
      </c>
      <c r="P657" s="6" t="s">
        <v>76</v>
      </c>
      <c r="Q657" s="6" t="s">
        <v>27</v>
      </c>
      <c r="R657" s="6">
        <v>0</v>
      </c>
      <c r="S657" s="6" t="s">
        <v>28</v>
      </c>
      <c r="T657" s="7">
        <f t="shared" si="50"/>
        <v>0.46352038626609443</v>
      </c>
      <c r="U657" s="6">
        <f t="shared" si="51"/>
        <v>7</v>
      </c>
      <c r="V657" s="5" t="str">
        <f t="shared" si="52"/>
        <v>FAIR</v>
      </c>
      <c r="W657" s="6" t="str">
        <f t="shared" si="53"/>
        <v>55+</v>
      </c>
      <c r="X657" s="6" t="str">
        <f t="shared" si="54"/>
        <v>High</v>
      </c>
    </row>
    <row r="658" spans="1:24">
      <c r="A658" s="6" t="s">
        <v>306</v>
      </c>
      <c r="B658" s="6" t="s">
        <v>1617</v>
      </c>
      <c r="C658" s="6" t="s">
        <v>46</v>
      </c>
      <c r="D658" s="6" t="s">
        <v>209</v>
      </c>
      <c r="E658" s="6" t="s">
        <v>210</v>
      </c>
      <c r="F658" s="6">
        <v>52</v>
      </c>
      <c r="G658" s="6" t="s">
        <v>34</v>
      </c>
      <c r="H658" s="6" t="s">
        <v>1618</v>
      </c>
      <c r="I658" s="6" t="s">
        <v>4017</v>
      </c>
      <c r="J658" s="8">
        <v>44369</v>
      </c>
      <c r="K658" s="8">
        <v>45302</v>
      </c>
      <c r="L658" s="6">
        <v>83200.899999999994</v>
      </c>
      <c r="M658" s="6">
        <v>41000.75</v>
      </c>
      <c r="N658" s="6">
        <v>730</v>
      </c>
      <c r="O658" s="6">
        <v>137000</v>
      </c>
      <c r="P658" s="6" t="s">
        <v>26</v>
      </c>
      <c r="Q658" s="6" t="s">
        <v>27</v>
      </c>
      <c r="R658" s="6">
        <v>0</v>
      </c>
      <c r="S658" s="6" t="s">
        <v>28</v>
      </c>
      <c r="T658" s="7">
        <f t="shared" si="50"/>
        <v>0.29927554744525547</v>
      </c>
      <c r="U658" s="6">
        <f t="shared" si="51"/>
        <v>4</v>
      </c>
      <c r="V658" s="5" t="str">
        <f t="shared" si="52"/>
        <v>GOOD</v>
      </c>
      <c r="W658" s="6" t="str">
        <f t="shared" si="53"/>
        <v>45-54</v>
      </c>
      <c r="X658" s="6" t="str">
        <f t="shared" si="54"/>
        <v>Upper-Middle</v>
      </c>
    </row>
    <row r="659" spans="1:24">
      <c r="A659" s="6" t="s">
        <v>527</v>
      </c>
      <c r="B659" s="6" t="s">
        <v>1619</v>
      </c>
      <c r="C659" s="6" t="s">
        <v>31</v>
      </c>
      <c r="D659" s="6" t="s">
        <v>32</v>
      </c>
      <c r="E659" s="6" t="s">
        <v>90</v>
      </c>
      <c r="F659" s="6">
        <v>41</v>
      </c>
      <c r="G659" s="6" t="s">
        <v>34</v>
      </c>
      <c r="H659" s="6" t="s">
        <v>1620</v>
      </c>
      <c r="I659" s="6" t="s">
        <v>3544</v>
      </c>
      <c r="J659" s="8">
        <v>45359</v>
      </c>
      <c r="K659" s="8">
        <v>45305</v>
      </c>
      <c r="L659" s="6">
        <v>14100.4</v>
      </c>
      <c r="M659" s="6">
        <v>8000.25</v>
      </c>
      <c r="N659" s="6">
        <v>705</v>
      </c>
      <c r="O659" s="6">
        <v>51000</v>
      </c>
      <c r="P659" s="6" t="s">
        <v>26</v>
      </c>
      <c r="Q659" s="6" t="s">
        <v>43</v>
      </c>
      <c r="R659" s="6">
        <v>0</v>
      </c>
      <c r="S659" s="6" t="s">
        <v>28</v>
      </c>
      <c r="T659" s="7">
        <f t="shared" si="50"/>
        <v>0.15686764705882353</v>
      </c>
      <c r="U659" s="6">
        <f t="shared" si="51"/>
        <v>1</v>
      </c>
      <c r="V659" s="5" t="str">
        <f t="shared" si="52"/>
        <v>GOOD</v>
      </c>
      <c r="W659" s="6" t="str">
        <f t="shared" si="53"/>
        <v>35-44</v>
      </c>
      <c r="X659" s="6" t="str">
        <f t="shared" si="54"/>
        <v>Low</v>
      </c>
    </row>
    <row r="660" spans="1:24">
      <c r="A660" s="6" t="s">
        <v>530</v>
      </c>
      <c r="B660" s="6" t="s">
        <v>1621</v>
      </c>
      <c r="C660" s="6" t="s">
        <v>57</v>
      </c>
      <c r="D660" s="6" t="s">
        <v>219</v>
      </c>
      <c r="E660" s="6" t="s">
        <v>220</v>
      </c>
      <c r="F660" s="6">
        <v>46</v>
      </c>
      <c r="G660" s="6" t="s">
        <v>24</v>
      </c>
      <c r="H660" s="6" t="s">
        <v>1622</v>
      </c>
      <c r="I660" s="6" t="s">
        <v>4018</v>
      </c>
      <c r="J660" s="8">
        <v>44917</v>
      </c>
      <c r="K660" s="8">
        <v>45303</v>
      </c>
      <c r="L660" s="6">
        <v>27700.6</v>
      </c>
      <c r="M660" s="6">
        <v>11000.8</v>
      </c>
      <c r="N660" s="6">
        <v>710</v>
      </c>
      <c r="O660" s="6">
        <v>67000</v>
      </c>
      <c r="P660" s="6" t="s">
        <v>36</v>
      </c>
      <c r="Q660" s="6" t="s">
        <v>27</v>
      </c>
      <c r="R660" s="6">
        <v>0</v>
      </c>
      <c r="S660" s="6" t="s">
        <v>28</v>
      </c>
      <c r="T660" s="7">
        <f t="shared" si="50"/>
        <v>0.1641910447761194</v>
      </c>
      <c r="U660" s="6">
        <f t="shared" si="51"/>
        <v>3</v>
      </c>
      <c r="V660" s="5" t="str">
        <f t="shared" si="52"/>
        <v>GOOD</v>
      </c>
      <c r="W660" s="6" t="str">
        <f t="shared" si="53"/>
        <v>45-54</v>
      </c>
      <c r="X660" s="6" t="str">
        <f t="shared" si="54"/>
        <v>Low</v>
      </c>
    </row>
    <row r="661" spans="1:24">
      <c r="A661" s="6" t="s">
        <v>533</v>
      </c>
      <c r="B661" s="6" t="s">
        <v>1623</v>
      </c>
      <c r="C661" s="6" t="s">
        <v>52</v>
      </c>
      <c r="D661" s="6" t="s">
        <v>204</v>
      </c>
      <c r="E661" s="6" t="s">
        <v>205</v>
      </c>
      <c r="F661" s="6">
        <v>53</v>
      </c>
      <c r="G661" s="6" t="s">
        <v>34</v>
      </c>
      <c r="H661" s="6" t="s">
        <v>1624</v>
      </c>
      <c r="I661" s="6" t="s">
        <v>4019</v>
      </c>
      <c r="J661" s="8">
        <v>44218</v>
      </c>
      <c r="K661" s="8">
        <v>45301</v>
      </c>
      <c r="L661" s="6">
        <v>59000.25</v>
      </c>
      <c r="M661" s="6">
        <v>32100.9</v>
      </c>
      <c r="N661" s="6">
        <v>695</v>
      </c>
      <c r="O661" s="6">
        <v>102000</v>
      </c>
      <c r="P661" s="6" t="s">
        <v>26</v>
      </c>
      <c r="Q661" s="6" t="s">
        <v>27</v>
      </c>
      <c r="R661" s="6">
        <v>0</v>
      </c>
      <c r="S661" s="6" t="s">
        <v>28</v>
      </c>
      <c r="T661" s="7">
        <f t="shared" si="50"/>
        <v>0.31471470588235295</v>
      </c>
      <c r="U661" s="6">
        <f t="shared" si="51"/>
        <v>5</v>
      </c>
      <c r="V661" s="5" t="str">
        <f t="shared" si="52"/>
        <v>GOOD</v>
      </c>
      <c r="W661" s="6" t="str">
        <f t="shared" si="53"/>
        <v>45-54</v>
      </c>
      <c r="X661" s="6" t="str">
        <f t="shared" si="54"/>
        <v>Lower-Middle</v>
      </c>
    </row>
    <row r="662" spans="1:24">
      <c r="A662" s="6" t="s">
        <v>536</v>
      </c>
      <c r="B662" s="6" t="s">
        <v>1625</v>
      </c>
      <c r="C662" s="6" t="s">
        <v>39</v>
      </c>
      <c r="D662" s="6" t="s">
        <v>195</v>
      </c>
      <c r="E662" s="6" t="s">
        <v>196</v>
      </c>
      <c r="F662" s="6">
        <v>61</v>
      </c>
      <c r="G662" s="6" t="s">
        <v>24</v>
      </c>
      <c r="H662" s="6" t="s">
        <v>1626</v>
      </c>
      <c r="I662" s="6" t="s">
        <v>4020</v>
      </c>
      <c r="J662" s="8">
        <v>43668</v>
      </c>
      <c r="K662" s="8">
        <v>45300</v>
      </c>
      <c r="L662" s="6">
        <v>147000.4</v>
      </c>
      <c r="M662" s="6">
        <v>82000.600000000006</v>
      </c>
      <c r="N662" s="6">
        <v>670</v>
      </c>
      <c r="O662" s="6">
        <v>169000</v>
      </c>
      <c r="P662" s="6" t="s">
        <v>76</v>
      </c>
      <c r="Q662" s="6" t="s">
        <v>27</v>
      </c>
      <c r="R662" s="6">
        <v>0</v>
      </c>
      <c r="S662" s="6" t="s">
        <v>28</v>
      </c>
      <c r="T662" s="7">
        <f t="shared" si="50"/>
        <v>0.48521065088757398</v>
      </c>
      <c r="U662" s="6">
        <f t="shared" si="51"/>
        <v>6</v>
      </c>
      <c r="V662" s="5" t="str">
        <f t="shared" si="52"/>
        <v>GOOD</v>
      </c>
      <c r="W662" s="6" t="str">
        <f t="shared" si="53"/>
        <v>55+</v>
      </c>
      <c r="X662" s="6" t="str">
        <f t="shared" si="54"/>
        <v>Upper-Middle</v>
      </c>
    </row>
    <row r="663" spans="1:24">
      <c r="A663" s="6" t="s">
        <v>539</v>
      </c>
      <c r="B663" s="6" t="s">
        <v>1627</v>
      </c>
      <c r="C663" s="6" t="s">
        <v>21</v>
      </c>
      <c r="D663" s="6" t="s">
        <v>58</v>
      </c>
      <c r="E663" s="6" t="s">
        <v>122</v>
      </c>
      <c r="F663" s="6">
        <v>69</v>
      </c>
      <c r="G663" s="6" t="s">
        <v>34</v>
      </c>
      <c r="H663" s="6" t="s">
        <v>1628</v>
      </c>
      <c r="I663" s="6" t="s">
        <v>3767</v>
      </c>
      <c r="J663" s="8">
        <v>43242</v>
      </c>
      <c r="K663" s="8">
        <v>45299</v>
      </c>
      <c r="L663" s="6">
        <v>313900.75</v>
      </c>
      <c r="M663" s="6">
        <v>99000.8</v>
      </c>
      <c r="N663" s="6">
        <v>835</v>
      </c>
      <c r="O663" s="6">
        <v>314000</v>
      </c>
      <c r="P663" s="6" t="s">
        <v>36</v>
      </c>
      <c r="Q663" s="6" t="s">
        <v>27</v>
      </c>
      <c r="R663" s="6">
        <v>0</v>
      </c>
      <c r="S663" s="6" t="s">
        <v>28</v>
      </c>
      <c r="T663" s="7">
        <f t="shared" si="50"/>
        <v>0.31528917197452228</v>
      </c>
      <c r="U663" s="6">
        <f t="shared" si="51"/>
        <v>7</v>
      </c>
      <c r="V663" s="5" t="str">
        <f t="shared" si="52"/>
        <v>EXCEPTIONAL</v>
      </c>
      <c r="W663" s="6" t="str">
        <f t="shared" si="53"/>
        <v>55+</v>
      </c>
      <c r="X663" s="6" t="str">
        <f t="shared" si="54"/>
        <v>High</v>
      </c>
    </row>
    <row r="664" spans="1:24">
      <c r="A664" s="6" t="s">
        <v>542</v>
      </c>
      <c r="B664" s="6" t="s">
        <v>1629</v>
      </c>
      <c r="C664" s="6" t="s">
        <v>52</v>
      </c>
      <c r="D664" s="6" t="s">
        <v>68</v>
      </c>
      <c r="E664" s="6" t="s">
        <v>114</v>
      </c>
      <c r="F664" s="6">
        <v>56</v>
      </c>
      <c r="G664" s="6" t="s">
        <v>34</v>
      </c>
      <c r="H664" s="6" t="s">
        <v>1630</v>
      </c>
      <c r="I664" s="6" t="s">
        <v>4006</v>
      </c>
      <c r="J664" s="8">
        <v>44187</v>
      </c>
      <c r="K664" s="8">
        <v>45302</v>
      </c>
      <c r="L664" s="6">
        <v>67700.600000000006</v>
      </c>
      <c r="M664" s="6">
        <v>37700.25</v>
      </c>
      <c r="N664" s="6">
        <v>665</v>
      </c>
      <c r="O664" s="6">
        <v>122000</v>
      </c>
      <c r="P664" s="6" t="s">
        <v>26</v>
      </c>
      <c r="Q664" s="6" t="s">
        <v>27</v>
      </c>
      <c r="R664" s="6">
        <v>0</v>
      </c>
      <c r="S664" s="6" t="s">
        <v>28</v>
      </c>
      <c r="T664" s="7">
        <f t="shared" si="50"/>
        <v>0.30901844262295081</v>
      </c>
      <c r="U664" s="6">
        <f t="shared" si="51"/>
        <v>4</v>
      </c>
      <c r="V664" s="5" t="str">
        <f t="shared" si="52"/>
        <v>FAIR</v>
      </c>
      <c r="W664" s="6" t="str">
        <f t="shared" si="53"/>
        <v>55+</v>
      </c>
      <c r="X664" s="6" t="str">
        <f t="shared" si="54"/>
        <v>Lower-Middle</v>
      </c>
    </row>
    <row r="665" spans="1:24">
      <c r="A665" s="6" t="s">
        <v>545</v>
      </c>
      <c r="B665" s="6" t="s">
        <v>1631</v>
      </c>
      <c r="C665" s="6" t="s">
        <v>46</v>
      </c>
      <c r="D665" s="6" t="s">
        <v>241</v>
      </c>
      <c r="E665" s="6" t="s">
        <v>242</v>
      </c>
      <c r="F665" s="6">
        <v>48</v>
      </c>
      <c r="G665" s="6" t="s">
        <v>24</v>
      </c>
      <c r="H665" s="6" t="s">
        <v>1632</v>
      </c>
      <c r="I665" s="6" t="s">
        <v>4021</v>
      </c>
      <c r="J665" s="8">
        <v>44826</v>
      </c>
      <c r="K665" s="8">
        <v>45303</v>
      </c>
      <c r="L665" s="6">
        <v>91000.8</v>
      </c>
      <c r="M665" s="6">
        <v>45200.4</v>
      </c>
      <c r="N665" s="6">
        <v>750</v>
      </c>
      <c r="O665" s="6">
        <v>148000</v>
      </c>
      <c r="P665" s="6" t="s">
        <v>26</v>
      </c>
      <c r="Q665" s="6" t="s">
        <v>27</v>
      </c>
      <c r="R665" s="6">
        <v>0</v>
      </c>
      <c r="S665" s="6" t="s">
        <v>28</v>
      </c>
      <c r="T665" s="7">
        <f t="shared" si="50"/>
        <v>0.30540810810810815</v>
      </c>
      <c r="U665" s="6">
        <f t="shared" si="51"/>
        <v>3</v>
      </c>
      <c r="V665" s="5" t="str">
        <f t="shared" si="52"/>
        <v>VERY GOOD</v>
      </c>
      <c r="W665" s="6" t="str">
        <f t="shared" si="53"/>
        <v>45-54</v>
      </c>
      <c r="X665" s="6" t="str">
        <f t="shared" si="54"/>
        <v>Upper-Middle</v>
      </c>
    </row>
    <row r="666" spans="1:24">
      <c r="A666" s="6" t="s">
        <v>548</v>
      </c>
      <c r="B666" s="6" t="s">
        <v>1633</v>
      </c>
      <c r="C666" s="6" t="s">
        <v>57</v>
      </c>
      <c r="D666" s="6" t="s">
        <v>22</v>
      </c>
      <c r="E666" s="6" t="s">
        <v>282</v>
      </c>
      <c r="F666" s="6">
        <v>44</v>
      </c>
      <c r="G666" s="6" t="s">
        <v>34</v>
      </c>
      <c r="H666" s="6" t="s">
        <v>1634</v>
      </c>
      <c r="I666" s="6" t="s">
        <v>3890</v>
      </c>
      <c r="J666" s="8">
        <v>45007</v>
      </c>
      <c r="K666" s="8">
        <v>45305</v>
      </c>
      <c r="L666" s="6">
        <v>29900.9</v>
      </c>
      <c r="M666" s="6">
        <v>12000.75</v>
      </c>
      <c r="N666" s="6">
        <v>770</v>
      </c>
      <c r="O666" s="6">
        <v>79000</v>
      </c>
      <c r="P666" s="6" t="s">
        <v>36</v>
      </c>
      <c r="Q666" s="6" t="s">
        <v>27</v>
      </c>
      <c r="R666" s="6">
        <v>0</v>
      </c>
      <c r="S666" s="6" t="s">
        <v>28</v>
      </c>
      <c r="T666" s="7">
        <f t="shared" si="50"/>
        <v>0.15190822784810126</v>
      </c>
      <c r="U666" s="6">
        <f t="shared" si="51"/>
        <v>1</v>
      </c>
      <c r="V666" s="5" t="str">
        <f t="shared" si="52"/>
        <v>VERY GOOD</v>
      </c>
      <c r="W666" s="6" t="str">
        <f t="shared" si="53"/>
        <v>35-44</v>
      </c>
      <c r="X666" s="6" t="str">
        <f t="shared" si="54"/>
        <v>Lower-Middle</v>
      </c>
    </row>
    <row r="667" spans="1:24">
      <c r="A667" s="6" t="s">
        <v>551</v>
      </c>
      <c r="B667" s="6" t="s">
        <v>1635</v>
      </c>
      <c r="C667" s="6" t="s">
        <v>39</v>
      </c>
      <c r="D667" s="6" t="s">
        <v>313</v>
      </c>
      <c r="E667" s="6" t="s">
        <v>385</v>
      </c>
      <c r="F667" s="6">
        <v>67</v>
      </c>
      <c r="G667" s="6" t="s">
        <v>24</v>
      </c>
      <c r="H667" s="6" t="s">
        <v>1636</v>
      </c>
      <c r="I667" s="6" t="s">
        <v>4022</v>
      </c>
      <c r="J667" s="8">
        <v>43426</v>
      </c>
      <c r="K667" s="8">
        <v>45299</v>
      </c>
      <c r="L667" s="6">
        <v>200100.25</v>
      </c>
      <c r="M667" s="6">
        <v>103000.8</v>
      </c>
      <c r="N667" s="6">
        <v>645</v>
      </c>
      <c r="O667" s="6">
        <v>219000</v>
      </c>
      <c r="P667" s="6" t="s">
        <v>76</v>
      </c>
      <c r="Q667" s="6" t="s">
        <v>27</v>
      </c>
      <c r="R667" s="6">
        <v>0</v>
      </c>
      <c r="S667" s="6" t="s">
        <v>28</v>
      </c>
      <c r="T667" s="7">
        <f t="shared" si="50"/>
        <v>0.47032328767123288</v>
      </c>
      <c r="U667" s="6">
        <f t="shared" si="51"/>
        <v>7</v>
      </c>
      <c r="V667" s="5" t="str">
        <f t="shared" si="52"/>
        <v>FAIR</v>
      </c>
      <c r="W667" s="6" t="str">
        <f t="shared" si="53"/>
        <v>55+</v>
      </c>
      <c r="X667" s="6" t="str">
        <f t="shared" si="54"/>
        <v>High</v>
      </c>
    </row>
    <row r="668" spans="1:24">
      <c r="A668" s="6" t="s">
        <v>554</v>
      </c>
      <c r="B668" s="6" t="s">
        <v>1637</v>
      </c>
      <c r="C668" s="6" t="s">
        <v>31</v>
      </c>
      <c r="D668" s="6" t="s">
        <v>214</v>
      </c>
      <c r="E668" s="6" t="s">
        <v>215</v>
      </c>
      <c r="F668" s="6">
        <v>40</v>
      </c>
      <c r="G668" s="6" t="s">
        <v>34</v>
      </c>
      <c r="H668" s="6" t="s">
        <v>1638</v>
      </c>
      <c r="I668" s="6" t="s">
        <v>4023</v>
      </c>
      <c r="J668" s="8">
        <v>45363</v>
      </c>
      <c r="K668" s="8">
        <v>45306</v>
      </c>
      <c r="L668" s="6">
        <v>24200.5</v>
      </c>
      <c r="M668" s="6">
        <v>11600.4</v>
      </c>
      <c r="N668" s="6">
        <v>720</v>
      </c>
      <c r="O668" s="6">
        <v>56000</v>
      </c>
      <c r="P668" s="6" t="s">
        <v>36</v>
      </c>
      <c r="Q668" s="6" t="s">
        <v>27</v>
      </c>
      <c r="R668" s="6">
        <v>0</v>
      </c>
      <c r="S668" s="6" t="s">
        <v>28</v>
      </c>
      <c r="T668" s="7">
        <f t="shared" si="50"/>
        <v>0.20715</v>
      </c>
      <c r="U668" s="6">
        <f t="shared" si="51"/>
        <v>0</v>
      </c>
      <c r="V668" s="5" t="str">
        <f t="shared" si="52"/>
        <v>GOOD</v>
      </c>
      <c r="W668" s="6" t="str">
        <f t="shared" si="53"/>
        <v>35-44</v>
      </c>
      <c r="X668" s="6" t="str">
        <f t="shared" si="54"/>
        <v>Low</v>
      </c>
    </row>
    <row r="669" spans="1:24">
      <c r="A669" s="6" t="s">
        <v>108</v>
      </c>
      <c r="B669" s="6" t="s">
        <v>1639</v>
      </c>
      <c r="C669" s="6" t="s">
        <v>84</v>
      </c>
      <c r="D669" s="6" t="s">
        <v>32</v>
      </c>
      <c r="E669" s="6" t="s">
        <v>33</v>
      </c>
      <c r="F669" s="6">
        <v>36</v>
      </c>
      <c r="G669" s="6" t="s">
        <v>24</v>
      </c>
      <c r="H669" s="6" t="s">
        <v>1640</v>
      </c>
      <c r="I669" s="6" t="s">
        <v>3620</v>
      </c>
      <c r="J669" s="8">
        <v>45366</v>
      </c>
      <c r="K669" s="8">
        <v>45304</v>
      </c>
      <c r="L669" s="6">
        <v>3250.8</v>
      </c>
      <c r="M669" s="6">
        <v>11400.25</v>
      </c>
      <c r="N669" s="6">
        <v>605</v>
      </c>
      <c r="O669" s="6">
        <v>32000</v>
      </c>
      <c r="P669" s="6" t="s">
        <v>76</v>
      </c>
      <c r="Q669" s="6" t="s">
        <v>43</v>
      </c>
      <c r="R669" s="6">
        <v>0</v>
      </c>
      <c r="S669" s="6" t="s">
        <v>28</v>
      </c>
      <c r="T669" s="7">
        <f t="shared" si="50"/>
        <v>0.35625781249999999</v>
      </c>
      <c r="U669" s="6">
        <f t="shared" si="51"/>
        <v>2</v>
      </c>
      <c r="V669" s="5" t="str">
        <f t="shared" si="52"/>
        <v>FAIR</v>
      </c>
      <c r="W669" s="6" t="str">
        <f t="shared" si="53"/>
        <v>35-44</v>
      </c>
      <c r="X669" s="6" t="str">
        <f t="shared" si="54"/>
        <v>Low</v>
      </c>
    </row>
    <row r="670" spans="1:24">
      <c r="A670" s="6" t="s">
        <v>559</v>
      </c>
      <c r="B670" s="6" t="s">
        <v>1641</v>
      </c>
      <c r="C670" s="6" t="s">
        <v>46</v>
      </c>
      <c r="D670" s="6" t="s">
        <v>254</v>
      </c>
      <c r="E670" s="6" t="s">
        <v>255</v>
      </c>
      <c r="F670" s="6">
        <v>50</v>
      </c>
      <c r="G670" s="6" t="s">
        <v>34</v>
      </c>
      <c r="H670" s="6" t="s">
        <v>1642</v>
      </c>
      <c r="I670" s="6" t="s">
        <v>4024</v>
      </c>
      <c r="J670" s="8">
        <v>44703</v>
      </c>
      <c r="K670" s="8">
        <v>45302</v>
      </c>
      <c r="L670" s="6">
        <v>77700.399999999994</v>
      </c>
      <c r="M670" s="6">
        <v>39900.75</v>
      </c>
      <c r="N670" s="6">
        <v>710</v>
      </c>
      <c r="O670" s="6">
        <v>130000</v>
      </c>
      <c r="P670" s="6" t="s">
        <v>26</v>
      </c>
      <c r="Q670" s="6" t="s">
        <v>27</v>
      </c>
      <c r="R670" s="6">
        <v>0</v>
      </c>
      <c r="S670" s="6" t="s">
        <v>28</v>
      </c>
      <c r="T670" s="7">
        <f t="shared" si="50"/>
        <v>0.30692884615384614</v>
      </c>
      <c r="U670" s="6">
        <f t="shared" si="51"/>
        <v>4</v>
      </c>
      <c r="V670" s="5" t="str">
        <f t="shared" si="52"/>
        <v>GOOD</v>
      </c>
      <c r="W670" s="6" t="str">
        <f t="shared" si="53"/>
        <v>45-54</v>
      </c>
      <c r="X670" s="6" t="str">
        <f t="shared" si="54"/>
        <v>Upper-Middle</v>
      </c>
    </row>
    <row r="671" spans="1:24">
      <c r="A671" s="6" t="s">
        <v>562</v>
      </c>
      <c r="B671" s="6" t="s">
        <v>1643</v>
      </c>
      <c r="C671" s="6" t="s">
        <v>39</v>
      </c>
      <c r="D671" s="6" t="s">
        <v>47</v>
      </c>
      <c r="E671" s="6" t="s">
        <v>98</v>
      </c>
      <c r="F671" s="6">
        <v>64</v>
      </c>
      <c r="G671" s="6" t="s">
        <v>24</v>
      </c>
      <c r="H671" s="6" t="s">
        <v>1644</v>
      </c>
      <c r="I671" s="6" t="s">
        <v>3773</v>
      </c>
      <c r="J671" s="8">
        <v>43577</v>
      </c>
      <c r="K671" s="8">
        <v>45300</v>
      </c>
      <c r="L671" s="6">
        <v>180300.6</v>
      </c>
      <c r="M671" s="6">
        <v>96000.25</v>
      </c>
      <c r="N671" s="6">
        <v>675</v>
      </c>
      <c r="O671" s="6">
        <v>199000</v>
      </c>
      <c r="P671" s="6" t="s">
        <v>76</v>
      </c>
      <c r="Q671" s="6" t="s">
        <v>27</v>
      </c>
      <c r="R671" s="6">
        <v>0</v>
      </c>
      <c r="S671" s="6" t="s">
        <v>28</v>
      </c>
      <c r="T671" s="7">
        <f t="shared" si="50"/>
        <v>0.48241331658291459</v>
      </c>
      <c r="U671" s="6">
        <f t="shared" si="51"/>
        <v>6</v>
      </c>
      <c r="V671" s="5" t="str">
        <f t="shared" si="52"/>
        <v>GOOD</v>
      </c>
      <c r="W671" s="6" t="str">
        <f t="shared" si="53"/>
        <v>55+</v>
      </c>
      <c r="X671" s="6" t="str">
        <f t="shared" si="54"/>
        <v>High</v>
      </c>
    </row>
    <row r="672" spans="1:24">
      <c r="A672" s="6" t="s">
        <v>565</v>
      </c>
      <c r="B672" s="6" t="s">
        <v>1645</v>
      </c>
      <c r="C672" s="6" t="s">
        <v>52</v>
      </c>
      <c r="D672" s="6" t="s">
        <v>233</v>
      </c>
      <c r="E672" s="6" t="s">
        <v>234</v>
      </c>
      <c r="F672" s="6">
        <v>49</v>
      </c>
      <c r="G672" s="6" t="s">
        <v>34</v>
      </c>
      <c r="H672" s="6" t="s">
        <v>1646</v>
      </c>
      <c r="I672" s="6" t="s">
        <v>3774</v>
      </c>
      <c r="J672" s="8">
        <v>44491</v>
      </c>
      <c r="K672" s="8">
        <v>45301</v>
      </c>
      <c r="L672" s="6">
        <v>54100.75</v>
      </c>
      <c r="M672" s="6">
        <v>31000.799999999999</v>
      </c>
      <c r="N672" s="6">
        <v>725</v>
      </c>
      <c r="O672" s="6">
        <v>96000</v>
      </c>
      <c r="P672" s="6" t="s">
        <v>26</v>
      </c>
      <c r="Q672" s="6" t="s">
        <v>27</v>
      </c>
      <c r="R672" s="6">
        <v>0</v>
      </c>
      <c r="S672" s="6" t="s">
        <v>28</v>
      </c>
      <c r="T672" s="7">
        <f t="shared" si="50"/>
        <v>0.32292500000000002</v>
      </c>
      <c r="U672" s="6">
        <f t="shared" si="51"/>
        <v>5</v>
      </c>
      <c r="V672" s="5" t="str">
        <f t="shared" si="52"/>
        <v>GOOD</v>
      </c>
      <c r="W672" s="6" t="str">
        <f t="shared" si="53"/>
        <v>45-54</v>
      </c>
      <c r="X672" s="6" t="str">
        <f t="shared" si="54"/>
        <v>Lower-Middle</v>
      </c>
    </row>
    <row r="673" spans="1:24">
      <c r="A673" s="6" t="s">
        <v>568</v>
      </c>
      <c r="B673" s="6" t="s">
        <v>1647</v>
      </c>
      <c r="C673" s="6" t="s">
        <v>57</v>
      </c>
      <c r="D673" s="6" t="s">
        <v>79</v>
      </c>
      <c r="E673" s="6" t="s">
        <v>80</v>
      </c>
      <c r="F673" s="6">
        <v>47</v>
      </c>
      <c r="G673" s="6" t="s">
        <v>24</v>
      </c>
      <c r="H673" s="6" t="s">
        <v>1648</v>
      </c>
      <c r="I673" s="6" t="s">
        <v>3775</v>
      </c>
      <c r="J673" s="8">
        <v>44948</v>
      </c>
      <c r="K673" s="8">
        <v>45303</v>
      </c>
      <c r="L673" s="6">
        <v>32100.400000000001</v>
      </c>
      <c r="M673" s="6">
        <v>12800.9</v>
      </c>
      <c r="N673" s="6">
        <v>740</v>
      </c>
      <c r="O673" s="6">
        <v>82000</v>
      </c>
      <c r="P673" s="6" t="s">
        <v>36</v>
      </c>
      <c r="Q673" s="6" t="s">
        <v>27</v>
      </c>
      <c r="R673" s="6">
        <v>0</v>
      </c>
      <c r="S673" s="6" t="s">
        <v>28</v>
      </c>
      <c r="T673" s="7">
        <f t="shared" si="50"/>
        <v>0.15610853658536586</v>
      </c>
      <c r="U673" s="6">
        <f t="shared" si="51"/>
        <v>3</v>
      </c>
      <c r="V673" s="5" t="str">
        <f t="shared" si="52"/>
        <v>GOOD</v>
      </c>
      <c r="W673" s="6" t="str">
        <f t="shared" si="53"/>
        <v>45-54</v>
      </c>
      <c r="X673" s="6" t="str">
        <f t="shared" si="54"/>
        <v>Lower-Middle</v>
      </c>
    </row>
    <row r="674" spans="1:24">
      <c r="A674" s="6" t="s">
        <v>571</v>
      </c>
      <c r="B674" s="6" t="s">
        <v>1649</v>
      </c>
      <c r="C674" s="6" t="s">
        <v>21</v>
      </c>
      <c r="D674" s="6" t="s">
        <v>63</v>
      </c>
      <c r="E674" s="6" t="s">
        <v>3514</v>
      </c>
      <c r="F674" s="6">
        <v>70</v>
      </c>
      <c r="G674" s="6" t="s">
        <v>34</v>
      </c>
      <c r="H674" s="6" t="s">
        <v>1650</v>
      </c>
      <c r="I674" s="6" t="s">
        <v>4025</v>
      </c>
      <c r="J674" s="8">
        <v>43122</v>
      </c>
      <c r="K674" s="8">
        <v>45299</v>
      </c>
      <c r="L674" s="6">
        <v>269200.90000000002</v>
      </c>
      <c r="M674" s="6">
        <v>86000.6</v>
      </c>
      <c r="N674" s="6">
        <v>830</v>
      </c>
      <c r="O674" s="6">
        <v>294000</v>
      </c>
      <c r="P674" s="6" t="s">
        <v>36</v>
      </c>
      <c r="Q674" s="6" t="s">
        <v>27</v>
      </c>
      <c r="R674" s="6">
        <v>0</v>
      </c>
      <c r="S674" s="6" t="s">
        <v>28</v>
      </c>
      <c r="T674" s="7">
        <f t="shared" si="50"/>
        <v>0.29251904761904762</v>
      </c>
      <c r="U674" s="6">
        <f t="shared" si="51"/>
        <v>7</v>
      </c>
      <c r="V674" s="5" t="str">
        <f t="shared" si="52"/>
        <v>EXCEPTIONAL</v>
      </c>
      <c r="W674" s="6" t="str">
        <f t="shared" si="53"/>
        <v>55+</v>
      </c>
      <c r="X674" s="6" t="str">
        <f t="shared" si="54"/>
        <v>High</v>
      </c>
    </row>
    <row r="675" spans="1:24">
      <c r="A675" s="6" t="s">
        <v>574</v>
      </c>
      <c r="B675" s="6" t="s">
        <v>1651</v>
      </c>
      <c r="C675" s="6" t="s">
        <v>39</v>
      </c>
      <c r="D675" s="6" t="s">
        <v>68</v>
      </c>
      <c r="E675" s="6" t="s">
        <v>179</v>
      </c>
      <c r="F675" s="6">
        <v>62</v>
      </c>
      <c r="G675" s="6" t="s">
        <v>24</v>
      </c>
      <c r="H675" s="6" t="s">
        <v>1652</v>
      </c>
      <c r="I675" s="6" t="s">
        <v>4026</v>
      </c>
      <c r="J675" s="8">
        <v>43716</v>
      </c>
      <c r="K675" s="8">
        <v>45300</v>
      </c>
      <c r="L675" s="6">
        <v>158100.25</v>
      </c>
      <c r="M675" s="6">
        <v>88000.4</v>
      </c>
      <c r="N675" s="6">
        <v>655</v>
      </c>
      <c r="O675" s="6">
        <v>184000</v>
      </c>
      <c r="P675" s="6" t="s">
        <v>76</v>
      </c>
      <c r="Q675" s="6" t="s">
        <v>27</v>
      </c>
      <c r="R675" s="6">
        <v>0</v>
      </c>
      <c r="S675" s="6" t="s">
        <v>28</v>
      </c>
      <c r="T675" s="7">
        <f t="shared" si="50"/>
        <v>0.47826304347826082</v>
      </c>
      <c r="U675" s="6">
        <f t="shared" si="51"/>
        <v>6</v>
      </c>
      <c r="V675" s="5" t="str">
        <f t="shared" si="52"/>
        <v>FAIR</v>
      </c>
      <c r="W675" s="6" t="str">
        <f t="shared" si="53"/>
        <v>55+</v>
      </c>
      <c r="X675" s="6" t="str">
        <f t="shared" si="54"/>
        <v>Upper-Middle</v>
      </c>
    </row>
    <row r="676" spans="1:24">
      <c r="A676" s="6" t="s">
        <v>577</v>
      </c>
      <c r="B676" s="6" t="s">
        <v>1653</v>
      </c>
      <c r="C676" s="6" t="s">
        <v>46</v>
      </c>
      <c r="D676" s="6" t="s">
        <v>85</v>
      </c>
      <c r="E676" s="6" t="s">
        <v>86</v>
      </c>
      <c r="F676" s="6">
        <v>51</v>
      </c>
      <c r="G676" s="6" t="s">
        <v>34</v>
      </c>
      <c r="H676" s="6" t="s">
        <v>1654</v>
      </c>
      <c r="I676" s="6" t="s">
        <v>3715</v>
      </c>
      <c r="J676" s="8">
        <v>44614</v>
      </c>
      <c r="K676" s="8">
        <v>45302</v>
      </c>
      <c r="L676" s="6">
        <v>96600.6</v>
      </c>
      <c r="M676" s="6">
        <v>47900.75</v>
      </c>
      <c r="N676" s="6">
        <v>760</v>
      </c>
      <c r="O676" s="6">
        <v>153000</v>
      </c>
      <c r="P676" s="6" t="s">
        <v>26</v>
      </c>
      <c r="Q676" s="6" t="s">
        <v>27</v>
      </c>
      <c r="R676" s="6">
        <v>0</v>
      </c>
      <c r="S676" s="6" t="s">
        <v>28</v>
      </c>
      <c r="T676" s="7">
        <f t="shared" si="50"/>
        <v>0.31307679738562094</v>
      </c>
      <c r="U676" s="6">
        <f t="shared" si="51"/>
        <v>4</v>
      </c>
      <c r="V676" s="5" t="str">
        <f t="shared" si="52"/>
        <v>VERY GOOD</v>
      </c>
      <c r="W676" s="6" t="str">
        <f t="shared" si="53"/>
        <v>45-54</v>
      </c>
      <c r="X676" s="6" t="str">
        <f t="shared" si="54"/>
        <v>Upper-Middle</v>
      </c>
    </row>
    <row r="677" spans="1:24">
      <c r="A677" s="6" t="s">
        <v>458</v>
      </c>
      <c r="B677" s="6" t="s">
        <v>1655</v>
      </c>
      <c r="C677" s="6" t="s">
        <v>31</v>
      </c>
      <c r="D677" s="6" t="s">
        <v>460</v>
      </c>
      <c r="E677" s="6" t="s">
        <v>663</v>
      </c>
      <c r="F677" s="6">
        <v>42</v>
      </c>
      <c r="G677" s="6" t="s">
        <v>24</v>
      </c>
      <c r="H677" s="6" t="s">
        <v>1656</v>
      </c>
      <c r="I677" s="6" t="s">
        <v>4027</v>
      </c>
      <c r="J677" s="8">
        <v>45359</v>
      </c>
      <c r="K677" s="8">
        <v>45306</v>
      </c>
      <c r="L677" s="6">
        <v>15400.25</v>
      </c>
      <c r="M677" s="6">
        <v>9100.7999999999993</v>
      </c>
      <c r="N677" s="6">
        <v>695</v>
      </c>
      <c r="O677" s="6">
        <v>53000</v>
      </c>
      <c r="P677" s="6" t="s">
        <v>26</v>
      </c>
      <c r="Q677" s="6" t="s">
        <v>43</v>
      </c>
      <c r="R677" s="6">
        <v>0</v>
      </c>
      <c r="S677" s="6" t="s">
        <v>28</v>
      </c>
      <c r="T677" s="7">
        <f t="shared" si="50"/>
        <v>0.17171320754716979</v>
      </c>
      <c r="U677" s="6">
        <f t="shared" si="51"/>
        <v>0</v>
      </c>
      <c r="V677" s="5" t="str">
        <f t="shared" si="52"/>
        <v>GOOD</v>
      </c>
      <c r="W677" s="6" t="str">
        <f t="shared" si="53"/>
        <v>35-44</v>
      </c>
      <c r="X677" s="6" t="str">
        <f t="shared" si="54"/>
        <v>Low</v>
      </c>
    </row>
    <row r="678" spans="1:24">
      <c r="A678" s="6" t="s">
        <v>582</v>
      </c>
      <c r="B678" s="6" t="s">
        <v>1657</v>
      </c>
      <c r="C678" s="6" t="s">
        <v>57</v>
      </c>
      <c r="D678" s="6" t="s">
        <v>22</v>
      </c>
      <c r="E678" s="6" t="s">
        <v>23</v>
      </c>
      <c r="F678" s="6">
        <v>45</v>
      </c>
      <c r="G678" s="6" t="s">
        <v>34</v>
      </c>
      <c r="H678" s="6" t="s">
        <v>1658</v>
      </c>
      <c r="I678" s="6" t="s">
        <v>3949</v>
      </c>
      <c r="J678" s="8">
        <v>44887</v>
      </c>
      <c r="K678" s="8">
        <v>45303</v>
      </c>
      <c r="L678" s="6">
        <v>31000.9</v>
      </c>
      <c r="M678" s="6">
        <v>12400.25</v>
      </c>
      <c r="N678" s="6">
        <v>755</v>
      </c>
      <c r="O678" s="6">
        <v>75000</v>
      </c>
      <c r="P678" s="6" t="s">
        <v>36</v>
      </c>
      <c r="Q678" s="6" t="s">
        <v>27</v>
      </c>
      <c r="R678" s="6">
        <v>0</v>
      </c>
      <c r="S678" s="6" t="s">
        <v>28</v>
      </c>
      <c r="T678" s="7">
        <f t="shared" si="50"/>
        <v>0.16533666666666666</v>
      </c>
      <c r="U678" s="6">
        <f t="shared" si="51"/>
        <v>3</v>
      </c>
      <c r="V678" s="5" t="str">
        <f t="shared" si="52"/>
        <v>VERY GOOD</v>
      </c>
      <c r="W678" s="6" t="str">
        <f t="shared" si="53"/>
        <v>45-54</v>
      </c>
      <c r="X678" s="6" t="str">
        <f t="shared" si="54"/>
        <v>Lower-Middle</v>
      </c>
    </row>
    <row r="679" spans="1:24">
      <c r="A679" s="6" t="s">
        <v>55</v>
      </c>
      <c r="B679" s="6" t="s">
        <v>1659</v>
      </c>
      <c r="C679" s="6" t="s">
        <v>39</v>
      </c>
      <c r="D679" s="6" t="s">
        <v>58</v>
      </c>
      <c r="E679" s="6" t="s">
        <v>122</v>
      </c>
      <c r="F679" s="6">
        <v>63</v>
      </c>
      <c r="G679" s="6" t="s">
        <v>24</v>
      </c>
      <c r="H679" s="6" t="s">
        <v>1660</v>
      </c>
      <c r="I679" s="6" t="s">
        <v>3781</v>
      </c>
      <c r="J679" s="8">
        <v>43638</v>
      </c>
      <c r="K679" s="8">
        <v>45300</v>
      </c>
      <c r="L679" s="6">
        <v>191000.4</v>
      </c>
      <c r="M679" s="6">
        <v>101000.75</v>
      </c>
      <c r="N679" s="6">
        <v>685</v>
      </c>
      <c r="O679" s="6">
        <v>209000</v>
      </c>
      <c r="P679" s="6" t="s">
        <v>76</v>
      </c>
      <c r="Q679" s="6" t="s">
        <v>27</v>
      </c>
      <c r="R679" s="6">
        <v>0</v>
      </c>
      <c r="S679" s="6" t="s">
        <v>28</v>
      </c>
      <c r="T679" s="7">
        <f t="shared" si="50"/>
        <v>0.4832571770334928</v>
      </c>
      <c r="U679" s="6">
        <f t="shared" si="51"/>
        <v>6</v>
      </c>
      <c r="V679" s="5" t="str">
        <f t="shared" si="52"/>
        <v>GOOD</v>
      </c>
      <c r="W679" s="6" t="str">
        <f t="shared" si="53"/>
        <v>55+</v>
      </c>
      <c r="X679" s="6" t="str">
        <f t="shared" si="54"/>
        <v>High</v>
      </c>
    </row>
    <row r="680" spans="1:24">
      <c r="A680" s="6" t="s">
        <v>469</v>
      </c>
      <c r="B680" s="6" t="s">
        <v>1661</v>
      </c>
      <c r="C680" s="6" t="s">
        <v>52</v>
      </c>
      <c r="D680" s="6" t="s">
        <v>471</v>
      </c>
      <c r="E680" s="6" t="s">
        <v>472</v>
      </c>
      <c r="F680" s="6">
        <v>54</v>
      </c>
      <c r="G680" s="6" t="s">
        <v>34</v>
      </c>
      <c r="H680" s="6" t="s">
        <v>1662</v>
      </c>
      <c r="I680" s="6" t="s">
        <v>4028</v>
      </c>
      <c r="J680" s="8">
        <v>44277</v>
      </c>
      <c r="K680" s="8">
        <v>45301</v>
      </c>
      <c r="L680" s="6">
        <v>61000.800000000003</v>
      </c>
      <c r="M680" s="6">
        <v>34100.6</v>
      </c>
      <c r="N680" s="6">
        <v>715</v>
      </c>
      <c r="O680" s="6">
        <v>108000</v>
      </c>
      <c r="P680" s="6" t="s">
        <v>26</v>
      </c>
      <c r="Q680" s="6" t="s">
        <v>27</v>
      </c>
      <c r="R680" s="6">
        <v>0</v>
      </c>
      <c r="S680" s="6" t="s">
        <v>28</v>
      </c>
      <c r="T680" s="7">
        <f t="shared" si="50"/>
        <v>0.3157462962962963</v>
      </c>
      <c r="U680" s="6">
        <f t="shared" si="51"/>
        <v>5</v>
      </c>
      <c r="V680" s="5" t="str">
        <f t="shared" si="52"/>
        <v>GOOD</v>
      </c>
      <c r="W680" s="6" t="str">
        <f t="shared" si="53"/>
        <v>45-54</v>
      </c>
      <c r="X680" s="6" t="str">
        <f t="shared" si="54"/>
        <v>Lower-Middle</v>
      </c>
    </row>
    <row r="681" spans="1:24">
      <c r="A681" s="6" t="s">
        <v>474</v>
      </c>
      <c r="B681" s="6" t="s">
        <v>1663</v>
      </c>
      <c r="C681" s="6" t="s">
        <v>46</v>
      </c>
      <c r="D681" s="6" t="s">
        <v>345</v>
      </c>
      <c r="E681" s="6" t="s">
        <v>476</v>
      </c>
      <c r="F681" s="6">
        <v>57</v>
      </c>
      <c r="G681" s="6" t="s">
        <v>24</v>
      </c>
      <c r="H681" s="6" t="s">
        <v>1664</v>
      </c>
      <c r="I681" s="6" t="s">
        <v>3783</v>
      </c>
      <c r="J681" s="8">
        <v>44187</v>
      </c>
      <c r="K681" s="8">
        <v>45302</v>
      </c>
      <c r="L681" s="6">
        <v>88800.25</v>
      </c>
      <c r="M681" s="6">
        <v>44100.4</v>
      </c>
      <c r="N681" s="6">
        <v>680</v>
      </c>
      <c r="O681" s="6">
        <v>137000</v>
      </c>
      <c r="P681" s="6" t="s">
        <v>26</v>
      </c>
      <c r="Q681" s="6" t="s">
        <v>27</v>
      </c>
      <c r="R681" s="6">
        <v>0</v>
      </c>
      <c r="S681" s="6" t="s">
        <v>28</v>
      </c>
      <c r="T681" s="7">
        <f t="shared" si="50"/>
        <v>0.3219007299270073</v>
      </c>
      <c r="U681" s="6">
        <f t="shared" si="51"/>
        <v>4</v>
      </c>
      <c r="V681" s="5" t="str">
        <f t="shared" si="52"/>
        <v>GOOD</v>
      </c>
      <c r="W681" s="6" t="str">
        <f t="shared" si="53"/>
        <v>55+</v>
      </c>
      <c r="X681" s="6" t="str">
        <f t="shared" si="54"/>
        <v>Upper-Middle</v>
      </c>
    </row>
    <row r="682" spans="1:24">
      <c r="A682" s="6" t="s">
        <v>592</v>
      </c>
      <c r="B682" s="6" t="s">
        <v>1665</v>
      </c>
      <c r="C682" s="6" t="s">
        <v>84</v>
      </c>
      <c r="D682" s="6" t="s">
        <v>32</v>
      </c>
      <c r="E682" s="6" t="s">
        <v>90</v>
      </c>
      <c r="F682" s="6">
        <v>37</v>
      </c>
      <c r="G682" s="6" t="s">
        <v>34</v>
      </c>
      <c r="H682" s="6" t="s">
        <v>1666</v>
      </c>
      <c r="I682" s="6" t="s">
        <v>3784</v>
      </c>
      <c r="J682" s="8">
        <v>45373</v>
      </c>
      <c r="K682" s="8">
        <v>45304</v>
      </c>
      <c r="L682" s="6">
        <v>3350.4</v>
      </c>
      <c r="M682" s="6">
        <v>12000.75</v>
      </c>
      <c r="N682" s="6">
        <v>610</v>
      </c>
      <c r="O682" s="6">
        <v>33000</v>
      </c>
      <c r="P682" s="6" t="s">
        <v>76</v>
      </c>
      <c r="Q682" s="6" t="s">
        <v>43</v>
      </c>
      <c r="R682" s="6">
        <v>0</v>
      </c>
      <c r="S682" s="6" t="s">
        <v>28</v>
      </c>
      <c r="T682" s="7">
        <f t="shared" si="50"/>
        <v>0.36365909090909093</v>
      </c>
      <c r="U682" s="6">
        <f t="shared" si="51"/>
        <v>2</v>
      </c>
      <c r="V682" s="5" t="str">
        <f t="shared" si="52"/>
        <v>FAIR</v>
      </c>
      <c r="W682" s="6" t="str">
        <f t="shared" si="53"/>
        <v>35-44</v>
      </c>
      <c r="X682" s="6" t="str">
        <f t="shared" si="54"/>
        <v>Low</v>
      </c>
    </row>
    <row r="683" spans="1:24">
      <c r="A683" s="6" t="s">
        <v>595</v>
      </c>
      <c r="B683" s="6" t="s">
        <v>1667</v>
      </c>
      <c r="C683" s="6" t="s">
        <v>21</v>
      </c>
      <c r="D683" s="6" t="s">
        <v>209</v>
      </c>
      <c r="E683" s="6" t="s">
        <v>210</v>
      </c>
      <c r="F683" s="6">
        <v>69</v>
      </c>
      <c r="G683" s="6" t="s">
        <v>24</v>
      </c>
      <c r="H683" s="6" t="s">
        <v>1668</v>
      </c>
      <c r="I683" s="6" t="s">
        <v>4017</v>
      </c>
      <c r="J683" s="8">
        <v>43334</v>
      </c>
      <c r="K683" s="8">
        <v>45299</v>
      </c>
      <c r="L683" s="6">
        <v>289000.8</v>
      </c>
      <c r="M683" s="6">
        <v>92000.25</v>
      </c>
      <c r="N683" s="6">
        <v>825</v>
      </c>
      <c r="O683" s="6">
        <v>289000</v>
      </c>
      <c r="P683" s="6" t="s">
        <v>36</v>
      </c>
      <c r="Q683" s="6" t="s">
        <v>27</v>
      </c>
      <c r="R683" s="6">
        <v>0</v>
      </c>
      <c r="S683" s="6" t="s">
        <v>28</v>
      </c>
      <c r="T683" s="7">
        <f t="shared" si="50"/>
        <v>0.31833996539792386</v>
      </c>
      <c r="U683" s="6">
        <f t="shared" si="51"/>
        <v>7</v>
      </c>
      <c r="V683" s="5" t="str">
        <f t="shared" si="52"/>
        <v>EXCEPTIONAL</v>
      </c>
      <c r="W683" s="6" t="str">
        <f t="shared" si="53"/>
        <v>55+</v>
      </c>
      <c r="X683" s="6" t="str">
        <f t="shared" si="54"/>
        <v>High</v>
      </c>
    </row>
    <row r="684" spans="1:24">
      <c r="A684" s="6" t="s">
        <v>226</v>
      </c>
      <c r="B684" s="6" t="s">
        <v>1669</v>
      </c>
      <c r="C684" s="6" t="s">
        <v>57</v>
      </c>
      <c r="D684" s="6" t="s">
        <v>228</v>
      </c>
      <c r="E684" s="6" t="s">
        <v>229</v>
      </c>
      <c r="F684" s="6">
        <v>44</v>
      </c>
      <c r="G684" s="6" t="s">
        <v>34</v>
      </c>
      <c r="H684" s="6" t="s">
        <v>1670</v>
      </c>
      <c r="I684" s="6" t="s">
        <v>4029</v>
      </c>
      <c r="J684" s="8">
        <v>45068</v>
      </c>
      <c r="K684" s="8">
        <v>45305</v>
      </c>
      <c r="L684" s="6">
        <v>27700.75</v>
      </c>
      <c r="M684" s="6">
        <v>10800.4</v>
      </c>
      <c r="N684" s="6">
        <v>725</v>
      </c>
      <c r="O684" s="6">
        <v>65000</v>
      </c>
      <c r="P684" s="6" t="s">
        <v>36</v>
      </c>
      <c r="Q684" s="6" t="s">
        <v>27</v>
      </c>
      <c r="R684" s="6">
        <v>0</v>
      </c>
      <c r="S684" s="6" t="s">
        <v>28</v>
      </c>
      <c r="T684" s="7">
        <f t="shared" si="50"/>
        <v>0.16616</v>
      </c>
      <c r="U684" s="6">
        <f t="shared" si="51"/>
        <v>1</v>
      </c>
      <c r="V684" s="5" t="str">
        <f t="shared" si="52"/>
        <v>GOOD</v>
      </c>
      <c r="W684" s="6" t="str">
        <f t="shared" si="53"/>
        <v>35-44</v>
      </c>
      <c r="X684" s="6" t="str">
        <f t="shared" si="54"/>
        <v>Low</v>
      </c>
    </row>
    <row r="685" spans="1:24">
      <c r="A685" s="6" t="s">
        <v>488</v>
      </c>
      <c r="B685" s="6" t="s">
        <v>1671</v>
      </c>
      <c r="C685" s="6" t="s">
        <v>39</v>
      </c>
      <c r="D685" s="6" t="s">
        <v>304</v>
      </c>
      <c r="E685" s="6" t="s">
        <v>304</v>
      </c>
      <c r="F685" s="6">
        <v>61</v>
      </c>
      <c r="G685" s="6" t="s">
        <v>24</v>
      </c>
      <c r="H685" s="6" t="s">
        <v>1672</v>
      </c>
      <c r="I685" s="6" t="s">
        <v>4030</v>
      </c>
      <c r="J685" s="8">
        <v>43811</v>
      </c>
      <c r="K685" s="8">
        <v>45300</v>
      </c>
      <c r="L685" s="6">
        <v>169200.6</v>
      </c>
      <c r="M685" s="6">
        <v>92000.9</v>
      </c>
      <c r="N685" s="6">
        <v>675</v>
      </c>
      <c r="O685" s="6">
        <v>189000</v>
      </c>
      <c r="P685" s="6" t="s">
        <v>76</v>
      </c>
      <c r="Q685" s="6" t="s">
        <v>27</v>
      </c>
      <c r="R685" s="6">
        <v>0</v>
      </c>
      <c r="S685" s="6" t="s">
        <v>28</v>
      </c>
      <c r="T685" s="7">
        <f t="shared" si="50"/>
        <v>0.48677724867724864</v>
      </c>
      <c r="U685" s="6">
        <f t="shared" si="51"/>
        <v>6</v>
      </c>
      <c r="V685" s="5" t="str">
        <f t="shared" si="52"/>
        <v>GOOD</v>
      </c>
      <c r="W685" s="6" t="str">
        <f t="shared" si="53"/>
        <v>55+</v>
      </c>
      <c r="X685" s="6" t="str">
        <f t="shared" si="54"/>
        <v>Upper-Middle</v>
      </c>
    </row>
    <row r="686" spans="1:24">
      <c r="A686" s="6" t="s">
        <v>491</v>
      </c>
      <c r="B686" s="6" t="s">
        <v>1673</v>
      </c>
      <c r="C686" s="6" t="s">
        <v>52</v>
      </c>
      <c r="D686" s="6" t="s">
        <v>493</v>
      </c>
      <c r="E686" s="6" t="s">
        <v>494</v>
      </c>
      <c r="F686" s="6">
        <v>52</v>
      </c>
      <c r="G686" s="6" t="s">
        <v>34</v>
      </c>
      <c r="H686" s="6" t="s">
        <v>1674</v>
      </c>
      <c r="I686" s="6" t="s">
        <v>4031</v>
      </c>
      <c r="J686" s="8">
        <v>44583</v>
      </c>
      <c r="K686" s="8">
        <v>45302</v>
      </c>
      <c r="L686" s="6">
        <v>55200.4</v>
      </c>
      <c r="M686" s="6">
        <v>29900.25</v>
      </c>
      <c r="N686" s="6">
        <v>705</v>
      </c>
      <c r="O686" s="6">
        <v>97000</v>
      </c>
      <c r="P686" s="6" t="s">
        <v>26</v>
      </c>
      <c r="Q686" s="6" t="s">
        <v>27</v>
      </c>
      <c r="R686" s="6">
        <v>0</v>
      </c>
      <c r="S686" s="6" t="s">
        <v>28</v>
      </c>
      <c r="T686" s="7">
        <f t="shared" si="50"/>
        <v>0.30825000000000002</v>
      </c>
      <c r="U686" s="6">
        <f t="shared" si="51"/>
        <v>4</v>
      </c>
      <c r="V686" s="5" t="str">
        <f t="shared" si="52"/>
        <v>GOOD</v>
      </c>
      <c r="W686" s="6" t="str">
        <f t="shared" si="53"/>
        <v>45-54</v>
      </c>
      <c r="X686" s="6" t="str">
        <f t="shared" si="54"/>
        <v>Lower-Middle</v>
      </c>
    </row>
    <row r="687" spans="1:24">
      <c r="A687" s="6" t="s">
        <v>496</v>
      </c>
      <c r="B687" s="6" t="s">
        <v>1675</v>
      </c>
      <c r="C687" s="6" t="s">
        <v>46</v>
      </c>
      <c r="D687" s="6" t="s">
        <v>321</v>
      </c>
      <c r="E687" s="6" t="s">
        <v>322</v>
      </c>
      <c r="F687" s="6">
        <v>55</v>
      </c>
      <c r="G687" s="6" t="s">
        <v>24</v>
      </c>
      <c r="H687" s="6" t="s">
        <v>1676</v>
      </c>
      <c r="I687" s="6" t="s">
        <v>4032</v>
      </c>
      <c r="J687" s="8">
        <v>44065</v>
      </c>
      <c r="K687" s="8">
        <v>45301</v>
      </c>
      <c r="L687" s="6">
        <v>102100.75</v>
      </c>
      <c r="M687" s="6">
        <v>51000.800000000003</v>
      </c>
      <c r="N687" s="6">
        <v>730</v>
      </c>
      <c r="O687" s="6">
        <v>163000</v>
      </c>
      <c r="P687" s="6" t="s">
        <v>26</v>
      </c>
      <c r="Q687" s="6" t="s">
        <v>27</v>
      </c>
      <c r="R687" s="6">
        <v>0</v>
      </c>
      <c r="S687" s="6" t="s">
        <v>28</v>
      </c>
      <c r="T687" s="7">
        <f t="shared" si="50"/>
        <v>0.31288834355828221</v>
      </c>
      <c r="U687" s="6">
        <f t="shared" si="51"/>
        <v>5</v>
      </c>
      <c r="V687" s="5" t="str">
        <f t="shared" si="52"/>
        <v>GOOD</v>
      </c>
      <c r="W687" s="6" t="str">
        <f t="shared" si="53"/>
        <v>55+</v>
      </c>
      <c r="X687" s="6" t="str">
        <f t="shared" si="54"/>
        <v>Upper-Middle</v>
      </c>
    </row>
    <row r="688" spans="1:24">
      <c r="A688" s="6" t="s">
        <v>324</v>
      </c>
      <c r="B688" s="6" t="s">
        <v>1677</v>
      </c>
      <c r="C688" s="6" t="s">
        <v>31</v>
      </c>
      <c r="D688" s="6" t="s">
        <v>313</v>
      </c>
      <c r="E688" s="6" t="s">
        <v>501</v>
      </c>
      <c r="F688" s="6">
        <v>40</v>
      </c>
      <c r="G688" s="6" t="s">
        <v>34</v>
      </c>
      <c r="H688" s="6" t="s">
        <v>1678</v>
      </c>
      <c r="I688" s="6" t="s">
        <v>4033</v>
      </c>
      <c r="J688" s="8">
        <v>45366</v>
      </c>
      <c r="K688" s="8">
        <v>45306</v>
      </c>
      <c r="L688" s="6">
        <v>13400.9</v>
      </c>
      <c r="M688" s="6">
        <v>8100.75</v>
      </c>
      <c r="N688" s="6">
        <v>685</v>
      </c>
      <c r="O688" s="6">
        <v>50000</v>
      </c>
      <c r="P688" s="6" t="s">
        <v>26</v>
      </c>
      <c r="Q688" s="6" t="s">
        <v>43</v>
      </c>
      <c r="R688" s="6">
        <v>0</v>
      </c>
      <c r="S688" s="6" t="s">
        <v>28</v>
      </c>
      <c r="T688" s="7">
        <f t="shared" si="50"/>
        <v>0.16201499999999999</v>
      </c>
      <c r="U688" s="6">
        <f t="shared" si="51"/>
        <v>0</v>
      </c>
      <c r="V688" s="5" t="str">
        <f t="shared" si="52"/>
        <v>GOOD</v>
      </c>
      <c r="W688" s="6" t="str">
        <f t="shared" si="53"/>
        <v>35-44</v>
      </c>
      <c r="X688" s="6" t="str">
        <f t="shared" si="54"/>
        <v>Low</v>
      </c>
    </row>
    <row r="689" spans="1:24">
      <c r="A689" s="6" t="s">
        <v>503</v>
      </c>
      <c r="B689" s="6" t="s">
        <v>1679</v>
      </c>
      <c r="C689" s="6" t="s">
        <v>21</v>
      </c>
      <c r="D689" s="6" t="s">
        <v>32</v>
      </c>
      <c r="E689" s="6" t="s">
        <v>33</v>
      </c>
      <c r="F689" s="6">
        <v>72</v>
      </c>
      <c r="G689" s="6" t="s">
        <v>24</v>
      </c>
      <c r="H689" s="6" t="s">
        <v>1680</v>
      </c>
      <c r="I689" s="6" t="s">
        <v>3791</v>
      </c>
      <c r="J689" s="8">
        <v>43061</v>
      </c>
      <c r="K689" s="8">
        <v>45299</v>
      </c>
      <c r="L689" s="6">
        <v>299900.25</v>
      </c>
      <c r="M689" s="6">
        <v>96000.4</v>
      </c>
      <c r="N689" s="6">
        <v>840</v>
      </c>
      <c r="O689" s="6">
        <v>304000</v>
      </c>
      <c r="P689" s="6" t="s">
        <v>36</v>
      </c>
      <c r="Q689" s="6" t="s">
        <v>27</v>
      </c>
      <c r="R689" s="6">
        <v>0</v>
      </c>
      <c r="S689" s="6" t="s">
        <v>28</v>
      </c>
      <c r="T689" s="7">
        <f t="shared" si="50"/>
        <v>0.31579078947368422</v>
      </c>
      <c r="U689" s="6">
        <f t="shared" si="51"/>
        <v>7</v>
      </c>
      <c r="V689" s="5" t="str">
        <f t="shared" si="52"/>
        <v>EXCEPTIONAL</v>
      </c>
      <c r="W689" s="6" t="str">
        <f t="shared" si="53"/>
        <v>55+</v>
      </c>
      <c r="X689" s="6" t="str">
        <f t="shared" si="54"/>
        <v>High</v>
      </c>
    </row>
    <row r="690" spans="1:24">
      <c r="A690" s="6" t="s">
        <v>506</v>
      </c>
      <c r="B690" s="6" t="s">
        <v>1681</v>
      </c>
      <c r="C690" s="6" t="s">
        <v>39</v>
      </c>
      <c r="D690" s="6" t="s">
        <v>68</v>
      </c>
      <c r="E690" s="6" t="s">
        <v>69</v>
      </c>
      <c r="F690" s="6">
        <v>64</v>
      </c>
      <c r="G690" s="6" t="s">
        <v>34</v>
      </c>
      <c r="H690" s="6" t="s">
        <v>1682</v>
      </c>
      <c r="I690" s="6" t="s">
        <v>4006</v>
      </c>
      <c r="J690" s="8">
        <v>43577</v>
      </c>
      <c r="K690" s="8">
        <v>45300</v>
      </c>
      <c r="L690" s="6">
        <v>180300.4</v>
      </c>
      <c r="M690" s="6">
        <v>96000.75</v>
      </c>
      <c r="N690" s="6">
        <v>650</v>
      </c>
      <c r="O690" s="6">
        <v>199000</v>
      </c>
      <c r="P690" s="6" t="s">
        <v>76</v>
      </c>
      <c r="Q690" s="6" t="s">
        <v>27</v>
      </c>
      <c r="R690" s="6">
        <v>0</v>
      </c>
      <c r="S690" s="6" t="s">
        <v>28</v>
      </c>
      <c r="T690" s="7">
        <f t="shared" si="50"/>
        <v>0.48241582914572867</v>
      </c>
      <c r="U690" s="6">
        <f t="shared" si="51"/>
        <v>6</v>
      </c>
      <c r="V690" s="5" t="str">
        <f t="shared" si="52"/>
        <v>FAIR</v>
      </c>
      <c r="W690" s="6" t="str">
        <f t="shared" si="53"/>
        <v>55+</v>
      </c>
      <c r="X690" s="6" t="str">
        <f t="shared" si="54"/>
        <v>High</v>
      </c>
    </row>
    <row r="691" spans="1:24">
      <c r="A691" s="6" t="s">
        <v>509</v>
      </c>
      <c r="B691" s="6" t="s">
        <v>1683</v>
      </c>
      <c r="C691" s="6" t="s">
        <v>46</v>
      </c>
      <c r="D691" s="6" t="s">
        <v>73</v>
      </c>
      <c r="E691" s="6" t="s">
        <v>158</v>
      </c>
      <c r="F691" s="6">
        <v>51</v>
      </c>
      <c r="G691" s="6" t="s">
        <v>24</v>
      </c>
      <c r="H691" s="6" t="s">
        <v>1684</v>
      </c>
      <c r="I691" s="6" t="s">
        <v>4034</v>
      </c>
      <c r="J691" s="8">
        <v>44795</v>
      </c>
      <c r="K691" s="8">
        <v>45303</v>
      </c>
      <c r="L691" s="6">
        <v>89900.4</v>
      </c>
      <c r="M691" s="6">
        <v>45200.25</v>
      </c>
      <c r="N691" s="6">
        <v>745</v>
      </c>
      <c r="O691" s="6">
        <v>143000</v>
      </c>
      <c r="P691" s="6" t="s">
        <v>26</v>
      </c>
      <c r="Q691" s="6" t="s">
        <v>27</v>
      </c>
      <c r="R691" s="6">
        <v>0</v>
      </c>
      <c r="S691" s="6" t="s">
        <v>28</v>
      </c>
      <c r="T691" s="7">
        <f t="shared" si="50"/>
        <v>0.31608566433566432</v>
      </c>
      <c r="U691" s="6">
        <f t="shared" si="51"/>
        <v>3</v>
      </c>
      <c r="V691" s="5" t="str">
        <f t="shared" si="52"/>
        <v>GOOD</v>
      </c>
      <c r="W691" s="6" t="str">
        <f t="shared" si="53"/>
        <v>45-54</v>
      </c>
      <c r="X691" s="6" t="str">
        <f t="shared" si="54"/>
        <v>Upper-Middle</v>
      </c>
    </row>
    <row r="692" spans="1:24">
      <c r="A692" s="6" t="s">
        <v>513</v>
      </c>
      <c r="B692" s="6" t="s">
        <v>1685</v>
      </c>
      <c r="C692" s="6" t="s">
        <v>57</v>
      </c>
      <c r="D692" s="6" t="s">
        <v>58</v>
      </c>
      <c r="E692" s="6" t="s">
        <v>122</v>
      </c>
      <c r="F692" s="6">
        <v>46</v>
      </c>
      <c r="G692" s="6" t="s">
        <v>34</v>
      </c>
      <c r="H692" s="6" t="s">
        <v>1686</v>
      </c>
      <c r="I692" s="6" t="s">
        <v>3538</v>
      </c>
      <c r="J692" s="8">
        <v>44979</v>
      </c>
      <c r="K692" s="8">
        <v>45302</v>
      </c>
      <c r="L692" s="6">
        <v>29900.799999999999</v>
      </c>
      <c r="M692" s="6">
        <v>12000.9</v>
      </c>
      <c r="N692" s="6">
        <v>765</v>
      </c>
      <c r="O692" s="6">
        <v>75000</v>
      </c>
      <c r="P692" s="6" t="s">
        <v>36</v>
      </c>
      <c r="Q692" s="6" t="s">
        <v>27</v>
      </c>
      <c r="R692" s="6">
        <v>0</v>
      </c>
      <c r="S692" s="6" t="s">
        <v>28</v>
      </c>
      <c r="T692" s="7">
        <f t="shared" si="50"/>
        <v>0.16001199999999999</v>
      </c>
      <c r="U692" s="6">
        <f t="shared" si="51"/>
        <v>4</v>
      </c>
      <c r="V692" s="5" t="str">
        <f t="shared" si="52"/>
        <v>VERY GOOD</v>
      </c>
      <c r="W692" s="6" t="str">
        <f t="shared" si="53"/>
        <v>45-54</v>
      </c>
      <c r="X692" s="6" t="str">
        <f t="shared" si="54"/>
        <v>Lower-Middle</v>
      </c>
    </row>
    <row r="693" spans="1:24">
      <c r="A693" s="6" t="s">
        <v>516</v>
      </c>
      <c r="B693" s="6" t="s">
        <v>1687</v>
      </c>
      <c r="C693" s="6" t="s">
        <v>52</v>
      </c>
      <c r="D693" s="6" t="s">
        <v>277</v>
      </c>
      <c r="E693" s="6" t="s">
        <v>404</v>
      </c>
      <c r="F693" s="6">
        <v>59</v>
      </c>
      <c r="G693" s="6" t="s">
        <v>24</v>
      </c>
      <c r="H693" s="6" t="s">
        <v>1688</v>
      </c>
      <c r="I693" s="6" t="s">
        <v>3793</v>
      </c>
      <c r="J693" s="8">
        <v>44249</v>
      </c>
      <c r="K693" s="8">
        <v>45301</v>
      </c>
      <c r="L693" s="6">
        <v>63200.75</v>
      </c>
      <c r="M693" s="6">
        <v>36300.400000000001</v>
      </c>
      <c r="N693" s="6">
        <v>675</v>
      </c>
      <c r="O693" s="6">
        <v>115000</v>
      </c>
      <c r="P693" s="6" t="s">
        <v>26</v>
      </c>
      <c r="Q693" s="6" t="s">
        <v>27</v>
      </c>
      <c r="R693" s="6">
        <v>0</v>
      </c>
      <c r="S693" s="6" t="s">
        <v>28</v>
      </c>
      <c r="T693" s="7">
        <f t="shared" si="50"/>
        <v>0.31565565217391306</v>
      </c>
      <c r="U693" s="6">
        <f t="shared" si="51"/>
        <v>5</v>
      </c>
      <c r="V693" s="5" t="str">
        <f t="shared" si="52"/>
        <v>GOOD</v>
      </c>
      <c r="W693" s="6" t="str">
        <f t="shared" si="53"/>
        <v>55+</v>
      </c>
      <c r="X693" s="6" t="str">
        <f t="shared" si="54"/>
        <v>Lower-Middle</v>
      </c>
    </row>
    <row r="694" spans="1:24">
      <c r="A694" s="6" t="s">
        <v>519</v>
      </c>
      <c r="B694" s="6" t="s">
        <v>1689</v>
      </c>
      <c r="C694" s="6" t="s">
        <v>84</v>
      </c>
      <c r="D694" s="6" t="s">
        <v>183</v>
      </c>
      <c r="E694" s="6" t="s">
        <v>184</v>
      </c>
      <c r="F694" s="6">
        <v>38</v>
      </c>
      <c r="G694" s="6" t="s">
        <v>34</v>
      </c>
      <c r="H694" s="6" t="s">
        <v>1690</v>
      </c>
      <c r="I694" s="6" t="s">
        <v>3794</v>
      </c>
      <c r="J694" s="8">
        <v>45379</v>
      </c>
      <c r="K694" s="8">
        <v>45304</v>
      </c>
      <c r="L694" s="6">
        <v>3600.25</v>
      </c>
      <c r="M694" s="6">
        <v>13200.6</v>
      </c>
      <c r="N694" s="6">
        <v>615</v>
      </c>
      <c r="O694" s="6">
        <v>35000</v>
      </c>
      <c r="P694" s="6" t="s">
        <v>76</v>
      </c>
      <c r="Q694" s="6" t="s">
        <v>43</v>
      </c>
      <c r="R694" s="6">
        <v>0</v>
      </c>
      <c r="S694" s="6" t="s">
        <v>28</v>
      </c>
      <c r="T694" s="7">
        <f t="shared" si="50"/>
        <v>0.37716</v>
      </c>
      <c r="U694" s="6">
        <f t="shared" si="51"/>
        <v>2</v>
      </c>
      <c r="V694" s="5" t="str">
        <f t="shared" si="52"/>
        <v>FAIR</v>
      </c>
      <c r="W694" s="6" t="str">
        <f t="shared" si="53"/>
        <v>35-44</v>
      </c>
      <c r="X694" s="6" t="str">
        <f t="shared" si="54"/>
        <v>Low</v>
      </c>
    </row>
    <row r="695" spans="1:24">
      <c r="A695" s="6" t="s">
        <v>522</v>
      </c>
      <c r="B695" s="6" t="s">
        <v>1691</v>
      </c>
      <c r="C695" s="6" t="s">
        <v>39</v>
      </c>
      <c r="D695" s="6" t="s">
        <v>40</v>
      </c>
      <c r="E695" s="6" t="s">
        <v>94</v>
      </c>
      <c r="F695" s="6">
        <v>66</v>
      </c>
      <c r="G695" s="6" t="s">
        <v>24</v>
      </c>
      <c r="H695" s="6" t="s">
        <v>1692</v>
      </c>
      <c r="I695" s="6" t="s">
        <v>3510</v>
      </c>
      <c r="J695" s="8">
        <v>43546</v>
      </c>
      <c r="K695" s="8">
        <v>45299</v>
      </c>
      <c r="L695" s="6">
        <v>214900.8</v>
      </c>
      <c r="M695" s="6">
        <v>109000.25</v>
      </c>
      <c r="N695" s="6">
        <v>660</v>
      </c>
      <c r="O695" s="6">
        <v>234000</v>
      </c>
      <c r="P695" s="6" t="s">
        <v>76</v>
      </c>
      <c r="Q695" s="6" t="s">
        <v>27</v>
      </c>
      <c r="R695" s="6">
        <v>0</v>
      </c>
      <c r="S695" s="6" t="s">
        <v>28</v>
      </c>
      <c r="T695" s="7">
        <f t="shared" si="50"/>
        <v>0.46581303418803421</v>
      </c>
      <c r="U695" s="6">
        <f t="shared" si="51"/>
        <v>7</v>
      </c>
      <c r="V695" s="5" t="str">
        <f t="shared" si="52"/>
        <v>FAIR</v>
      </c>
      <c r="W695" s="6" t="str">
        <f t="shared" si="53"/>
        <v>55+</v>
      </c>
      <c r="X695" s="6" t="str">
        <f t="shared" si="54"/>
        <v>High</v>
      </c>
    </row>
    <row r="696" spans="1:24">
      <c r="A696" s="6" t="s">
        <v>306</v>
      </c>
      <c r="B696" s="6" t="s">
        <v>1693</v>
      </c>
      <c r="C696" s="6" t="s">
        <v>46</v>
      </c>
      <c r="D696" s="6" t="s">
        <v>209</v>
      </c>
      <c r="E696" s="6" t="s">
        <v>703</v>
      </c>
      <c r="F696" s="6">
        <v>53</v>
      </c>
      <c r="G696" s="6" t="s">
        <v>34</v>
      </c>
      <c r="H696" s="6" t="s">
        <v>1694</v>
      </c>
      <c r="I696" s="6" t="s">
        <v>4035</v>
      </c>
      <c r="J696" s="8">
        <v>44399</v>
      </c>
      <c r="K696" s="8">
        <v>45302</v>
      </c>
      <c r="L696" s="6">
        <v>84300.9</v>
      </c>
      <c r="M696" s="6">
        <v>42100.75</v>
      </c>
      <c r="N696" s="6">
        <v>730</v>
      </c>
      <c r="O696" s="6">
        <v>138000</v>
      </c>
      <c r="P696" s="6" t="s">
        <v>26</v>
      </c>
      <c r="Q696" s="6" t="s">
        <v>27</v>
      </c>
      <c r="R696" s="6">
        <v>0</v>
      </c>
      <c r="S696" s="6" t="s">
        <v>28</v>
      </c>
      <c r="T696" s="7">
        <f t="shared" si="50"/>
        <v>0.30507789855072465</v>
      </c>
      <c r="U696" s="6">
        <f t="shared" si="51"/>
        <v>4</v>
      </c>
      <c r="V696" s="5" t="str">
        <f t="shared" si="52"/>
        <v>GOOD</v>
      </c>
      <c r="W696" s="6" t="str">
        <f t="shared" si="53"/>
        <v>45-54</v>
      </c>
      <c r="X696" s="6" t="str">
        <f t="shared" si="54"/>
        <v>Upper-Middle</v>
      </c>
    </row>
    <row r="697" spans="1:24">
      <c r="A697" s="6" t="s">
        <v>527</v>
      </c>
      <c r="B697" s="6" t="s">
        <v>1695</v>
      </c>
      <c r="C697" s="6" t="s">
        <v>31</v>
      </c>
      <c r="D697" s="6" t="s">
        <v>32</v>
      </c>
      <c r="E697" s="6" t="s">
        <v>90</v>
      </c>
      <c r="F697" s="6">
        <v>42</v>
      </c>
      <c r="G697" s="6" t="s">
        <v>34</v>
      </c>
      <c r="H697" s="6" t="s">
        <v>1696</v>
      </c>
      <c r="I697" s="6" t="s">
        <v>3688</v>
      </c>
      <c r="J697" s="8">
        <v>45373</v>
      </c>
      <c r="K697" s="8">
        <v>45305</v>
      </c>
      <c r="L697" s="6">
        <v>14500.4</v>
      </c>
      <c r="M697" s="6">
        <v>8200.25</v>
      </c>
      <c r="N697" s="6">
        <v>705</v>
      </c>
      <c r="O697" s="6">
        <v>52000</v>
      </c>
      <c r="P697" s="6" t="s">
        <v>26</v>
      </c>
      <c r="Q697" s="6" t="s">
        <v>43</v>
      </c>
      <c r="R697" s="6">
        <v>0</v>
      </c>
      <c r="S697" s="6" t="s">
        <v>28</v>
      </c>
      <c r="T697" s="7">
        <f t="shared" si="50"/>
        <v>0.15769711538461539</v>
      </c>
      <c r="U697" s="6">
        <f t="shared" si="51"/>
        <v>1</v>
      </c>
      <c r="V697" s="5" t="str">
        <f t="shared" si="52"/>
        <v>GOOD</v>
      </c>
      <c r="W697" s="6" t="str">
        <f t="shared" si="53"/>
        <v>35-44</v>
      </c>
      <c r="X697" s="6" t="str">
        <f t="shared" si="54"/>
        <v>Low</v>
      </c>
    </row>
    <row r="698" spans="1:24">
      <c r="A698" s="6" t="s">
        <v>530</v>
      </c>
      <c r="B698" s="6" t="s">
        <v>1697</v>
      </c>
      <c r="C698" s="6" t="s">
        <v>57</v>
      </c>
      <c r="D698" s="6" t="s">
        <v>219</v>
      </c>
      <c r="E698" s="6" t="s">
        <v>220</v>
      </c>
      <c r="F698" s="6">
        <v>47</v>
      </c>
      <c r="G698" s="6" t="s">
        <v>24</v>
      </c>
      <c r="H698" s="6" t="s">
        <v>1698</v>
      </c>
      <c r="I698" s="6" t="s">
        <v>4036</v>
      </c>
      <c r="J698" s="8">
        <v>44948</v>
      </c>
      <c r="K698" s="8">
        <v>45303</v>
      </c>
      <c r="L698" s="6">
        <v>28800.6</v>
      </c>
      <c r="M698" s="6">
        <v>11400.8</v>
      </c>
      <c r="N698" s="6">
        <v>710</v>
      </c>
      <c r="O698" s="6">
        <v>68000</v>
      </c>
      <c r="P698" s="6" t="s">
        <v>36</v>
      </c>
      <c r="Q698" s="6" t="s">
        <v>27</v>
      </c>
      <c r="R698" s="6">
        <v>0</v>
      </c>
      <c r="S698" s="6" t="s">
        <v>28</v>
      </c>
      <c r="T698" s="7">
        <f t="shared" si="50"/>
        <v>0.16765882352941175</v>
      </c>
      <c r="U698" s="6">
        <f t="shared" si="51"/>
        <v>3</v>
      </c>
      <c r="V698" s="5" t="str">
        <f t="shared" si="52"/>
        <v>GOOD</v>
      </c>
      <c r="W698" s="6" t="str">
        <f t="shared" si="53"/>
        <v>45-54</v>
      </c>
      <c r="X698" s="6" t="str">
        <f t="shared" si="54"/>
        <v>Low</v>
      </c>
    </row>
    <row r="699" spans="1:24">
      <c r="A699" s="6" t="s">
        <v>533</v>
      </c>
      <c r="B699" s="6" t="s">
        <v>1699</v>
      </c>
      <c r="C699" s="6" t="s">
        <v>52</v>
      </c>
      <c r="D699" s="6" t="s">
        <v>204</v>
      </c>
      <c r="E699" s="6" t="s">
        <v>259</v>
      </c>
      <c r="F699" s="6">
        <v>54</v>
      </c>
      <c r="G699" s="6" t="s">
        <v>34</v>
      </c>
      <c r="H699" s="6" t="s">
        <v>1700</v>
      </c>
      <c r="I699" s="6" t="s">
        <v>3797</v>
      </c>
      <c r="J699" s="8">
        <v>44249</v>
      </c>
      <c r="K699" s="8">
        <v>45301</v>
      </c>
      <c r="L699" s="6">
        <v>60100.25</v>
      </c>
      <c r="M699" s="6">
        <v>33200.9</v>
      </c>
      <c r="N699" s="6">
        <v>695</v>
      </c>
      <c r="O699" s="6">
        <v>103000</v>
      </c>
      <c r="P699" s="6" t="s">
        <v>26</v>
      </c>
      <c r="Q699" s="6" t="s">
        <v>27</v>
      </c>
      <c r="R699" s="6">
        <v>0</v>
      </c>
      <c r="S699" s="6" t="s">
        <v>28</v>
      </c>
      <c r="T699" s="7">
        <f t="shared" si="50"/>
        <v>0.32233883495145632</v>
      </c>
      <c r="U699" s="6">
        <f t="shared" si="51"/>
        <v>5</v>
      </c>
      <c r="V699" s="5" t="str">
        <f t="shared" si="52"/>
        <v>GOOD</v>
      </c>
      <c r="W699" s="6" t="str">
        <f t="shared" si="53"/>
        <v>45-54</v>
      </c>
      <c r="X699" s="6" t="str">
        <f t="shared" si="54"/>
        <v>Lower-Middle</v>
      </c>
    </row>
    <row r="700" spans="1:24">
      <c r="A700" s="6" t="s">
        <v>536</v>
      </c>
      <c r="B700" s="6" t="s">
        <v>1701</v>
      </c>
      <c r="C700" s="6" t="s">
        <v>39</v>
      </c>
      <c r="D700" s="6" t="s">
        <v>195</v>
      </c>
      <c r="E700" s="6" t="s">
        <v>196</v>
      </c>
      <c r="F700" s="6">
        <v>62</v>
      </c>
      <c r="G700" s="6" t="s">
        <v>24</v>
      </c>
      <c r="H700" s="6" t="s">
        <v>1702</v>
      </c>
      <c r="I700" s="6" t="s">
        <v>4037</v>
      </c>
      <c r="J700" s="8">
        <v>43699</v>
      </c>
      <c r="K700" s="8">
        <v>45300</v>
      </c>
      <c r="L700" s="6">
        <v>147100.4</v>
      </c>
      <c r="M700" s="6">
        <v>83000.600000000006</v>
      </c>
      <c r="N700" s="6">
        <v>670</v>
      </c>
      <c r="O700" s="6">
        <v>170000</v>
      </c>
      <c r="P700" s="6" t="s">
        <v>76</v>
      </c>
      <c r="Q700" s="6" t="s">
        <v>27</v>
      </c>
      <c r="R700" s="6">
        <v>0</v>
      </c>
      <c r="S700" s="6" t="s">
        <v>28</v>
      </c>
      <c r="T700" s="7">
        <f t="shared" si="50"/>
        <v>0.48823882352941178</v>
      </c>
      <c r="U700" s="6">
        <f t="shared" si="51"/>
        <v>6</v>
      </c>
      <c r="V700" s="5" t="str">
        <f t="shared" si="52"/>
        <v>GOOD</v>
      </c>
      <c r="W700" s="6" t="str">
        <f t="shared" si="53"/>
        <v>55+</v>
      </c>
      <c r="X700" s="6" t="str">
        <f t="shared" si="54"/>
        <v>Upper-Middle</v>
      </c>
    </row>
    <row r="701" spans="1:24">
      <c r="A701" s="6" t="s">
        <v>539</v>
      </c>
      <c r="B701" s="6" t="s">
        <v>1703</v>
      </c>
      <c r="C701" s="6" t="s">
        <v>21</v>
      </c>
      <c r="D701" s="6" t="s">
        <v>58</v>
      </c>
      <c r="E701" s="6" t="s">
        <v>59</v>
      </c>
      <c r="F701" s="6">
        <v>70</v>
      </c>
      <c r="G701" s="6" t="s">
        <v>34</v>
      </c>
      <c r="H701" s="6" t="s">
        <v>1704</v>
      </c>
      <c r="I701" s="6" t="s">
        <v>3799</v>
      </c>
      <c r="J701" s="8">
        <v>43273</v>
      </c>
      <c r="K701" s="8">
        <v>45299</v>
      </c>
      <c r="L701" s="6">
        <v>314000.75</v>
      </c>
      <c r="M701" s="6">
        <v>100000.8</v>
      </c>
      <c r="N701" s="6">
        <v>835</v>
      </c>
      <c r="O701" s="6">
        <v>315000</v>
      </c>
      <c r="P701" s="6" t="s">
        <v>36</v>
      </c>
      <c r="Q701" s="6" t="s">
        <v>27</v>
      </c>
      <c r="R701" s="6">
        <v>0</v>
      </c>
      <c r="S701" s="6" t="s">
        <v>28</v>
      </c>
      <c r="T701" s="7">
        <f t="shared" si="50"/>
        <v>0.31746285714285716</v>
      </c>
      <c r="U701" s="6">
        <f t="shared" si="51"/>
        <v>7</v>
      </c>
      <c r="V701" s="5" t="str">
        <f t="shared" si="52"/>
        <v>EXCEPTIONAL</v>
      </c>
      <c r="W701" s="6" t="str">
        <f t="shared" si="53"/>
        <v>55+</v>
      </c>
      <c r="X701" s="6" t="str">
        <f t="shared" si="54"/>
        <v>High</v>
      </c>
    </row>
    <row r="702" spans="1:24">
      <c r="A702" s="6" t="s">
        <v>542</v>
      </c>
      <c r="B702" s="6" t="s">
        <v>1705</v>
      </c>
      <c r="C702" s="6" t="s">
        <v>52</v>
      </c>
      <c r="D702" s="6" t="s">
        <v>68</v>
      </c>
      <c r="E702" s="6" t="s">
        <v>69</v>
      </c>
      <c r="F702" s="6">
        <v>57</v>
      </c>
      <c r="G702" s="6" t="s">
        <v>34</v>
      </c>
      <c r="H702" s="6" t="s">
        <v>1706</v>
      </c>
      <c r="I702" s="6" t="s">
        <v>4026</v>
      </c>
      <c r="J702" s="8">
        <v>44218</v>
      </c>
      <c r="K702" s="8">
        <v>45302</v>
      </c>
      <c r="L702" s="6">
        <v>68800.600000000006</v>
      </c>
      <c r="M702" s="6">
        <v>38800.25</v>
      </c>
      <c r="N702" s="6">
        <v>665</v>
      </c>
      <c r="O702" s="6">
        <v>123000</v>
      </c>
      <c r="P702" s="6" t="s">
        <v>26</v>
      </c>
      <c r="Q702" s="6" t="s">
        <v>27</v>
      </c>
      <c r="R702" s="6">
        <v>0</v>
      </c>
      <c r="S702" s="6" t="s">
        <v>28</v>
      </c>
      <c r="T702" s="7">
        <f t="shared" si="50"/>
        <v>0.31544918699186991</v>
      </c>
      <c r="U702" s="6">
        <f t="shared" si="51"/>
        <v>4</v>
      </c>
      <c r="V702" s="5" t="str">
        <f t="shared" si="52"/>
        <v>FAIR</v>
      </c>
      <c r="W702" s="6" t="str">
        <f t="shared" si="53"/>
        <v>55+</v>
      </c>
      <c r="X702" s="6" t="str">
        <f t="shared" si="54"/>
        <v>Lower-Middle</v>
      </c>
    </row>
    <row r="703" spans="1:24">
      <c r="A703" s="6" t="s">
        <v>545</v>
      </c>
      <c r="B703" s="6" t="s">
        <v>1707</v>
      </c>
      <c r="C703" s="6" t="s">
        <v>46</v>
      </c>
      <c r="D703" s="6" t="s">
        <v>241</v>
      </c>
      <c r="E703" s="6" t="s">
        <v>389</v>
      </c>
      <c r="F703" s="6">
        <v>49</v>
      </c>
      <c r="G703" s="6" t="s">
        <v>24</v>
      </c>
      <c r="H703" s="6" t="s">
        <v>1708</v>
      </c>
      <c r="I703" s="6" t="s">
        <v>4038</v>
      </c>
      <c r="J703" s="8">
        <v>44856</v>
      </c>
      <c r="K703" s="8">
        <v>45303</v>
      </c>
      <c r="L703" s="6">
        <v>92100.800000000003</v>
      </c>
      <c r="M703" s="6">
        <v>46300.4</v>
      </c>
      <c r="N703" s="6">
        <v>750</v>
      </c>
      <c r="O703" s="6">
        <v>149000</v>
      </c>
      <c r="P703" s="6" t="s">
        <v>26</v>
      </c>
      <c r="Q703" s="6" t="s">
        <v>27</v>
      </c>
      <c r="R703" s="6">
        <v>0</v>
      </c>
      <c r="S703" s="6" t="s">
        <v>28</v>
      </c>
      <c r="T703" s="7">
        <f t="shared" si="50"/>
        <v>0.31074093959731547</v>
      </c>
      <c r="U703" s="6">
        <f t="shared" si="51"/>
        <v>3</v>
      </c>
      <c r="V703" s="5" t="str">
        <f t="shared" si="52"/>
        <v>VERY GOOD</v>
      </c>
      <c r="W703" s="6" t="str">
        <f t="shared" si="53"/>
        <v>45-54</v>
      </c>
      <c r="X703" s="6" t="str">
        <f t="shared" si="54"/>
        <v>Upper-Middle</v>
      </c>
    </row>
    <row r="704" spans="1:24">
      <c r="A704" s="6" t="s">
        <v>548</v>
      </c>
      <c r="B704" s="6" t="s">
        <v>1709</v>
      </c>
      <c r="C704" s="6" t="s">
        <v>57</v>
      </c>
      <c r="D704" s="6" t="s">
        <v>22</v>
      </c>
      <c r="E704" s="6" t="s">
        <v>118</v>
      </c>
      <c r="F704" s="6">
        <v>45</v>
      </c>
      <c r="G704" s="6" t="s">
        <v>34</v>
      </c>
      <c r="H704" s="6" t="s">
        <v>1710</v>
      </c>
      <c r="I704" s="6" t="s">
        <v>3831</v>
      </c>
      <c r="J704" s="8">
        <v>45038</v>
      </c>
      <c r="K704" s="8">
        <v>45305</v>
      </c>
      <c r="L704" s="6">
        <v>31000.9</v>
      </c>
      <c r="M704" s="6">
        <v>12400.75</v>
      </c>
      <c r="N704" s="6">
        <v>770</v>
      </c>
      <c r="O704" s="6">
        <v>80000</v>
      </c>
      <c r="P704" s="6" t="s">
        <v>36</v>
      </c>
      <c r="Q704" s="6" t="s">
        <v>27</v>
      </c>
      <c r="R704" s="6">
        <v>0</v>
      </c>
      <c r="S704" s="6" t="s">
        <v>28</v>
      </c>
      <c r="T704" s="7">
        <f t="shared" si="50"/>
        <v>0.155009375</v>
      </c>
      <c r="U704" s="6">
        <f t="shared" si="51"/>
        <v>1</v>
      </c>
      <c r="V704" s="5" t="str">
        <f t="shared" si="52"/>
        <v>VERY GOOD</v>
      </c>
      <c r="W704" s="6" t="str">
        <f t="shared" si="53"/>
        <v>45-54</v>
      </c>
      <c r="X704" s="6" t="str">
        <f t="shared" si="54"/>
        <v>Lower-Middle</v>
      </c>
    </row>
    <row r="705" spans="1:24">
      <c r="A705" s="6" t="s">
        <v>551</v>
      </c>
      <c r="B705" s="6" t="s">
        <v>1711</v>
      </c>
      <c r="C705" s="6" t="s">
        <v>39</v>
      </c>
      <c r="D705" s="6" t="s">
        <v>313</v>
      </c>
      <c r="E705" s="6" t="s">
        <v>314</v>
      </c>
      <c r="F705" s="6">
        <v>68</v>
      </c>
      <c r="G705" s="6" t="s">
        <v>24</v>
      </c>
      <c r="H705" s="6" t="s">
        <v>1712</v>
      </c>
      <c r="I705" s="6" t="s">
        <v>4039</v>
      </c>
      <c r="J705" s="8">
        <v>43456</v>
      </c>
      <c r="K705" s="8">
        <v>45299</v>
      </c>
      <c r="L705" s="6">
        <v>200200.25</v>
      </c>
      <c r="M705" s="6">
        <v>104000.8</v>
      </c>
      <c r="N705" s="6">
        <v>645</v>
      </c>
      <c r="O705" s="6">
        <v>220000</v>
      </c>
      <c r="P705" s="6" t="s">
        <v>76</v>
      </c>
      <c r="Q705" s="6" t="s">
        <v>27</v>
      </c>
      <c r="R705" s="6">
        <v>0</v>
      </c>
      <c r="S705" s="6" t="s">
        <v>28</v>
      </c>
      <c r="T705" s="7">
        <f t="shared" si="50"/>
        <v>0.47273090909090909</v>
      </c>
      <c r="U705" s="6">
        <f t="shared" si="51"/>
        <v>7</v>
      </c>
      <c r="V705" s="5" t="str">
        <f t="shared" si="52"/>
        <v>FAIR</v>
      </c>
      <c r="W705" s="6" t="str">
        <f t="shared" si="53"/>
        <v>55+</v>
      </c>
      <c r="X705" s="6" t="str">
        <f t="shared" si="54"/>
        <v>High</v>
      </c>
    </row>
    <row r="706" spans="1:24">
      <c r="A706" s="6" t="s">
        <v>554</v>
      </c>
      <c r="B706" s="6" t="s">
        <v>1713</v>
      </c>
      <c r="C706" s="6" t="s">
        <v>31</v>
      </c>
      <c r="D706" s="6" t="s">
        <v>214</v>
      </c>
      <c r="E706" s="6" t="s">
        <v>724</v>
      </c>
      <c r="F706" s="6">
        <v>41</v>
      </c>
      <c r="G706" s="6" t="s">
        <v>34</v>
      </c>
      <c r="H706" s="6" t="s">
        <v>1714</v>
      </c>
      <c r="I706" s="6" t="s">
        <v>4040</v>
      </c>
      <c r="J706" s="8">
        <v>45379</v>
      </c>
      <c r="K706" s="8">
        <v>45306</v>
      </c>
      <c r="L706" s="6">
        <v>25200.5</v>
      </c>
      <c r="M706" s="6">
        <v>12000.4</v>
      </c>
      <c r="N706" s="6">
        <v>720</v>
      </c>
      <c r="O706" s="6">
        <v>57000</v>
      </c>
      <c r="P706" s="6" t="s">
        <v>36</v>
      </c>
      <c r="Q706" s="6" t="s">
        <v>27</v>
      </c>
      <c r="R706" s="6">
        <v>0</v>
      </c>
      <c r="S706" s="6" t="s">
        <v>28</v>
      </c>
      <c r="T706" s="7">
        <f t="shared" ref="T706:T769" si="55">IFERROR(M706/O706,"")</f>
        <v>0.21053333333333332</v>
      </c>
      <c r="U706" s="6">
        <f t="shared" ref="U706:U769" si="56">MAX($K$2:$K$1599)-K706</f>
        <v>0</v>
      </c>
      <c r="V706" s="5" t="str">
        <f t="shared" ref="V706:V769" si="57">IF(N706&lt;670,"FAIR", IF(N706&lt;750,"GOOD",IF(N706&lt;800,"VERY GOOD","EXCEPTIONAL")))</f>
        <v>GOOD</v>
      </c>
      <c r="W706" s="6" t="str">
        <f t="shared" ref="W706:W769" si="58">IF(F706&lt;25,"18-24",IF(F706&lt;35,"25-34",IF(F706&lt;45,"35-44",IF(F706&lt;55,"45-54","55+"))))</f>
        <v>35-44</v>
      </c>
      <c r="X706" s="6" t="str">
        <f t="shared" ref="X706:X769" si="59">IF(O706&lt;=_xlfn.QUARTILE.INC($O$2:$O$1599,1),"Low",IF(O706&lt;=_xlfn.QUARTILE.INC($O$2:$O$1599,2),"Lower-Middle",IF(O706&lt;=_xlfn.QUARTILE.INC($O$2:$O$1599,3),"Upper-Middle","High")))</f>
        <v>Low</v>
      </c>
    </row>
    <row r="707" spans="1:24">
      <c r="A707" s="6" t="s">
        <v>108</v>
      </c>
      <c r="B707" s="6" t="s">
        <v>1715</v>
      </c>
      <c r="C707" s="6" t="s">
        <v>84</v>
      </c>
      <c r="D707" s="6" t="s">
        <v>32</v>
      </c>
      <c r="E707" s="6" t="s">
        <v>33</v>
      </c>
      <c r="F707" s="6">
        <v>37</v>
      </c>
      <c r="G707" s="6" t="s">
        <v>24</v>
      </c>
      <c r="H707" s="6" t="s">
        <v>1716</v>
      </c>
      <c r="I707" s="6" t="s">
        <v>3784</v>
      </c>
      <c r="J707" s="8">
        <v>45379</v>
      </c>
      <c r="K707" s="8">
        <v>45304</v>
      </c>
      <c r="L707" s="6">
        <v>3350.8</v>
      </c>
      <c r="M707" s="6">
        <v>11600.25</v>
      </c>
      <c r="N707" s="6">
        <v>605</v>
      </c>
      <c r="O707" s="6">
        <v>33000</v>
      </c>
      <c r="P707" s="6" t="s">
        <v>76</v>
      </c>
      <c r="Q707" s="6" t="s">
        <v>43</v>
      </c>
      <c r="R707" s="6">
        <v>0</v>
      </c>
      <c r="S707" s="6" t="s">
        <v>28</v>
      </c>
      <c r="T707" s="7">
        <f t="shared" si="55"/>
        <v>0.35152272727272726</v>
      </c>
      <c r="U707" s="6">
        <f t="shared" si="56"/>
        <v>2</v>
      </c>
      <c r="V707" s="5" t="str">
        <f t="shared" si="57"/>
        <v>FAIR</v>
      </c>
      <c r="W707" s="6" t="str">
        <f t="shared" si="58"/>
        <v>35-44</v>
      </c>
      <c r="X707" s="6" t="str">
        <f t="shared" si="59"/>
        <v>Low</v>
      </c>
    </row>
    <row r="708" spans="1:24">
      <c r="A708" s="6" t="s">
        <v>559</v>
      </c>
      <c r="B708" s="6" t="s">
        <v>1717</v>
      </c>
      <c r="C708" s="6" t="s">
        <v>46</v>
      </c>
      <c r="D708" s="6" t="s">
        <v>254</v>
      </c>
      <c r="E708" s="6" t="s">
        <v>255</v>
      </c>
      <c r="F708" s="6">
        <v>51</v>
      </c>
      <c r="G708" s="6" t="s">
        <v>34</v>
      </c>
      <c r="H708" s="6" t="s">
        <v>1718</v>
      </c>
      <c r="I708" s="6" t="s">
        <v>4041</v>
      </c>
      <c r="J708" s="8">
        <v>44734</v>
      </c>
      <c r="K708" s="8">
        <v>45302</v>
      </c>
      <c r="L708" s="6">
        <v>78800.399999999994</v>
      </c>
      <c r="M708" s="6">
        <v>41000.75</v>
      </c>
      <c r="N708" s="6">
        <v>710</v>
      </c>
      <c r="O708" s="6">
        <v>131000</v>
      </c>
      <c r="P708" s="6" t="s">
        <v>26</v>
      </c>
      <c r="Q708" s="6" t="s">
        <v>27</v>
      </c>
      <c r="R708" s="6">
        <v>0</v>
      </c>
      <c r="S708" s="6" t="s">
        <v>28</v>
      </c>
      <c r="T708" s="7">
        <f t="shared" si="55"/>
        <v>0.31298282442748093</v>
      </c>
      <c r="U708" s="6">
        <f t="shared" si="56"/>
        <v>4</v>
      </c>
      <c r="V708" s="5" t="str">
        <f t="shared" si="57"/>
        <v>GOOD</v>
      </c>
      <c r="W708" s="6" t="str">
        <f t="shared" si="58"/>
        <v>45-54</v>
      </c>
      <c r="X708" s="6" t="str">
        <f t="shared" si="59"/>
        <v>Upper-Middle</v>
      </c>
    </row>
    <row r="709" spans="1:24">
      <c r="A709" s="6" t="s">
        <v>562</v>
      </c>
      <c r="B709" s="6" t="s">
        <v>1719</v>
      </c>
      <c r="C709" s="6" t="s">
        <v>39</v>
      </c>
      <c r="D709" s="6" t="s">
        <v>47</v>
      </c>
      <c r="E709" s="6" t="s">
        <v>48</v>
      </c>
      <c r="F709" s="6">
        <v>65</v>
      </c>
      <c r="G709" s="6" t="s">
        <v>24</v>
      </c>
      <c r="H709" s="6" t="s">
        <v>1720</v>
      </c>
      <c r="I709" s="6" t="s">
        <v>3805</v>
      </c>
      <c r="J709" s="8">
        <v>43607</v>
      </c>
      <c r="K709" s="8">
        <v>45300</v>
      </c>
      <c r="L709" s="6">
        <v>180400.6</v>
      </c>
      <c r="M709" s="6">
        <v>97000.25</v>
      </c>
      <c r="N709" s="6">
        <v>675</v>
      </c>
      <c r="O709" s="6">
        <v>200000</v>
      </c>
      <c r="P709" s="6" t="s">
        <v>76</v>
      </c>
      <c r="Q709" s="6" t="s">
        <v>27</v>
      </c>
      <c r="R709" s="6">
        <v>0</v>
      </c>
      <c r="S709" s="6" t="s">
        <v>28</v>
      </c>
      <c r="T709" s="7">
        <f t="shared" si="55"/>
        <v>0.48500124999999999</v>
      </c>
      <c r="U709" s="6">
        <f t="shared" si="56"/>
        <v>6</v>
      </c>
      <c r="V709" s="5" t="str">
        <f t="shared" si="57"/>
        <v>GOOD</v>
      </c>
      <c r="W709" s="6" t="str">
        <f t="shared" si="58"/>
        <v>55+</v>
      </c>
      <c r="X709" s="6" t="str">
        <f t="shared" si="59"/>
        <v>High</v>
      </c>
    </row>
    <row r="710" spans="1:24">
      <c r="A710" s="6" t="s">
        <v>565</v>
      </c>
      <c r="B710" s="6" t="s">
        <v>1721</v>
      </c>
      <c r="C710" s="6" t="s">
        <v>52</v>
      </c>
      <c r="D710" s="6" t="s">
        <v>233</v>
      </c>
      <c r="E710" s="6" t="s">
        <v>234</v>
      </c>
      <c r="F710" s="6">
        <v>50</v>
      </c>
      <c r="G710" s="6" t="s">
        <v>34</v>
      </c>
      <c r="H710" s="6" t="s">
        <v>1722</v>
      </c>
      <c r="I710" s="6" t="s">
        <v>3806</v>
      </c>
      <c r="J710" s="8">
        <v>44522</v>
      </c>
      <c r="K710" s="8">
        <v>45301</v>
      </c>
      <c r="L710" s="6">
        <v>55200.75</v>
      </c>
      <c r="M710" s="6">
        <v>32100.799999999999</v>
      </c>
      <c r="N710" s="6">
        <v>725</v>
      </c>
      <c r="O710" s="6">
        <v>97000</v>
      </c>
      <c r="P710" s="6" t="s">
        <v>26</v>
      </c>
      <c r="Q710" s="6" t="s">
        <v>27</v>
      </c>
      <c r="R710" s="6">
        <v>0</v>
      </c>
      <c r="S710" s="6" t="s">
        <v>28</v>
      </c>
      <c r="T710" s="7">
        <f t="shared" si="55"/>
        <v>0.33093608247422679</v>
      </c>
      <c r="U710" s="6">
        <f t="shared" si="56"/>
        <v>5</v>
      </c>
      <c r="V710" s="5" t="str">
        <f t="shared" si="57"/>
        <v>GOOD</v>
      </c>
      <c r="W710" s="6" t="str">
        <f t="shared" si="58"/>
        <v>45-54</v>
      </c>
      <c r="X710" s="6" t="str">
        <f t="shared" si="59"/>
        <v>Lower-Middle</v>
      </c>
    </row>
    <row r="711" spans="1:24">
      <c r="A711" s="6" t="s">
        <v>568</v>
      </c>
      <c r="B711" s="6" t="s">
        <v>1723</v>
      </c>
      <c r="C711" s="6" t="s">
        <v>57</v>
      </c>
      <c r="D711" s="6" t="s">
        <v>79</v>
      </c>
      <c r="E711" s="6" t="s">
        <v>80</v>
      </c>
      <c r="F711" s="6">
        <v>48</v>
      </c>
      <c r="G711" s="6" t="s">
        <v>24</v>
      </c>
      <c r="H711" s="6" t="s">
        <v>1724</v>
      </c>
      <c r="I711" s="6" t="s">
        <v>3807</v>
      </c>
      <c r="J711" s="8">
        <v>44979</v>
      </c>
      <c r="K711" s="8">
        <v>45303</v>
      </c>
      <c r="L711" s="6">
        <v>33200.400000000001</v>
      </c>
      <c r="M711" s="6">
        <v>13200.9</v>
      </c>
      <c r="N711" s="6">
        <v>740</v>
      </c>
      <c r="O711" s="6">
        <v>83000</v>
      </c>
      <c r="P711" s="6" t="s">
        <v>36</v>
      </c>
      <c r="Q711" s="6" t="s">
        <v>27</v>
      </c>
      <c r="R711" s="6">
        <v>0</v>
      </c>
      <c r="S711" s="6" t="s">
        <v>28</v>
      </c>
      <c r="T711" s="7">
        <f t="shared" si="55"/>
        <v>0.15904698795180722</v>
      </c>
      <c r="U711" s="6">
        <f t="shared" si="56"/>
        <v>3</v>
      </c>
      <c r="V711" s="5" t="str">
        <f t="shared" si="57"/>
        <v>GOOD</v>
      </c>
      <c r="W711" s="6" t="str">
        <f t="shared" si="58"/>
        <v>45-54</v>
      </c>
      <c r="X711" s="6" t="str">
        <f t="shared" si="59"/>
        <v>Lower-Middle</v>
      </c>
    </row>
    <row r="712" spans="1:24">
      <c r="A712" s="6" t="s">
        <v>571</v>
      </c>
      <c r="B712" s="6" t="s">
        <v>1725</v>
      </c>
      <c r="C712" s="6" t="s">
        <v>21</v>
      </c>
      <c r="D712" s="6" t="s">
        <v>63</v>
      </c>
      <c r="E712" s="6" t="s">
        <v>3514</v>
      </c>
      <c r="F712" s="6">
        <v>71</v>
      </c>
      <c r="G712" s="6" t="s">
        <v>34</v>
      </c>
      <c r="H712" s="6" t="s">
        <v>1726</v>
      </c>
      <c r="I712" s="6" t="s">
        <v>4042</v>
      </c>
      <c r="J712" s="8">
        <v>43153</v>
      </c>
      <c r="K712" s="8">
        <v>45299</v>
      </c>
      <c r="L712" s="6">
        <v>269300.90000000002</v>
      </c>
      <c r="M712" s="6">
        <v>87000.6</v>
      </c>
      <c r="N712" s="6">
        <v>830</v>
      </c>
      <c r="O712" s="6">
        <v>295000</v>
      </c>
      <c r="P712" s="6" t="s">
        <v>36</v>
      </c>
      <c r="Q712" s="6" t="s">
        <v>27</v>
      </c>
      <c r="R712" s="6">
        <v>0</v>
      </c>
      <c r="S712" s="6" t="s">
        <v>28</v>
      </c>
      <c r="T712" s="7">
        <f t="shared" si="55"/>
        <v>0.29491728813559326</v>
      </c>
      <c r="U712" s="6">
        <f t="shared" si="56"/>
        <v>7</v>
      </c>
      <c r="V712" s="5" t="str">
        <f t="shared" si="57"/>
        <v>EXCEPTIONAL</v>
      </c>
      <c r="W712" s="6" t="str">
        <f t="shared" si="58"/>
        <v>55+</v>
      </c>
      <c r="X712" s="6" t="str">
        <f t="shared" si="59"/>
        <v>High</v>
      </c>
    </row>
    <row r="713" spans="1:24">
      <c r="A713" s="6" t="s">
        <v>574</v>
      </c>
      <c r="B713" s="6" t="s">
        <v>1727</v>
      </c>
      <c r="C713" s="6" t="s">
        <v>39</v>
      </c>
      <c r="D713" s="6" t="s">
        <v>68</v>
      </c>
      <c r="E713" s="6" t="s">
        <v>114</v>
      </c>
      <c r="F713" s="6">
        <v>63</v>
      </c>
      <c r="G713" s="6" t="s">
        <v>24</v>
      </c>
      <c r="H713" s="6" t="s">
        <v>1728</v>
      </c>
      <c r="I713" s="6" t="s">
        <v>4043</v>
      </c>
      <c r="J713" s="8">
        <v>43746</v>
      </c>
      <c r="K713" s="8">
        <v>45300</v>
      </c>
      <c r="L713" s="6">
        <v>158200.25</v>
      </c>
      <c r="M713" s="6">
        <v>89000.4</v>
      </c>
      <c r="N713" s="6">
        <v>655</v>
      </c>
      <c r="O713" s="6">
        <v>185000</v>
      </c>
      <c r="P713" s="6" t="s">
        <v>76</v>
      </c>
      <c r="Q713" s="6" t="s">
        <v>27</v>
      </c>
      <c r="R713" s="6">
        <v>0</v>
      </c>
      <c r="S713" s="6" t="s">
        <v>28</v>
      </c>
      <c r="T713" s="7">
        <f t="shared" si="55"/>
        <v>0.4810832432432432</v>
      </c>
      <c r="U713" s="6">
        <f t="shared" si="56"/>
        <v>6</v>
      </c>
      <c r="V713" s="5" t="str">
        <f t="shared" si="57"/>
        <v>FAIR</v>
      </c>
      <c r="W713" s="6" t="str">
        <f t="shared" si="58"/>
        <v>55+</v>
      </c>
      <c r="X713" s="6" t="str">
        <f t="shared" si="59"/>
        <v>Upper-Middle</v>
      </c>
    </row>
    <row r="714" spans="1:24">
      <c r="A714" s="6" t="s">
        <v>577</v>
      </c>
      <c r="B714" s="6" t="s">
        <v>1729</v>
      </c>
      <c r="C714" s="6" t="s">
        <v>46</v>
      </c>
      <c r="D714" s="6" t="s">
        <v>85</v>
      </c>
      <c r="E714" s="6" t="s">
        <v>162</v>
      </c>
      <c r="F714" s="6">
        <v>52</v>
      </c>
      <c r="G714" s="6" t="s">
        <v>34</v>
      </c>
      <c r="H714" s="6" t="s">
        <v>1730</v>
      </c>
      <c r="I714" s="6" t="s">
        <v>3840</v>
      </c>
      <c r="J714" s="8">
        <v>44642</v>
      </c>
      <c r="K714" s="8">
        <v>45302</v>
      </c>
      <c r="L714" s="6">
        <v>97700.6</v>
      </c>
      <c r="M714" s="6">
        <v>49000.75</v>
      </c>
      <c r="N714" s="6">
        <v>760</v>
      </c>
      <c r="O714" s="6">
        <v>154000</v>
      </c>
      <c r="P714" s="6" t="s">
        <v>26</v>
      </c>
      <c r="Q714" s="6" t="s">
        <v>27</v>
      </c>
      <c r="R714" s="6">
        <v>0</v>
      </c>
      <c r="S714" s="6" t="s">
        <v>28</v>
      </c>
      <c r="T714" s="7">
        <f t="shared" si="55"/>
        <v>0.31818668831168834</v>
      </c>
      <c r="U714" s="6">
        <f t="shared" si="56"/>
        <v>4</v>
      </c>
      <c r="V714" s="5" t="str">
        <f t="shared" si="57"/>
        <v>VERY GOOD</v>
      </c>
      <c r="W714" s="6" t="str">
        <f t="shared" si="58"/>
        <v>45-54</v>
      </c>
      <c r="X714" s="6" t="str">
        <f t="shared" si="59"/>
        <v>Upper-Middle</v>
      </c>
    </row>
    <row r="715" spans="1:24">
      <c r="A715" s="6" t="s">
        <v>458</v>
      </c>
      <c r="B715" s="6" t="s">
        <v>1731</v>
      </c>
      <c r="C715" s="6" t="s">
        <v>31</v>
      </c>
      <c r="D715" s="6" t="s">
        <v>460</v>
      </c>
      <c r="E715" s="6" t="s">
        <v>461</v>
      </c>
      <c r="F715" s="6">
        <v>43</v>
      </c>
      <c r="G715" s="6" t="s">
        <v>24</v>
      </c>
      <c r="H715" s="6" t="s">
        <v>1732</v>
      </c>
      <c r="I715" s="6" t="s">
        <v>4044</v>
      </c>
      <c r="J715" s="8">
        <v>45373</v>
      </c>
      <c r="K715" s="8">
        <v>45306</v>
      </c>
      <c r="L715" s="6">
        <v>15900.25</v>
      </c>
      <c r="M715" s="6">
        <v>9400.7999999999993</v>
      </c>
      <c r="N715" s="6">
        <v>695</v>
      </c>
      <c r="O715" s="6">
        <v>54000</v>
      </c>
      <c r="P715" s="6" t="s">
        <v>26</v>
      </c>
      <c r="Q715" s="6" t="s">
        <v>43</v>
      </c>
      <c r="R715" s="6">
        <v>0</v>
      </c>
      <c r="S715" s="6" t="s">
        <v>28</v>
      </c>
      <c r="T715" s="7">
        <f t="shared" si="55"/>
        <v>0.17408888888888888</v>
      </c>
      <c r="U715" s="6">
        <f t="shared" si="56"/>
        <v>0</v>
      </c>
      <c r="V715" s="5" t="str">
        <f t="shared" si="57"/>
        <v>GOOD</v>
      </c>
      <c r="W715" s="6" t="str">
        <f t="shared" si="58"/>
        <v>35-44</v>
      </c>
      <c r="X715" s="6" t="str">
        <f t="shared" si="59"/>
        <v>Low</v>
      </c>
    </row>
    <row r="716" spans="1:24">
      <c r="A716" s="6" t="s">
        <v>582</v>
      </c>
      <c r="B716" s="6" t="s">
        <v>1733</v>
      </c>
      <c r="C716" s="6" t="s">
        <v>57</v>
      </c>
      <c r="D716" s="6" t="s">
        <v>22</v>
      </c>
      <c r="E716" s="6" t="s">
        <v>53</v>
      </c>
      <c r="F716" s="6">
        <v>46</v>
      </c>
      <c r="G716" s="6" t="s">
        <v>34</v>
      </c>
      <c r="H716" s="6" t="s">
        <v>1734</v>
      </c>
      <c r="I716" s="6" t="s">
        <v>3605</v>
      </c>
      <c r="J716" s="8">
        <v>44917</v>
      </c>
      <c r="K716" s="8">
        <v>45303</v>
      </c>
      <c r="L716" s="6">
        <v>32100.9</v>
      </c>
      <c r="M716" s="6">
        <v>12800.25</v>
      </c>
      <c r="N716" s="6">
        <v>755</v>
      </c>
      <c r="O716" s="6">
        <v>76000</v>
      </c>
      <c r="P716" s="6" t="s">
        <v>36</v>
      </c>
      <c r="Q716" s="6" t="s">
        <v>27</v>
      </c>
      <c r="R716" s="6">
        <v>0</v>
      </c>
      <c r="S716" s="6" t="s">
        <v>28</v>
      </c>
      <c r="T716" s="7">
        <f t="shared" si="55"/>
        <v>0.16842434210526316</v>
      </c>
      <c r="U716" s="6">
        <f t="shared" si="56"/>
        <v>3</v>
      </c>
      <c r="V716" s="5" t="str">
        <f t="shared" si="57"/>
        <v>VERY GOOD</v>
      </c>
      <c r="W716" s="6" t="str">
        <f t="shared" si="58"/>
        <v>45-54</v>
      </c>
      <c r="X716" s="6" t="str">
        <f t="shared" si="59"/>
        <v>Lower-Middle</v>
      </c>
    </row>
    <row r="717" spans="1:24">
      <c r="A717" s="6" t="s">
        <v>55</v>
      </c>
      <c r="B717" s="6" t="s">
        <v>1735</v>
      </c>
      <c r="C717" s="6" t="s">
        <v>39</v>
      </c>
      <c r="D717" s="6" t="s">
        <v>58</v>
      </c>
      <c r="E717" s="6" t="s">
        <v>122</v>
      </c>
      <c r="F717" s="6">
        <v>64</v>
      </c>
      <c r="G717" s="6" t="s">
        <v>24</v>
      </c>
      <c r="H717" s="6" t="s">
        <v>1736</v>
      </c>
      <c r="I717" s="6" t="s">
        <v>3812</v>
      </c>
      <c r="J717" s="8">
        <v>43668</v>
      </c>
      <c r="K717" s="8">
        <v>45300</v>
      </c>
      <c r="L717" s="6">
        <v>191100.4</v>
      </c>
      <c r="M717" s="6">
        <v>102000.75</v>
      </c>
      <c r="N717" s="6">
        <v>685</v>
      </c>
      <c r="O717" s="6">
        <v>210000</v>
      </c>
      <c r="P717" s="6" t="s">
        <v>76</v>
      </c>
      <c r="Q717" s="6" t="s">
        <v>27</v>
      </c>
      <c r="R717" s="6">
        <v>0</v>
      </c>
      <c r="S717" s="6" t="s">
        <v>28</v>
      </c>
      <c r="T717" s="7">
        <f t="shared" si="55"/>
        <v>0.48571785714285715</v>
      </c>
      <c r="U717" s="6">
        <f t="shared" si="56"/>
        <v>6</v>
      </c>
      <c r="V717" s="5" t="str">
        <f t="shared" si="57"/>
        <v>GOOD</v>
      </c>
      <c r="W717" s="6" t="str">
        <f t="shared" si="58"/>
        <v>55+</v>
      </c>
      <c r="X717" s="6" t="str">
        <f t="shared" si="59"/>
        <v>High</v>
      </c>
    </row>
    <row r="718" spans="1:24">
      <c r="A718" s="6" t="s">
        <v>469</v>
      </c>
      <c r="B718" s="6" t="s">
        <v>1737</v>
      </c>
      <c r="C718" s="6" t="s">
        <v>52</v>
      </c>
      <c r="D718" s="6" t="s">
        <v>471</v>
      </c>
      <c r="E718" s="6" t="s">
        <v>472</v>
      </c>
      <c r="F718" s="6">
        <v>55</v>
      </c>
      <c r="G718" s="6" t="s">
        <v>34</v>
      </c>
      <c r="H718" s="6" t="s">
        <v>1738</v>
      </c>
      <c r="I718" s="6" t="s">
        <v>4045</v>
      </c>
      <c r="J718" s="8">
        <v>44308</v>
      </c>
      <c r="K718" s="8">
        <v>45301</v>
      </c>
      <c r="L718" s="6">
        <v>62100.800000000003</v>
      </c>
      <c r="M718" s="6">
        <v>35200.6</v>
      </c>
      <c r="N718" s="6">
        <v>715</v>
      </c>
      <c r="O718" s="6">
        <v>109000</v>
      </c>
      <c r="P718" s="6" t="s">
        <v>26</v>
      </c>
      <c r="Q718" s="6" t="s">
        <v>27</v>
      </c>
      <c r="R718" s="6">
        <v>0</v>
      </c>
      <c r="S718" s="6" t="s">
        <v>28</v>
      </c>
      <c r="T718" s="7">
        <f t="shared" si="55"/>
        <v>0.3229412844036697</v>
      </c>
      <c r="U718" s="6">
        <f t="shared" si="56"/>
        <v>5</v>
      </c>
      <c r="V718" s="5" t="str">
        <f t="shared" si="57"/>
        <v>GOOD</v>
      </c>
      <c r="W718" s="6" t="str">
        <f t="shared" si="58"/>
        <v>55+</v>
      </c>
      <c r="X718" s="6" t="str">
        <f t="shared" si="59"/>
        <v>Lower-Middle</v>
      </c>
    </row>
    <row r="719" spans="1:24">
      <c r="A719" s="6" t="s">
        <v>474</v>
      </c>
      <c r="B719" s="6" t="s">
        <v>1739</v>
      </c>
      <c r="C719" s="6" t="s">
        <v>46</v>
      </c>
      <c r="D719" s="6" t="s">
        <v>345</v>
      </c>
      <c r="E719" s="6" t="s">
        <v>346</v>
      </c>
      <c r="F719" s="6">
        <v>58</v>
      </c>
      <c r="G719" s="6" t="s">
        <v>24</v>
      </c>
      <c r="H719" s="6" t="s">
        <v>1740</v>
      </c>
      <c r="I719" s="6" t="s">
        <v>3814</v>
      </c>
      <c r="J719" s="8">
        <v>44218</v>
      </c>
      <c r="K719" s="8">
        <v>45302</v>
      </c>
      <c r="L719" s="6">
        <v>89900.25</v>
      </c>
      <c r="M719" s="6">
        <v>45200.4</v>
      </c>
      <c r="N719" s="6">
        <v>680</v>
      </c>
      <c r="O719" s="6">
        <v>138000</v>
      </c>
      <c r="P719" s="6" t="s">
        <v>26</v>
      </c>
      <c r="Q719" s="6" t="s">
        <v>27</v>
      </c>
      <c r="R719" s="6">
        <v>0</v>
      </c>
      <c r="S719" s="6" t="s">
        <v>28</v>
      </c>
      <c r="T719" s="7">
        <f t="shared" si="55"/>
        <v>0.32753913043478261</v>
      </c>
      <c r="U719" s="6">
        <f t="shared" si="56"/>
        <v>4</v>
      </c>
      <c r="V719" s="5" t="str">
        <f t="shared" si="57"/>
        <v>GOOD</v>
      </c>
      <c r="W719" s="6" t="str">
        <f t="shared" si="58"/>
        <v>55+</v>
      </c>
      <c r="X719" s="6" t="str">
        <f t="shared" si="59"/>
        <v>Upper-Middle</v>
      </c>
    </row>
    <row r="720" spans="1:24">
      <c r="A720" s="6" t="s">
        <v>592</v>
      </c>
      <c r="B720" s="6" t="s">
        <v>1741</v>
      </c>
      <c r="C720" s="6" t="s">
        <v>84</v>
      </c>
      <c r="D720" s="6" t="s">
        <v>32</v>
      </c>
      <c r="E720" s="6" t="s">
        <v>90</v>
      </c>
      <c r="F720" s="6">
        <v>38</v>
      </c>
      <c r="G720" s="6" t="s">
        <v>34</v>
      </c>
      <c r="H720" s="6" t="s">
        <v>1742</v>
      </c>
      <c r="I720" s="6" t="s">
        <v>3509</v>
      </c>
      <c r="J720" s="8">
        <v>45387</v>
      </c>
      <c r="K720" s="8">
        <v>45304</v>
      </c>
      <c r="L720" s="6">
        <v>3450.4</v>
      </c>
      <c r="M720" s="6">
        <v>12200.75</v>
      </c>
      <c r="N720" s="6">
        <v>610</v>
      </c>
      <c r="O720" s="6">
        <v>34000</v>
      </c>
      <c r="P720" s="6" t="s">
        <v>76</v>
      </c>
      <c r="Q720" s="6" t="s">
        <v>43</v>
      </c>
      <c r="R720" s="6">
        <v>0</v>
      </c>
      <c r="S720" s="6" t="s">
        <v>28</v>
      </c>
      <c r="T720" s="7">
        <f t="shared" si="55"/>
        <v>0.35884558823529411</v>
      </c>
      <c r="U720" s="6">
        <f t="shared" si="56"/>
        <v>2</v>
      </c>
      <c r="V720" s="5" t="str">
        <f t="shared" si="57"/>
        <v>FAIR</v>
      </c>
      <c r="W720" s="6" t="str">
        <f t="shared" si="58"/>
        <v>35-44</v>
      </c>
      <c r="X720" s="6" t="str">
        <f t="shared" si="59"/>
        <v>Low</v>
      </c>
    </row>
    <row r="721" spans="1:24">
      <c r="A721" s="6" t="s">
        <v>595</v>
      </c>
      <c r="B721" s="6" t="s">
        <v>1743</v>
      </c>
      <c r="C721" s="6" t="s">
        <v>21</v>
      </c>
      <c r="D721" s="6" t="s">
        <v>209</v>
      </c>
      <c r="E721" s="6" t="s">
        <v>210</v>
      </c>
      <c r="F721" s="6">
        <v>70</v>
      </c>
      <c r="G721" s="6" t="s">
        <v>24</v>
      </c>
      <c r="H721" s="6" t="s">
        <v>1744</v>
      </c>
      <c r="I721" s="6" t="s">
        <v>4046</v>
      </c>
      <c r="J721" s="8">
        <v>43365</v>
      </c>
      <c r="K721" s="8">
        <v>45299</v>
      </c>
      <c r="L721" s="6">
        <v>289100.79999999999</v>
      </c>
      <c r="M721" s="6">
        <v>93000.25</v>
      </c>
      <c r="N721" s="6">
        <v>825</v>
      </c>
      <c r="O721" s="6">
        <v>290000</v>
      </c>
      <c r="P721" s="6" t="s">
        <v>36</v>
      </c>
      <c r="Q721" s="6" t="s">
        <v>27</v>
      </c>
      <c r="R721" s="6">
        <v>0</v>
      </c>
      <c r="S721" s="6" t="s">
        <v>28</v>
      </c>
      <c r="T721" s="7">
        <f t="shared" si="55"/>
        <v>0.32069051724137931</v>
      </c>
      <c r="U721" s="6">
        <f t="shared" si="56"/>
        <v>7</v>
      </c>
      <c r="V721" s="5" t="str">
        <f t="shared" si="57"/>
        <v>EXCEPTIONAL</v>
      </c>
      <c r="W721" s="6" t="str">
        <f t="shared" si="58"/>
        <v>55+</v>
      </c>
      <c r="X721" s="6" t="str">
        <f t="shared" si="59"/>
        <v>High</v>
      </c>
    </row>
    <row r="722" spans="1:24">
      <c r="A722" s="6" t="s">
        <v>226</v>
      </c>
      <c r="B722" s="6" t="s">
        <v>1745</v>
      </c>
      <c r="C722" s="6" t="s">
        <v>57</v>
      </c>
      <c r="D722" s="6" t="s">
        <v>228</v>
      </c>
      <c r="E722" s="6" t="s">
        <v>229</v>
      </c>
      <c r="F722" s="6">
        <v>45</v>
      </c>
      <c r="G722" s="6" t="s">
        <v>34</v>
      </c>
      <c r="H722" s="6" t="s">
        <v>1746</v>
      </c>
      <c r="I722" s="6" t="s">
        <v>4047</v>
      </c>
      <c r="J722" s="8">
        <v>45099</v>
      </c>
      <c r="K722" s="8">
        <v>45305</v>
      </c>
      <c r="L722" s="6">
        <v>28800.75</v>
      </c>
      <c r="M722" s="6">
        <v>11200.4</v>
      </c>
      <c r="N722" s="6">
        <v>725</v>
      </c>
      <c r="O722" s="6">
        <v>66000</v>
      </c>
      <c r="P722" s="6" t="s">
        <v>36</v>
      </c>
      <c r="Q722" s="6" t="s">
        <v>27</v>
      </c>
      <c r="R722" s="6">
        <v>0</v>
      </c>
      <c r="S722" s="6" t="s">
        <v>28</v>
      </c>
      <c r="T722" s="7">
        <f t="shared" si="55"/>
        <v>0.1697030303030303</v>
      </c>
      <c r="U722" s="6">
        <f t="shared" si="56"/>
        <v>1</v>
      </c>
      <c r="V722" s="5" t="str">
        <f t="shared" si="57"/>
        <v>GOOD</v>
      </c>
      <c r="W722" s="6" t="str">
        <f t="shared" si="58"/>
        <v>45-54</v>
      </c>
      <c r="X722" s="6" t="str">
        <f t="shared" si="59"/>
        <v>Low</v>
      </c>
    </row>
    <row r="723" spans="1:24">
      <c r="A723" s="6" t="s">
        <v>488</v>
      </c>
      <c r="B723" s="6" t="s">
        <v>1747</v>
      </c>
      <c r="C723" s="6" t="s">
        <v>39</v>
      </c>
      <c r="D723" s="6" t="s">
        <v>304</v>
      </c>
      <c r="E723" s="6" t="s">
        <v>304</v>
      </c>
      <c r="F723" s="6">
        <v>62</v>
      </c>
      <c r="G723" s="6" t="s">
        <v>24</v>
      </c>
      <c r="H723" s="6" t="s">
        <v>1748</v>
      </c>
      <c r="I723" s="6" t="s">
        <v>4048</v>
      </c>
      <c r="J723" s="8">
        <v>43842</v>
      </c>
      <c r="K723" s="8">
        <v>45300</v>
      </c>
      <c r="L723" s="6">
        <v>169300.6</v>
      </c>
      <c r="M723" s="6">
        <v>93000.9</v>
      </c>
      <c r="N723" s="6">
        <v>675</v>
      </c>
      <c r="O723" s="6">
        <v>190000</v>
      </c>
      <c r="P723" s="6" t="s">
        <v>76</v>
      </c>
      <c r="Q723" s="6" t="s">
        <v>27</v>
      </c>
      <c r="R723" s="6">
        <v>0</v>
      </c>
      <c r="S723" s="6" t="s">
        <v>28</v>
      </c>
      <c r="T723" s="7">
        <f t="shared" si="55"/>
        <v>0.48947842105263156</v>
      </c>
      <c r="U723" s="6">
        <f t="shared" si="56"/>
        <v>6</v>
      </c>
      <c r="V723" s="5" t="str">
        <f t="shared" si="57"/>
        <v>GOOD</v>
      </c>
      <c r="W723" s="6" t="str">
        <f t="shared" si="58"/>
        <v>55+</v>
      </c>
      <c r="X723" s="6" t="str">
        <f t="shared" si="59"/>
        <v>Upper-Middle</v>
      </c>
    </row>
    <row r="724" spans="1:24">
      <c r="A724" s="6" t="s">
        <v>491</v>
      </c>
      <c r="B724" s="6" t="s">
        <v>1749</v>
      </c>
      <c r="C724" s="6" t="s">
        <v>52</v>
      </c>
      <c r="D724" s="6" t="s">
        <v>493</v>
      </c>
      <c r="E724" s="6" t="s">
        <v>494</v>
      </c>
      <c r="F724" s="6">
        <v>53</v>
      </c>
      <c r="G724" s="6" t="s">
        <v>34</v>
      </c>
      <c r="H724" s="6" t="s">
        <v>1750</v>
      </c>
      <c r="I724" s="6" t="s">
        <v>4049</v>
      </c>
      <c r="J724" s="8">
        <v>44614</v>
      </c>
      <c r="K724" s="8">
        <v>45302</v>
      </c>
      <c r="L724" s="6">
        <v>56300.4</v>
      </c>
      <c r="M724" s="6">
        <v>31000.25</v>
      </c>
      <c r="N724" s="6">
        <v>705</v>
      </c>
      <c r="O724" s="6">
        <v>98000</v>
      </c>
      <c r="P724" s="6" t="s">
        <v>26</v>
      </c>
      <c r="Q724" s="6" t="s">
        <v>27</v>
      </c>
      <c r="R724" s="6">
        <v>0</v>
      </c>
      <c r="S724" s="6" t="s">
        <v>28</v>
      </c>
      <c r="T724" s="7">
        <f t="shared" si="55"/>
        <v>0.31632908163265305</v>
      </c>
      <c r="U724" s="6">
        <f t="shared" si="56"/>
        <v>4</v>
      </c>
      <c r="V724" s="5" t="str">
        <f t="shared" si="57"/>
        <v>GOOD</v>
      </c>
      <c r="W724" s="6" t="str">
        <f t="shared" si="58"/>
        <v>45-54</v>
      </c>
      <c r="X724" s="6" t="str">
        <f t="shared" si="59"/>
        <v>Lower-Middle</v>
      </c>
    </row>
    <row r="725" spans="1:24">
      <c r="A725" s="6" t="s">
        <v>496</v>
      </c>
      <c r="B725" s="6" t="s">
        <v>1751</v>
      </c>
      <c r="C725" s="6" t="s">
        <v>46</v>
      </c>
      <c r="D725" s="6" t="s">
        <v>321</v>
      </c>
      <c r="E725" s="6" t="s">
        <v>498</v>
      </c>
      <c r="F725" s="6">
        <v>56</v>
      </c>
      <c r="G725" s="6" t="s">
        <v>24</v>
      </c>
      <c r="H725" s="6" t="s">
        <v>1752</v>
      </c>
      <c r="I725" s="6" t="s">
        <v>4050</v>
      </c>
      <c r="J725" s="8">
        <v>44096</v>
      </c>
      <c r="K725" s="8">
        <v>45301</v>
      </c>
      <c r="L725" s="6">
        <v>103100.75</v>
      </c>
      <c r="M725" s="6">
        <v>52100.800000000003</v>
      </c>
      <c r="N725" s="6">
        <v>730</v>
      </c>
      <c r="O725" s="6">
        <v>164000</v>
      </c>
      <c r="P725" s="6" t="s">
        <v>26</v>
      </c>
      <c r="Q725" s="6" t="s">
        <v>27</v>
      </c>
      <c r="R725" s="6">
        <v>0</v>
      </c>
      <c r="S725" s="6" t="s">
        <v>28</v>
      </c>
      <c r="T725" s="7">
        <f t="shared" si="55"/>
        <v>0.31768780487804882</v>
      </c>
      <c r="U725" s="6">
        <f t="shared" si="56"/>
        <v>5</v>
      </c>
      <c r="V725" s="5" t="str">
        <f t="shared" si="57"/>
        <v>GOOD</v>
      </c>
      <c r="W725" s="6" t="str">
        <f t="shared" si="58"/>
        <v>55+</v>
      </c>
      <c r="X725" s="6" t="str">
        <f t="shared" si="59"/>
        <v>Upper-Middle</v>
      </c>
    </row>
    <row r="726" spans="1:24">
      <c r="A726" s="6" t="s">
        <v>324</v>
      </c>
      <c r="B726" s="6" t="s">
        <v>1753</v>
      </c>
      <c r="C726" s="6" t="s">
        <v>31</v>
      </c>
      <c r="D726" s="6" t="s">
        <v>313</v>
      </c>
      <c r="E726" s="6" t="s">
        <v>385</v>
      </c>
      <c r="F726" s="6">
        <v>41</v>
      </c>
      <c r="G726" s="6" t="s">
        <v>34</v>
      </c>
      <c r="H726" s="6" t="s">
        <v>1754</v>
      </c>
      <c r="I726" s="6" t="s">
        <v>4051</v>
      </c>
      <c r="J726" s="8">
        <v>45379</v>
      </c>
      <c r="K726" s="8">
        <v>45306</v>
      </c>
      <c r="L726" s="6">
        <v>13800.9</v>
      </c>
      <c r="M726" s="6">
        <v>8300.75</v>
      </c>
      <c r="N726" s="6">
        <v>685</v>
      </c>
      <c r="O726" s="6">
        <v>51000</v>
      </c>
      <c r="P726" s="6" t="s">
        <v>26</v>
      </c>
      <c r="Q726" s="6" t="s">
        <v>43</v>
      </c>
      <c r="R726" s="6">
        <v>0</v>
      </c>
      <c r="S726" s="6" t="s">
        <v>28</v>
      </c>
      <c r="T726" s="7">
        <f t="shared" si="55"/>
        <v>0.16275980392156864</v>
      </c>
      <c r="U726" s="6">
        <f t="shared" si="56"/>
        <v>0</v>
      </c>
      <c r="V726" s="5" t="str">
        <f t="shared" si="57"/>
        <v>GOOD</v>
      </c>
      <c r="W726" s="6" t="str">
        <f t="shared" si="58"/>
        <v>35-44</v>
      </c>
      <c r="X726" s="6" t="str">
        <f t="shared" si="59"/>
        <v>Low</v>
      </c>
    </row>
    <row r="727" spans="1:24">
      <c r="A727" s="6" t="s">
        <v>503</v>
      </c>
      <c r="B727" s="6" t="s">
        <v>1755</v>
      </c>
      <c r="C727" s="6" t="s">
        <v>21</v>
      </c>
      <c r="D727" s="6" t="s">
        <v>32</v>
      </c>
      <c r="E727" s="6" t="s">
        <v>33</v>
      </c>
      <c r="F727" s="6">
        <v>73</v>
      </c>
      <c r="G727" s="6" t="s">
        <v>24</v>
      </c>
      <c r="H727" s="6" t="s">
        <v>1756</v>
      </c>
      <c r="I727" s="6" t="s">
        <v>3612</v>
      </c>
      <c r="J727" s="8">
        <v>43091</v>
      </c>
      <c r="K727" s="8">
        <v>45299</v>
      </c>
      <c r="L727" s="6">
        <v>300000.25</v>
      </c>
      <c r="M727" s="6">
        <v>97000.4</v>
      </c>
      <c r="N727" s="6">
        <v>840</v>
      </c>
      <c r="O727" s="6">
        <v>305000</v>
      </c>
      <c r="P727" s="6" t="s">
        <v>36</v>
      </c>
      <c r="Q727" s="6" t="s">
        <v>27</v>
      </c>
      <c r="R727" s="6">
        <v>0</v>
      </c>
      <c r="S727" s="6" t="s">
        <v>28</v>
      </c>
      <c r="T727" s="7">
        <f t="shared" si="55"/>
        <v>0.31803409836065571</v>
      </c>
      <c r="U727" s="6">
        <f t="shared" si="56"/>
        <v>7</v>
      </c>
      <c r="V727" s="5" t="str">
        <f t="shared" si="57"/>
        <v>EXCEPTIONAL</v>
      </c>
      <c r="W727" s="6" t="str">
        <f t="shared" si="58"/>
        <v>55+</v>
      </c>
      <c r="X727" s="6" t="str">
        <f t="shared" si="59"/>
        <v>High</v>
      </c>
    </row>
    <row r="728" spans="1:24">
      <c r="A728" s="6" t="s">
        <v>506</v>
      </c>
      <c r="B728" s="6" t="s">
        <v>1757</v>
      </c>
      <c r="C728" s="6" t="s">
        <v>39</v>
      </c>
      <c r="D728" s="6" t="s">
        <v>68</v>
      </c>
      <c r="E728" s="6" t="s">
        <v>69</v>
      </c>
      <c r="F728" s="6">
        <v>65</v>
      </c>
      <c r="G728" s="6" t="s">
        <v>34</v>
      </c>
      <c r="H728" s="6" t="s">
        <v>1758</v>
      </c>
      <c r="I728" s="6" t="s">
        <v>4026</v>
      </c>
      <c r="J728" s="8">
        <v>43607</v>
      </c>
      <c r="K728" s="8">
        <v>45300</v>
      </c>
      <c r="L728" s="6">
        <v>180400.4</v>
      </c>
      <c r="M728" s="6">
        <v>97000.75</v>
      </c>
      <c r="N728" s="6">
        <v>650</v>
      </c>
      <c r="O728" s="6">
        <v>200000</v>
      </c>
      <c r="P728" s="6" t="s">
        <v>76</v>
      </c>
      <c r="Q728" s="6" t="s">
        <v>27</v>
      </c>
      <c r="R728" s="6">
        <v>0</v>
      </c>
      <c r="S728" s="6" t="s">
        <v>28</v>
      </c>
      <c r="T728" s="7">
        <f t="shared" si="55"/>
        <v>0.48500375000000001</v>
      </c>
      <c r="U728" s="6">
        <f t="shared" si="56"/>
        <v>6</v>
      </c>
      <c r="V728" s="5" t="str">
        <f t="shared" si="57"/>
        <v>FAIR</v>
      </c>
      <c r="W728" s="6" t="str">
        <f t="shared" si="58"/>
        <v>55+</v>
      </c>
      <c r="X728" s="6" t="str">
        <f t="shared" si="59"/>
        <v>High</v>
      </c>
    </row>
    <row r="729" spans="1:24">
      <c r="A729" s="6" t="s">
        <v>509</v>
      </c>
      <c r="B729" s="6" t="s">
        <v>1759</v>
      </c>
      <c r="C729" s="6" t="s">
        <v>46</v>
      </c>
      <c r="D729" s="6" t="s">
        <v>73</v>
      </c>
      <c r="E729" s="6" t="s">
        <v>74</v>
      </c>
      <c r="F729" s="6">
        <v>52</v>
      </c>
      <c r="G729" s="6" t="s">
        <v>24</v>
      </c>
      <c r="H729" s="6" t="s">
        <v>1760</v>
      </c>
      <c r="I729" s="6" t="s">
        <v>4052</v>
      </c>
      <c r="J729" s="8">
        <v>44826</v>
      </c>
      <c r="K729" s="8">
        <v>45303</v>
      </c>
      <c r="L729" s="6">
        <v>91000.4</v>
      </c>
      <c r="M729" s="6">
        <v>46300.25</v>
      </c>
      <c r="N729" s="6">
        <v>745</v>
      </c>
      <c r="O729" s="6">
        <v>144000</v>
      </c>
      <c r="P729" s="6" t="s">
        <v>26</v>
      </c>
      <c r="Q729" s="6" t="s">
        <v>27</v>
      </c>
      <c r="R729" s="6">
        <v>0</v>
      </c>
      <c r="S729" s="6" t="s">
        <v>28</v>
      </c>
      <c r="T729" s="7">
        <f t="shared" si="55"/>
        <v>0.3215295138888889</v>
      </c>
      <c r="U729" s="6">
        <f t="shared" si="56"/>
        <v>3</v>
      </c>
      <c r="V729" s="5" t="str">
        <f t="shared" si="57"/>
        <v>GOOD</v>
      </c>
      <c r="W729" s="6" t="str">
        <f t="shared" si="58"/>
        <v>45-54</v>
      </c>
      <c r="X729" s="6" t="str">
        <f t="shared" si="59"/>
        <v>Upper-Middle</v>
      </c>
    </row>
    <row r="730" spans="1:24">
      <c r="A730" s="6" t="s">
        <v>513</v>
      </c>
      <c r="B730" s="6" t="s">
        <v>1761</v>
      </c>
      <c r="C730" s="6" t="s">
        <v>57</v>
      </c>
      <c r="D730" s="6" t="s">
        <v>58</v>
      </c>
      <c r="E730" s="6" t="s">
        <v>122</v>
      </c>
      <c r="F730" s="6">
        <v>47</v>
      </c>
      <c r="G730" s="6" t="s">
        <v>34</v>
      </c>
      <c r="H730" s="6" t="s">
        <v>1762</v>
      </c>
      <c r="I730" s="6" t="s">
        <v>3822</v>
      </c>
      <c r="J730" s="8">
        <v>45007</v>
      </c>
      <c r="K730" s="8">
        <v>45302</v>
      </c>
      <c r="L730" s="6">
        <v>31000.799999999999</v>
      </c>
      <c r="M730" s="6">
        <v>12400.9</v>
      </c>
      <c r="N730" s="6">
        <v>765</v>
      </c>
      <c r="O730" s="6">
        <v>76000</v>
      </c>
      <c r="P730" s="6" t="s">
        <v>36</v>
      </c>
      <c r="Q730" s="6" t="s">
        <v>27</v>
      </c>
      <c r="R730" s="6">
        <v>0</v>
      </c>
      <c r="S730" s="6" t="s">
        <v>28</v>
      </c>
      <c r="T730" s="7">
        <f t="shared" si="55"/>
        <v>0.16316973684210526</v>
      </c>
      <c r="U730" s="6">
        <f t="shared" si="56"/>
        <v>4</v>
      </c>
      <c r="V730" s="5" t="str">
        <f t="shared" si="57"/>
        <v>VERY GOOD</v>
      </c>
      <c r="W730" s="6" t="str">
        <f t="shared" si="58"/>
        <v>45-54</v>
      </c>
      <c r="X730" s="6" t="str">
        <f t="shared" si="59"/>
        <v>Lower-Middle</v>
      </c>
    </row>
    <row r="731" spans="1:24">
      <c r="A731" s="6" t="s">
        <v>516</v>
      </c>
      <c r="B731" s="6" t="s">
        <v>1763</v>
      </c>
      <c r="C731" s="6" t="s">
        <v>52</v>
      </c>
      <c r="D731" s="6" t="s">
        <v>277</v>
      </c>
      <c r="E731" s="6" t="s">
        <v>404</v>
      </c>
      <c r="F731" s="6">
        <v>60</v>
      </c>
      <c r="G731" s="6" t="s">
        <v>24</v>
      </c>
      <c r="H731" s="6" t="s">
        <v>1764</v>
      </c>
      <c r="I731" s="6" t="s">
        <v>3823</v>
      </c>
      <c r="J731" s="8">
        <v>44277</v>
      </c>
      <c r="K731" s="8">
        <v>45301</v>
      </c>
      <c r="L731" s="6">
        <v>64300.75</v>
      </c>
      <c r="M731" s="6">
        <v>37400.400000000001</v>
      </c>
      <c r="N731" s="6">
        <v>675</v>
      </c>
      <c r="O731" s="6">
        <v>116000</v>
      </c>
      <c r="P731" s="6" t="s">
        <v>26</v>
      </c>
      <c r="Q731" s="6" t="s">
        <v>27</v>
      </c>
      <c r="R731" s="6">
        <v>0</v>
      </c>
      <c r="S731" s="6" t="s">
        <v>28</v>
      </c>
      <c r="T731" s="7">
        <f t="shared" si="55"/>
        <v>0.32241724137931038</v>
      </c>
      <c r="U731" s="6">
        <f t="shared" si="56"/>
        <v>5</v>
      </c>
      <c r="V731" s="5" t="str">
        <f t="shared" si="57"/>
        <v>GOOD</v>
      </c>
      <c r="W731" s="6" t="str">
        <f t="shared" si="58"/>
        <v>55+</v>
      </c>
      <c r="X731" s="6" t="str">
        <f t="shared" si="59"/>
        <v>Lower-Middle</v>
      </c>
    </row>
    <row r="732" spans="1:24">
      <c r="A732" s="6" t="s">
        <v>519</v>
      </c>
      <c r="B732" s="6" t="s">
        <v>1765</v>
      </c>
      <c r="C732" s="6" t="s">
        <v>84</v>
      </c>
      <c r="D732" s="6" t="s">
        <v>183</v>
      </c>
      <c r="E732" s="6" t="s">
        <v>184</v>
      </c>
      <c r="F732" s="6">
        <v>39</v>
      </c>
      <c r="G732" s="6" t="s">
        <v>34</v>
      </c>
      <c r="H732" s="6" t="s">
        <v>1766</v>
      </c>
      <c r="I732" s="6" t="s">
        <v>3824</v>
      </c>
      <c r="J732" s="8">
        <v>45394</v>
      </c>
      <c r="K732" s="8">
        <v>45304</v>
      </c>
      <c r="L732" s="6">
        <v>3700.25</v>
      </c>
      <c r="M732" s="6">
        <v>13400.6</v>
      </c>
      <c r="N732" s="6">
        <v>615</v>
      </c>
      <c r="O732" s="6">
        <v>36000</v>
      </c>
      <c r="P732" s="6" t="s">
        <v>76</v>
      </c>
      <c r="Q732" s="6" t="s">
        <v>43</v>
      </c>
      <c r="R732" s="6">
        <v>0</v>
      </c>
      <c r="S732" s="6" t="s">
        <v>28</v>
      </c>
      <c r="T732" s="7">
        <f t="shared" si="55"/>
        <v>0.3722388888888889</v>
      </c>
      <c r="U732" s="6">
        <f t="shared" si="56"/>
        <v>2</v>
      </c>
      <c r="V732" s="5" t="str">
        <f t="shared" si="57"/>
        <v>FAIR</v>
      </c>
      <c r="W732" s="6" t="str">
        <f t="shared" si="58"/>
        <v>35-44</v>
      </c>
      <c r="X732" s="6" t="str">
        <f t="shared" si="59"/>
        <v>Low</v>
      </c>
    </row>
    <row r="733" spans="1:24">
      <c r="A733" s="6" t="s">
        <v>522</v>
      </c>
      <c r="B733" s="6" t="s">
        <v>1767</v>
      </c>
      <c r="C733" s="6" t="s">
        <v>39</v>
      </c>
      <c r="D733" s="6" t="s">
        <v>40</v>
      </c>
      <c r="E733" s="6" t="s">
        <v>41</v>
      </c>
      <c r="F733" s="6">
        <v>67</v>
      </c>
      <c r="G733" s="6" t="s">
        <v>24</v>
      </c>
      <c r="H733" s="6" t="s">
        <v>1768</v>
      </c>
      <c r="I733" s="6" t="s">
        <v>3510</v>
      </c>
      <c r="J733" s="8">
        <v>43577</v>
      </c>
      <c r="K733" s="8">
        <v>45299</v>
      </c>
      <c r="L733" s="6">
        <v>215000.8</v>
      </c>
      <c r="M733" s="6">
        <v>110000.25</v>
      </c>
      <c r="N733" s="6">
        <v>660</v>
      </c>
      <c r="O733" s="6">
        <v>235000</v>
      </c>
      <c r="P733" s="6" t="s">
        <v>76</v>
      </c>
      <c r="Q733" s="6" t="s">
        <v>27</v>
      </c>
      <c r="R733" s="6">
        <v>0</v>
      </c>
      <c r="S733" s="6" t="s">
        <v>28</v>
      </c>
      <c r="T733" s="7">
        <f t="shared" si="55"/>
        <v>0.46808617021276594</v>
      </c>
      <c r="U733" s="6">
        <f t="shared" si="56"/>
        <v>7</v>
      </c>
      <c r="V733" s="5" t="str">
        <f t="shared" si="57"/>
        <v>FAIR</v>
      </c>
      <c r="W733" s="6" t="str">
        <f t="shared" si="58"/>
        <v>55+</v>
      </c>
      <c r="X733" s="6" t="str">
        <f t="shared" si="59"/>
        <v>High</v>
      </c>
    </row>
    <row r="734" spans="1:24">
      <c r="A734" s="6" t="s">
        <v>306</v>
      </c>
      <c r="B734" s="6" t="s">
        <v>1769</v>
      </c>
      <c r="C734" s="6" t="s">
        <v>46</v>
      </c>
      <c r="D734" s="6" t="s">
        <v>209</v>
      </c>
      <c r="E734" s="6" t="s">
        <v>447</v>
      </c>
      <c r="F734" s="6">
        <v>54</v>
      </c>
      <c r="G734" s="6" t="s">
        <v>34</v>
      </c>
      <c r="H734" s="6" t="s">
        <v>1770</v>
      </c>
      <c r="I734" s="6" t="s">
        <v>4053</v>
      </c>
      <c r="J734" s="8">
        <v>44430</v>
      </c>
      <c r="K734" s="8">
        <v>45302</v>
      </c>
      <c r="L734" s="6">
        <v>85400.9</v>
      </c>
      <c r="M734" s="6">
        <v>43200.75</v>
      </c>
      <c r="N734" s="6">
        <v>730</v>
      </c>
      <c r="O734" s="6">
        <v>139000</v>
      </c>
      <c r="P734" s="6" t="s">
        <v>26</v>
      </c>
      <c r="Q734" s="6" t="s">
        <v>27</v>
      </c>
      <c r="R734" s="6">
        <v>0</v>
      </c>
      <c r="S734" s="6" t="s">
        <v>28</v>
      </c>
      <c r="T734" s="7">
        <f t="shared" si="55"/>
        <v>0.31079676258992806</v>
      </c>
      <c r="U734" s="6">
        <f t="shared" si="56"/>
        <v>4</v>
      </c>
      <c r="V734" s="5" t="str">
        <f t="shared" si="57"/>
        <v>GOOD</v>
      </c>
      <c r="W734" s="6" t="str">
        <f t="shared" si="58"/>
        <v>45-54</v>
      </c>
      <c r="X734" s="6" t="str">
        <f t="shared" si="59"/>
        <v>Upper-Middle</v>
      </c>
    </row>
    <row r="735" spans="1:24">
      <c r="A735" s="6" t="s">
        <v>527</v>
      </c>
      <c r="B735" s="6" t="s">
        <v>1771</v>
      </c>
      <c r="C735" s="6" t="s">
        <v>31</v>
      </c>
      <c r="D735" s="6" t="s">
        <v>32</v>
      </c>
      <c r="E735" s="6" t="s">
        <v>90</v>
      </c>
      <c r="F735" s="6">
        <v>43</v>
      </c>
      <c r="G735" s="6" t="s">
        <v>34</v>
      </c>
      <c r="H735" s="6" t="s">
        <v>1772</v>
      </c>
      <c r="I735" s="6" t="s">
        <v>3721</v>
      </c>
      <c r="J735" s="8">
        <v>45390</v>
      </c>
      <c r="K735" s="8">
        <v>45305</v>
      </c>
      <c r="L735" s="6">
        <v>14900.4</v>
      </c>
      <c r="M735" s="6">
        <v>8400.25</v>
      </c>
      <c r="N735" s="6">
        <v>705</v>
      </c>
      <c r="O735" s="6">
        <v>53000</v>
      </c>
      <c r="P735" s="6" t="s">
        <v>26</v>
      </c>
      <c r="Q735" s="6" t="s">
        <v>43</v>
      </c>
      <c r="R735" s="6">
        <v>0</v>
      </c>
      <c r="S735" s="6" t="s">
        <v>28</v>
      </c>
      <c r="T735" s="7">
        <f t="shared" si="55"/>
        <v>0.15849528301886792</v>
      </c>
      <c r="U735" s="6">
        <f t="shared" si="56"/>
        <v>1</v>
      </c>
      <c r="V735" s="5" t="str">
        <f t="shared" si="57"/>
        <v>GOOD</v>
      </c>
      <c r="W735" s="6" t="str">
        <f t="shared" si="58"/>
        <v>35-44</v>
      </c>
      <c r="X735" s="6" t="str">
        <f t="shared" si="59"/>
        <v>Low</v>
      </c>
    </row>
    <row r="736" spans="1:24">
      <c r="A736" s="6" t="s">
        <v>530</v>
      </c>
      <c r="B736" s="6" t="s">
        <v>1773</v>
      </c>
      <c r="C736" s="6" t="s">
        <v>57</v>
      </c>
      <c r="D736" s="6" t="s">
        <v>219</v>
      </c>
      <c r="E736" s="6" t="s">
        <v>220</v>
      </c>
      <c r="F736" s="6">
        <v>48</v>
      </c>
      <c r="G736" s="6" t="s">
        <v>24</v>
      </c>
      <c r="H736" s="6" t="s">
        <v>1774</v>
      </c>
      <c r="I736" s="6" t="s">
        <v>4054</v>
      </c>
      <c r="J736" s="8">
        <v>44979</v>
      </c>
      <c r="K736" s="8">
        <v>45303</v>
      </c>
      <c r="L736" s="6">
        <v>29900.6</v>
      </c>
      <c r="M736" s="6">
        <v>11800.8</v>
      </c>
      <c r="N736" s="6">
        <v>710</v>
      </c>
      <c r="O736" s="6">
        <v>69000</v>
      </c>
      <c r="P736" s="6" t="s">
        <v>36</v>
      </c>
      <c r="Q736" s="6" t="s">
        <v>27</v>
      </c>
      <c r="R736" s="6">
        <v>0</v>
      </c>
      <c r="S736" s="6" t="s">
        <v>28</v>
      </c>
      <c r="T736" s="7">
        <f t="shared" si="55"/>
        <v>0.17102608695652172</v>
      </c>
      <c r="U736" s="6">
        <f t="shared" si="56"/>
        <v>3</v>
      </c>
      <c r="V736" s="5" t="str">
        <f t="shared" si="57"/>
        <v>GOOD</v>
      </c>
      <c r="W736" s="6" t="str">
        <f t="shared" si="58"/>
        <v>45-54</v>
      </c>
      <c r="X736" s="6" t="str">
        <f t="shared" si="59"/>
        <v>Low</v>
      </c>
    </row>
    <row r="737" spans="1:24">
      <c r="A737" s="6" t="s">
        <v>533</v>
      </c>
      <c r="B737" s="6" t="s">
        <v>1775</v>
      </c>
      <c r="C737" s="6" t="s">
        <v>52</v>
      </c>
      <c r="D737" s="6" t="s">
        <v>204</v>
      </c>
      <c r="E737" s="6" t="s">
        <v>259</v>
      </c>
      <c r="F737" s="6">
        <v>55</v>
      </c>
      <c r="G737" s="6" t="s">
        <v>34</v>
      </c>
      <c r="H737" s="6" t="s">
        <v>1776</v>
      </c>
      <c r="I737" s="6" t="s">
        <v>4055</v>
      </c>
      <c r="J737" s="8">
        <v>44277</v>
      </c>
      <c r="K737" s="8">
        <v>45301</v>
      </c>
      <c r="L737" s="6">
        <v>61200.25</v>
      </c>
      <c r="M737" s="6">
        <v>34300.9</v>
      </c>
      <c r="N737" s="6">
        <v>695</v>
      </c>
      <c r="O737" s="6">
        <v>104000</v>
      </c>
      <c r="P737" s="6" t="s">
        <v>26</v>
      </c>
      <c r="Q737" s="6" t="s">
        <v>27</v>
      </c>
      <c r="R737" s="6">
        <v>0</v>
      </c>
      <c r="S737" s="6" t="s">
        <v>28</v>
      </c>
      <c r="T737" s="7">
        <f t="shared" si="55"/>
        <v>0.32981634615384614</v>
      </c>
      <c r="U737" s="6">
        <f t="shared" si="56"/>
        <v>5</v>
      </c>
      <c r="V737" s="5" t="str">
        <f t="shared" si="57"/>
        <v>GOOD</v>
      </c>
      <c r="W737" s="6" t="str">
        <f t="shared" si="58"/>
        <v>55+</v>
      </c>
      <c r="X737" s="6" t="str">
        <f t="shared" si="59"/>
        <v>Lower-Middle</v>
      </c>
    </row>
    <row r="738" spans="1:24">
      <c r="A738" s="6" t="s">
        <v>536</v>
      </c>
      <c r="B738" s="6" t="s">
        <v>1777</v>
      </c>
      <c r="C738" s="6" t="s">
        <v>39</v>
      </c>
      <c r="D738" s="6" t="s">
        <v>195</v>
      </c>
      <c r="E738" s="6" t="s">
        <v>300</v>
      </c>
      <c r="F738" s="6">
        <v>63</v>
      </c>
      <c r="G738" s="6" t="s">
        <v>24</v>
      </c>
      <c r="H738" s="6" t="s">
        <v>1778</v>
      </c>
      <c r="I738" s="6" t="s">
        <v>4056</v>
      </c>
      <c r="J738" s="8">
        <v>43730</v>
      </c>
      <c r="K738" s="8">
        <v>45300</v>
      </c>
      <c r="L738" s="6">
        <v>147200.4</v>
      </c>
      <c r="M738" s="6">
        <v>84000.6</v>
      </c>
      <c r="N738" s="6">
        <v>670</v>
      </c>
      <c r="O738" s="6">
        <v>171000</v>
      </c>
      <c r="P738" s="6" t="s">
        <v>76</v>
      </c>
      <c r="Q738" s="6" t="s">
        <v>27</v>
      </c>
      <c r="R738" s="6">
        <v>0</v>
      </c>
      <c r="S738" s="6" t="s">
        <v>28</v>
      </c>
      <c r="T738" s="7">
        <f t="shared" si="55"/>
        <v>0.49123157894736846</v>
      </c>
      <c r="U738" s="6">
        <f t="shared" si="56"/>
        <v>6</v>
      </c>
      <c r="V738" s="5" t="str">
        <f t="shared" si="57"/>
        <v>GOOD</v>
      </c>
      <c r="W738" s="6" t="str">
        <f t="shared" si="58"/>
        <v>55+</v>
      </c>
      <c r="X738" s="6" t="str">
        <f t="shared" si="59"/>
        <v>Upper-Middle</v>
      </c>
    </row>
    <row r="739" spans="1:24">
      <c r="A739" s="6" t="s">
        <v>539</v>
      </c>
      <c r="B739" s="6" t="s">
        <v>1779</v>
      </c>
      <c r="C739" s="6" t="s">
        <v>21</v>
      </c>
      <c r="D739" s="6" t="s">
        <v>58</v>
      </c>
      <c r="E739" s="6" t="s">
        <v>59</v>
      </c>
      <c r="F739" s="6">
        <v>71</v>
      </c>
      <c r="G739" s="6" t="s">
        <v>34</v>
      </c>
      <c r="H739" s="6" t="s">
        <v>1780</v>
      </c>
      <c r="I739" s="6" t="s">
        <v>3829</v>
      </c>
      <c r="J739" s="8">
        <v>43303</v>
      </c>
      <c r="K739" s="8">
        <v>45299</v>
      </c>
      <c r="L739" s="6">
        <v>314100.75</v>
      </c>
      <c r="M739" s="6">
        <v>101000.8</v>
      </c>
      <c r="N739" s="6">
        <v>835</v>
      </c>
      <c r="O739" s="6">
        <v>316000</v>
      </c>
      <c r="P739" s="6" t="s">
        <v>36</v>
      </c>
      <c r="Q739" s="6" t="s">
        <v>27</v>
      </c>
      <c r="R739" s="6">
        <v>0</v>
      </c>
      <c r="S739" s="6" t="s">
        <v>28</v>
      </c>
      <c r="T739" s="7">
        <f t="shared" si="55"/>
        <v>0.31962278481012657</v>
      </c>
      <c r="U739" s="6">
        <f t="shared" si="56"/>
        <v>7</v>
      </c>
      <c r="V739" s="5" t="str">
        <f t="shared" si="57"/>
        <v>EXCEPTIONAL</v>
      </c>
      <c r="W739" s="6" t="str">
        <f t="shared" si="58"/>
        <v>55+</v>
      </c>
      <c r="X739" s="6" t="str">
        <f t="shared" si="59"/>
        <v>High</v>
      </c>
    </row>
    <row r="740" spans="1:24">
      <c r="A740" s="6" t="s">
        <v>542</v>
      </c>
      <c r="B740" s="6" t="s">
        <v>1781</v>
      </c>
      <c r="C740" s="6" t="s">
        <v>52</v>
      </c>
      <c r="D740" s="6" t="s">
        <v>68</v>
      </c>
      <c r="E740" s="6" t="s">
        <v>179</v>
      </c>
      <c r="F740" s="6">
        <v>58</v>
      </c>
      <c r="G740" s="6" t="s">
        <v>34</v>
      </c>
      <c r="H740" s="6" t="s">
        <v>1782</v>
      </c>
      <c r="I740" s="6" t="s">
        <v>4043</v>
      </c>
      <c r="J740" s="8">
        <v>44249</v>
      </c>
      <c r="K740" s="8">
        <v>45302</v>
      </c>
      <c r="L740" s="6">
        <v>69900.600000000006</v>
      </c>
      <c r="M740" s="6">
        <v>39900.25</v>
      </c>
      <c r="N740" s="6">
        <v>665</v>
      </c>
      <c r="O740" s="6">
        <v>124000</v>
      </c>
      <c r="P740" s="6" t="s">
        <v>26</v>
      </c>
      <c r="Q740" s="6" t="s">
        <v>27</v>
      </c>
      <c r="R740" s="6">
        <v>0</v>
      </c>
      <c r="S740" s="6" t="s">
        <v>28</v>
      </c>
      <c r="T740" s="7">
        <f t="shared" si="55"/>
        <v>0.32177620967741938</v>
      </c>
      <c r="U740" s="6">
        <f t="shared" si="56"/>
        <v>4</v>
      </c>
      <c r="V740" s="5" t="str">
        <f t="shared" si="57"/>
        <v>FAIR</v>
      </c>
      <c r="W740" s="6" t="str">
        <f t="shared" si="58"/>
        <v>55+</v>
      </c>
      <c r="X740" s="6" t="str">
        <f t="shared" si="59"/>
        <v>Lower-Middle</v>
      </c>
    </row>
    <row r="741" spans="1:24">
      <c r="A741" s="6" t="s">
        <v>545</v>
      </c>
      <c r="B741" s="6" t="s">
        <v>1783</v>
      </c>
      <c r="C741" s="6" t="s">
        <v>46</v>
      </c>
      <c r="D741" s="6" t="s">
        <v>241</v>
      </c>
      <c r="E741" s="6" t="s">
        <v>242</v>
      </c>
      <c r="F741" s="6">
        <v>50</v>
      </c>
      <c r="G741" s="6" t="s">
        <v>24</v>
      </c>
      <c r="H741" s="6" t="s">
        <v>1784</v>
      </c>
      <c r="I741" s="6" t="s">
        <v>4057</v>
      </c>
      <c r="J741" s="8">
        <v>44887</v>
      </c>
      <c r="K741" s="8">
        <v>45303</v>
      </c>
      <c r="L741" s="6">
        <v>93200.8</v>
      </c>
      <c r="M741" s="6">
        <v>47400.4</v>
      </c>
      <c r="N741" s="6">
        <v>750</v>
      </c>
      <c r="O741" s="6">
        <v>150000</v>
      </c>
      <c r="P741" s="6" t="s">
        <v>26</v>
      </c>
      <c r="Q741" s="6" t="s">
        <v>27</v>
      </c>
      <c r="R741" s="6">
        <v>0</v>
      </c>
      <c r="S741" s="6" t="s">
        <v>28</v>
      </c>
      <c r="T741" s="7">
        <f t="shared" si="55"/>
        <v>0.31600266666666665</v>
      </c>
      <c r="U741" s="6">
        <f t="shared" si="56"/>
        <v>3</v>
      </c>
      <c r="V741" s="5" t="str">
        <f t="shared" si="57"/>
        <v>VERY GOOD</v>
      </c>
      <c r="W741" s="6" t="str">
        <f t="shared" si="58"/>
        <v>45-54</v>
      </c>
      <c r="X741" s="6" t="str">
        <f t="shared" si="59"/>
        <v>Upper-Middle</v>
      </c>
    </row>
    <row r="742" spans="1:24">
      <c r="A742" s="6" t="s">
        <v>548</v>
      </c>
      <c r="B742" s="6" t="s">
        <v>1785</v>
      </c>
      <c r="C742" s="6" t="s">
        <v>57</v>
      </c>
      <c r="D742" s="6" t="s">
        <v>22</v>
      </c>
      <c r="E742" s="6" t="s">
        <v>381</v>
      </c>
      <c r="F742" s="6">
        <v>46</v>
      </c>
      <c r="G742" s="6" t="s">
        <v>34</v>
      </c>
      <c r="H742" s="6" t="s">
        <v>1786</v>
      </c>
      <c r="I742" s="6" t="s">
        <v>3941</v>
      </c>
      <c r="J742" s="8">
        <v>45068</v>
      </c>
      <c r="K742" s="8">
        <v>45305</v>
      </c>
      <c r="L742" s="6">
        <v>32100.9</v>
      </c>
      <c r="M742" s="6">
        <v>12800.75</v>
      </c>
      <c r="N742" s="6">
        <v>770</v>
      </c>
      <c r="O742" s="6">
        <v>81000</v>
      </c>
      <c r="P742" s="6" t="s">
        <v>36</v>
      </c>
      <c r="Q742" s="6" t="s">
        <v>27</v>
      </c>
      <c r="R742" s="6">
        <v>0</v>
      </c>
      <c r="S742" s="6" t="s">
        <v>28</v>
      </c>
      <c r="T742" s="7">
        <f t="shared" si="55"/>
        <v>0.15803395061728395</v>
      </c>
      <c r="U742" s="6">
        <f t="shared" si="56"/>
        <v>1</v>
      </c>
      <c r="V742" s="5" t="str">
        <f t="shared" si="57"/>
        <v>VERY GOOD</v>
      </c>
      <c r="W742" s="6" t="str">
        <f t="shared" si="58"/>
        <v>45-54</v>
      </c>
      <c r="X742" s="6" t="str">
        <f t="shared" si="59"/>
        <v>Lower-Middle</v>
      </c>
    </row>
    <row r="743" spans="1:24">
      <c r="A743" s="6" t="s">
        <v>551</v>
      </c>
      <c r="B743" s="6" t="s">
        <v>1787</v>
      </c>
      <c r="C743" s="6" t="s">
        <v>39</v>
      </c>
      <c r="D743" s="6" t="s">
        <v>313</v>
      </c>
      <c r="E743" s="6" t="s">
        <v>501</v>
      </c>
      <c r="F743" s="6">
        <v>69</v>
      </c>
      <c r="G743" s="6" t="s">
        <v>24</v>
      </c>
      <c r="H743" s="6" t="s">
        <v>1788</v>
      </c>
      <c r="I743" s="6" t="s">
        <v>4058</v>
      </c>
      <c r="J743" s="8">
        <v>43487</v>
      </c>
      <c r="K743" s="8">
        <v>45299</v>
      </c>
      <c r="L743" s="6">
        <v>200300.25</v>
      </c>
      <c r="M743" s="6">
        <v>105000.8</v>
      </c>
      <c r="N743" s="6">
        <v>645</v>
      </c>
      <c r="O743" s="6">
        <v>221000</v>
      </c>
      <c r="P743" s="6" t="s">
        <v>76</v>
      </c>
      <c r="Q743" s="6" t="s">
        <v>27</v>
      </c>
      <c r="R743" s="6">
        <v>0</v>
      </c>
      <c r="S743" s="6" t="s">
        <v>28</v>
      </c>
      <c r="T743" s="7">
        <f t="shared" si="55"/>
        <v>0.475116742081448</v>
      </c>
      <c r="U743" s="6">
        <f t="shared" si="56"/>
        <v>7</v>
      </c>
      <c r="V743" s="5" t="str">
        <f t="shared" si="57"/>
        <v>FAIR</v>
      </c>
      <c r="W743" s="6" t="str">
        <f t="shared" si="58"/>
        <v>55+</v>
      </c>
      <c r="X743" s="6" t="str">
        <f t="shared" si="59"/>
        <v>High</v>
      </c>
    </row>
    <row r="744" spans="1:24">
      <c r="A744" s="6" t="s">
        <v>554</v>
      </c>
      <c r="B744" s="6" t="s">
        <v>1789</v>
      </c>
      <c r="C744" s="6" t="s">
        <v>31</v>
      </c>
      <c r="D744" s="6" t="s">
        <v>214</v>
      </c>
      <c r="E744" s="6" t="s">
        <v>483</v>
      </c>
      <c r="F744" s="6">
        <v>42</v>
      </c>
      <c r="G744" s="6" t="s">
        <v>34</v>
      </c>
      <c r="H744" s="6" t="s">
        <v>1790</v>
      </c>
      <c r="I744" s="6" t="s">
        <v>4059</v>
      </c>
      <c r="J744" s="8">
        <v>45394</v>
      </c>
      <c r="K744" s="8">
        <v>45306</v>
      </c>
      <c r="L744" s="6">
        <v>26200.5</v>
      </c>
      <c r="M744" s="6">
        <v>12400.4</v>
      </c>
      <c r="N744" s="6">
        <v>720</v>
      </c>
      <c r="O744" s="6">
        <v>58000</v>
      </c>
      <c r="P744" s="6" t="s">
        <v>36</v>
      </c>
      <c r="Q744" s="6" t="s">
        <v>27</v>
      </c>
      <c r="R744" s="6">
        <v>0</v>
      </c>
      <c r="S744" s="6" t="s">
        <v>28</v>
      </c>
      <c r="T744" s="7">
        <f t="shared" si="55"/>
        <v>0.21379999999999999</v>
      </c>
      <c r="U744" s="6">
        <f t="shared" si="56"/>
        <v>0</v>
      </c>
      <c r="V744" s="5" t="str">
        <f t="shared" si="57"/>
        <v>GOOD</v>
      </c>
      <c r="W744" s="6" t="str">
        <f t="shared" si="58"/>
        <v>35-44</v>
      </c>
      <c r="X744" s="6" t="str">
        <f t="shared" si="59"/>
        <v>Low</v>
      </c>
    </row>
    <row r="745" spans="1:24">
      <c r="A745" s="6" t="s">
        <v>108</v>
      </c>
      <c r="B745" s="6" t="s">
        <v>1791</v>
      </c>
      <c r="C745" s="6" t="s">
        <v>84</v>
      </c>
      <c r="D745" s="6" t="s">
        <v>32</v>
      </c>
      <c r="E745" s="6" t="s">
        <v>33</v>
      </c>
      <c r="F745" s="6">
        <v>38</v>
      </c>
      <c r="G745" s="6" t="s">
        <v>24</v>
      </c>
      <c r="H745" s="6" t="s">
        <v>1792</v>
      </c>
      <c r="I745" s="6" t="s">
        <v>3509</v>
      </c>
      <c r="J745" s="8">
        <v>45397</v>
      </c>
      <c r="K745" s="8">
        <v>45304</v>
      </c>
      <c r="L745" s="6">
        <v>3450.8</v>
      </c>
      <c r="M745" s="6">
        <v>11800.25</v>
      </c>
      <c r="N745" s="6">
        <v>605</v>
      </c>
      <c r="O745" s="6">
        <v>34000</v>
      </c>
      <c r="P745" s="6" t="s">
        <v>76</v>
      </c>
      <c r="Q745" s="6" t="s">
        <v>43</v>
      </c>
      <c r="R745" s="6">
        <v>0</v>
      </c>
      <c r="S745" s="6" t="s">
        <v>28</v>
      </c>
      <c r="T745" s="7">
        <f t="shared" si="55"/>
        <v>0.34706617647058824</v>
      </c>
      <c r="U745" s="6">
        <f t="shared" si="56"/>
        <v>2</v>
      </c>
      <c r="V745" s="5" t="str">
        <f t="shared" si="57"/>
        <v>FAIR</v>
      </c>
      <c r="W745" s="6" t="str">
        <f t="shared" si="58"/>
        <v>35-44</v>
      </c>
      <c r="X745" s="6" t="str">
        <f t="shared" si="59"/>
        <v>Low</v>
      </c>
    </row>
    <row r="746" spans="1:24">
      <c r="A746" s="6" t="s">
        <v>559</v>
      </c>
      <c r="B746" s="6" t="s">
        <v>1793</v>
      </c>
      <c r="C746" s="6" t="s">
        <v>46</v>
      </c>
      <c r="D746" s="6" t="s">
        <v>254</v>
      </c>
      <c r="E746" s="6" t="s">
        <v>255</v>
      </c>
      <c r="F746" s="6">
        <v>52</v>
      </c>
      <c r="G746" s="6" t="s">
        <v>34</v>
      </c>
      <c r="H746" s="6" t="s">
        <v>1794</v>
      </c>
      <c r="I746" s="6" t="s">
        <v>4060</v>
      </c>
      <c r="J746" s="8">
        <v>44764</v>
      </c>
      <c r="K746" s="8">
        <v>45302</v>
      </c>
      <c r="L746" s="6">
        <v>79900.399999999994</v>
      </c>
      <c r="M746" s="6">
        <v>42100.75</v>
      </c>
      <c r="N746" s="6">
        <v>710</v>
      </c>
      <c r="O746" s="6">
        <v>132000</v>
      </c>
      <c r="P746" s="6" t="s">
        <v>26</v>
      </c>
      <c r="Q746" s="6" t="s">
        <v>27</v>
      </c>
      <c r="R746" s="6">
        <v>0</v>
      </c>
      <c r="S746" s="6" t="s">
        <v>28</v>
      </c>
      <c r="T746" s="7">
        <f t="shared" si="55"/>
        <v>0.31894507575757575</v>
      </c>
      <c r="U746" s="6">
        <f t="shared" si="56"/>
        <v>4</v>
      </c>
      <c r="V746" s="5" t="str">
        <f t="shared" si="57"/>
        <v>GOOD</v>
      </c>
      <c r="W746" s="6" t="str">
        <f t="shared" si="58"/>
        <v>45-54</v>
      </c>
      <c r="X746" s="6" t="str">
        <f t="shared" si="59"/>
        <v>Upper-Middle</v>
      </c>
    </row>
    <row r="747" spans="1:24">
      <c r="A747" s="6" t="s">
        <v>562</v>
      </c>
      <c r="B747" s="6" t="s">
        <v>1795</v>
      </c>
      <c r="C747" s="6" t="s">
        <v>39</v>
      </c>
      <c r="D747" s="6" t="s">
        <v>47</v>
      </c>
      <c r="E747" s="6" t="s">
        <v>98</v>
      </c>
      <c r="F747" s="6">
        <v>66</v>
      </c>
      <c r="G747" s="6" t="s">
        <v>24</v>
      </c>
      <c r="H747" s="6" t="s">
        <v>1796</v>
      </c>
      <c r="I747" s="6" t="s">
        <v>3835</v>
      </c>
      <c r="J747" s="8">
        <v>43638</v>
      </c>
      <c r="K747" s="8">
        <v>45300</v>
      </c>
      <c r="L747" s="6">
        <v>180500.6</v>
      </c>
      <c r="M747" s="6">
        <v>98000.25</v>
      </c>
      <c r="N747" s="6">
        <v>675</v>
      </c>
      <c r="O747" s="6">
        <v>201000</v>
      </c>
      <c r="P747" s="6" t="s">
        <v>76</v>
      </c>
      <c r="Q747" s="6" t="s">
        <v>27</v>
      </c>
      <c r="R747" s="6">
        <v>0</v>
      </c>
      <c r="S747" s="6" t="s">
        <v>28</v>
      </c>
      <c r="T747" s="7">
        <f t="shared" si="55"/>
        <v>0.48756343283582088</v>
      </c>
      <c r="U747" s="6">
        <f t="shared" si="56"/>
        <v>6</v>
      </c>
      <c r="V747" s="5" t="str">
        <f t="shared" si="57"/>
        <v>GOOD</v>
      </c>
      <c r="W747" s="6" t="str">
        <f t="shared" si="58"/>
        <v>55+</v>
      </c>
      <c r="X747" s="6" t="str">
        <f t="shared" si="59"/>
        <v>High</v>
      </c>
    </row>
    <row r="748" spans="1:24">
      <c r="A748" s="6" t="s">
        <v>565</v>
      </c>
      <c r="B748" s="6" t="s">
        <v>1797</v>
      </c>
      <c r="C748" s="6" t="s">
        <v>52</v>
      </c>
      <c r="D748" s="6" t="s">
        <v>233</v>
      </c>
      <c r="E748" s="6" t="s">
        <v>296</v>
      </c>
      <c r="F748" s="6">
        <v>51</v>
      </c>
      <c r="G748" s="6" t="s">
        <v>34</v>
      </c>
      <c r="H748" s="6" t="s">
        <v>1798</v>
      </c>
      <c r="I748" s="6" t="s">
        <v>3836</v>
      </c>
      <c r="J748" s="8">
        <v>44552</v>
      </c>
      <c r="K748" s="8">
        <v>45301</v>
      </c>
      <c r="L748" s="6">
        <v>56300.75</v>
      </c>
      <c r="M748" s="6">
        <v>33200.800000000003</v>
      </c>
      <c r="N748" s="6">
        <v>725</v>
      </c>
      <c r="O748" s="6">
        <v>98000</v>
      </c>
      <c r="P748" s="6" t="s">
        <v>26</v>
      </c>
      <c r="Q748" s="6" t="s">
        <v>27</v>
      </c>
      <c r="R748" s="6">
        <v>0</v>
      </c>
      <c r="S748" s="6" t="s">
        <v>28</v>
      </c>
      <c r="T748" s="7">
        <f t="shared" si="55"/>
        <v>0.33878367346938776</v>
      </c>
      <c r="U748" s="6">
        <f t="shared" si="56"/>
        <v>5</v>
      </c>
      <c r="V748" s="5" t="str">
        <f t="shared" si="57"/>
        <v>GOOD</v>
      </c>
      <c r="W748" s="6" t="str">
        <f t="shared" si="58"/>
        <v>45-54</v>
      </c>
      <c r="X748" s="6" t="str">
        <f t="shared" si="59"/>
        <v>Lower-Middle</v>
      </c>
    </row>
    <row r="749" spans="1:24">
      <c r="A749" s="6" t="s">
        <v>568</v>
      </c>
      <c r="B749" s="6" t="s">
        <v>1799</v>
      </c>
      <c r="C749" s="6" t="s">
        <v>57</v>
      </c>
      <c r="D749" s="6" t="s">
        <v>79</v>
      </c>
      <c r="E749" s="6" t="s">
        <v>102</v>
      </c>
      <c r="F749" s="6">
        <v>49</v>
      </c>
      <c r="G749" s="6" t="s">
        <v>24</v>
      </c>
      <c r="H749" s="6" t="s">
        <v>1800</v>
      </c>
      <c r="I749" s="6" t="s">
        <v>3837</v>
      </c>
      <c r="J749" s="8">
        <v>45007</v>
      </c>
      <c r="K749" s="8">
        <v>45303</v>
      </c>
      <c r="L749" s="6">
        <v>34300.400000000001</v>
      </c>
      <c r="M749" s="6">
        <v>13600.9</v>
      </c>
      <c r="N749" s="6">
        <v>740</v>
      </c>
      <c r="O749" s="6">
        <v>84000</v>
      </c>
      <c r="P749" s="6" t="s">
        <v>36</v>
      </c>
      <c r="Q749" s="6" t="s">
        <v>27</v>
      </c>
      <c r="R749" s="6">
        <v>0</v>
      </c>
      <c r="S749" s="6" t="s">
        <v>28</v>
      </c>
      <c r="T749" s="7">
        <f t="shared" si="55"/>
        <v>0.16191547619047619</v>
      </c>
      <c r="U749" s="6">
        <f t="shared" si="56"/>
        <v>3</v>
      </c>
      <c r="V749" s="5" t="str">
        <f t="shared" si="57"/>
        <v>GOOD</v>
      </c>
      <c r="W749" s="6" t="str">
        <f t="shared" si="58"/>
        <v>45-54</v>
      </c>
      <c r="X749" s="6" t="str">
        <f t="shared" si="59"/>
        <v>Lower-Middle</v>
      </c>
    </row>
    <row r="750" spans="1:24">
      <c r="A750" s="6" t="s">
        <v>571</v>
      </c>
      <c r="B750" s="6" t="s">
        <v>1801</v>
      </c>
      <c r="C750" s="6" t="s">
        <v>21</v>
      </c>
      <c r="D750" s="6" t="s">
        <v>63</v>
      </c>
      <c r="E750" s="6" t="s">
        <v>106</v>
      </c>
      <c r="F750" s="6">
        <v>72</v>
      </c>
      <c r="G750" s="6" t="s">
        <v>34</v>
      </c>
      <c r="H750" s="6" t="s">
        <v>1802</v>
      </c>
      <c r="I750" s="6" t="s">
        <v>4061</v>
      </c>
      <c r="J750" s="8">
        <v>43181</v>
      </c>
      <c r="K750" s="8">
        <v>45299</v>
      </c>
      <c r="L750" s="6">
        <v>269400.90000000002</v>
      </c>
      <c r="M750" s="6">
        <v>88000.6</v>
      </c>
      <c r="N750" s="6">
        <v>830</v>
      </c>
      <c r="O750" s="6">
        <v>296000</v>
      </c>
      <c r="P750" s="6" t="s">
        <v>36</v>
      </c>
      <c r="Q750" s="6" t="s">
        <v>27</v>
      </c>
      <c r="R750" s="6">
        <v>0</v>
      </c>
      <c r="S750" s="6" t="s">
        <v>28</v>
      </c>
      <c r="T750" s="7">
        <f t="shared" si="55"/>
        <v>0.29729932432432432</v>
      </c>
      <c r="U750" s="6">
        <f t="shared" si="56"/>
        <v>7</v>
      </c>
      <c r="V750" s="5" t="str">
        <f t="shared" si="57"/>
        <v>EXCEPTIONAL</v>
      </c>
      <c r="W750" s="6" t="str">
        <f t="shared" si="58"/>
        <v>55+</v>
      </c>
      <c r="X750" s="6" t="str">
        <f t="shared" si="59"/>
        <v>High</v>
      </c>
    </row>
    <row r="751" spans="1:24">
      <c r="A751" s="6" t="s">
        <v>574</v>
      </c>
      <c r="B751" s="6" t="s">
        <v>1803</v>
      </c>
      <c r="C751" s="6" t="s">
        <v>39</v>
      </c>
      <c r="D751" s="6" t="s">
        <v>68</v>
      </c>
      <c r="E751" s="6" t="s">
        <v>114</v>
      </c>
      <c r="F751" s="6">
        <v>64</v>
      </c>
      <c r="G751" s="6" t="s">
        <v>24</v>
      </c>
      <c r="H751" s="6" t="s">
        <v>1804</v>
      </c>
      <c r="I751" s="6" t="s">
        <v>4062</v>
      </c>
      <c r="J751" s="8">
        <v>43781</v>
      </c>
      <c r="K751" s="8">
        <v>45300</v>
      </c>
      <c r="L751" s="6">
        <v>158300.25</v>
      </c>
      <c r="M751" s="6">
        <v>90000.4</v>
      </c>
      <c r="N751" s="6">
        <v>655</v>
      </c>
      <c r="O751" s="6">
        <v>186000</v>
      </c>
      <c r="P751" s="6" t="s">
        <v>76</v>
      </c>
      <c r="Q751" s="6" t="s">
        <v>27</v>
      </c>
      <c r="R751" s="6">
        <v>0</v>
      </c>
      <c r="S751" s="6" t="s">
        <v>28</v>
      </c>
      <c r="T751" s="7">
        <f t="shared" si="55"/>
        <v>0.48387311827956986</v>
      </c>
      <c r="U751" s="6">
        <f t="shared" si="56"/>
        <v>6</v>
      </c>
      <c r="V751" s="5" t="str">
        <f t="shared" si="57"/>
        <v>FAIR</v>
      </c>
      <c r="W751" s="6" t="str">
        <f t="shared" si="58"/>
        <v>55+</v>
      </c>
      <c r="X751" s="6" t="str">
        <f t="shared" si="59"/>
        <v>Upper-Middle</v>
      </c>
    </row>
    <row r="752" spans="1:24">
      <c r="A752" s="6" t="s">
        <v>577</v>
      </c>
      <c r="B752" s="6" t="s">
        <v>1805</v>
      </c>
      <c r="C752" s="6" t="s">
        <v>46</v>
      </c>
      <c r="D752" s="6" t="s">
        <v>85</v>
      </c>
      <c r="E752" s="6" t="s">
        <v>130</v>
      </c>
      <c r="F752" s="6">
        <v>53</v>
      </c>
      <c r="G752" s="6" t="s">
        <v>34</v>
      </c>
      <c r="H752" s="6" t="s">
        <v>1806</v>
      </c>
      <c r="I752" s="6" t="s">
        <v>3778</v>
      </c>
      <c r="J752" s="8">
        <v>44673</v>
      </c>
      <c r="K752" s="8">
        <v>45302</v>
      </c>
      <c r="L752" s="6">
        <v>98800.6</v>
      </c>
      <c r="M752" s="6">
        <v>50100.75</v>
      </c>
      <c r="N752" s="6">
        <v>760</v>
      </c>
      <c r="O752" s="6">
        <v>155000</v>
      </c>
      <c r="P752" s="6" t="s">
        <v>26</v>
      </c>
      <c r="Q752" s="6" t="s">
        <v>27</v>
      </c>
      <c r="R752" s="6">
        <v>0</v>
      </c>
      <c r="S752" s="6" t="s">
        <v>28</v>
      </c>
      <c r="T752" s="7">
        <f t="shared" si="55"/>
        <v>0.3232306451612903</v>
      </c>
      <c r="U752" s="6">
        <f t="shared" si="56"/>
        <v>4</v>
      </c>
      <c r="V752" s="5" t="str">
        <f t="shared" si="57"/>
        <v>VERY GOOD</v>
      </c>
      <c r="W752" s="6" t="str">
        <f t="shared" si="58"/>
        <v>45-54</v>
      </c>
      <c r="X752" s="6" t="str">
        <f t="shared" si="59"/>
        <v>Upper-Middle</v>
      </c>
    </row>
    <row r="753" spans="1:24">
      <c r="A753" s="6" t="s">
        <v>458</v>
      </c>
      <c r="B753" s="6" t="s">
        <v>1807</v>
      </c>
      <c r="C753" s="6" t="s">
        <v>31</v>
      </c>
      <c r="D753" s="6" t="s">
        <v>460</v>
      </c>
      <c r="E753" s="6" t="s">
        <v>663</v>
      </c>
      <c r="F753" s="6">
        <v>44</v>
      </c>
      <c r="G753" s="6" t="s">
        <v>24</v>
      </c>
      <c r="H753" s="6" t="s">
        <v>1808</v>
      </c>
      <c r="I753" s="6" t="s">
        <v>4063</v>
      </c>
      <c r="J753" s="8">
        <v>45390</v>
      </c>
      <c r="K753" s="8">
        <v>45306</v>
      </c>
      <c r="L753" s="6">
        <v>16400.25</v>
      </c>
      <c r="M753" s="6">
        <v>9700.7999999999993</v>
      </c>
      <c r="N753" s="6">
        <v>695</v>
      </c>
      <c r="O753" s="6">
        <v>55000</v>
      </c>
      <c r="P753" s="6" t="s">
        <v>26</v>
      </c>
      <c r="Q753" s="6" t="s">
        <v>43</v>
      </c>
      <c r="R753" s="6">
        <v>0</v>
      </c>
      <c r="S753" s="6" t="s">
        <v>28</v>
      </c>
      <c r="T753" s="7">
        <f t="shared" si="55"/>
        <v>0.1763781818181818</v>
      </c>
      <c r="U753" s="6">
        <f t="shared" si="56"/>
        <v>0</v>
      </c>
      <c r="V753" s="5" t="str">
        <f t="shared" si="57"/>
        <v>GOOD</v>
      </c>
      <c r="W753" s="6" t="str">
        <f t="shared" si="58"/>
        <v>35-44</v>
      </c>
      <c r="X753" s="6" t="str">
        <f t="shared" si="59"/>
        <v>Low</v>
      </c>
    </row>
    <row r="754" spans="1:24">
      <c r="A754" s="6" t="s">
        <v>582</v>
      </c>
      <c r="B754" s="6" t="s">
        <v>1809</v>
      </c>
      <c r="C754" s="6" t="s">
        <v>57</v>
      </c>
      <c r="D754" s="6" t="s">
        <v>22</v>
      </c>
      <c r="E754" s="6" t="s">
        <v>23</v>
      </c>
      <c r="F754" s="6">
        <v>47</v>
      </c>
      <c r="G754" s="6" t="s">
        <v>34</v>
      </c>
      <c r="H754" s="6" t="s">
        <v>1810</v>
      </c>
      <c r="I754" s="6" t="s">
        <v>3990</v>
      </c>
      <c r="J754" s="8">
        <v>44948</v>
      </c>
      <c r="K754" s="8">
        <v>45303</v>
      </c>
      <c r="L754" s="6">
        <v>33200.9</v>
      </c>
      <c r="M754" s="6">
        <v>13200.25</v>
      </c>
      <c r="N754" s="6">
        <v>755</v>
      </c>
      <c r="O754" s="6">
        <v>77000</v>
      </c>
      <c r="P754" s="6" t="s">
        <v>36</v>
      </c>
      <c r="Q754" s="6" t="s">
        <v>27</v>
      </c>
      <c r="R754" s="6">
        <v>0</v>
      </c>
      <c r="S754" s="6" t="s">
        <v>28</v>
      </c>
      <c r="T754" s="7">
        <f t="shared" si="55"/>
        <v>0.17143181818181819</v>
      </c>
      <c r="U754" s="6">
        <f t="shared" si="56"/>
        <v>3</v>
      </c>
      <c r="V754" s="5" t="str">
        <f t="shared" si="57"/>
        <v>VERY GOOD</v>
      </c>
      <c r="W754" s="6" t="str">
        <f t="shared" si="58"/>
        <v>45-54</v>
      </c>
      <c r="X754" s="6" t="str">
        <f t="shared" si="59"/>
        <v>Lower-Middle</v>
      </c>
    </row>
    <row r="755" spans="1:24">
      <c r="A755" s="6" t="s">
        <v>55</v>
      </c>
      <c r="B755" s="6" t="s">
        <v>1811</v>
      </c>
      <c r="C755" s="6" t="s">
        <v>39</v>
      </c>
      <c r="D755" s="6" t="s">
        <v>58</v>
      </c>
      <c r="E755" s="6" t="s">
        <v>122</v>
      </c>
      <c r="F755" s="6">
        <v>65</v>
      </c>
      <c r="G755" s="6" t="s">
        <v>24</v>
      </c>
      <c r="H755" s="6" t="s">
        <v>1812</v>
      </c>
      <c r="I755" s="6" t="s">
        <v>3843</v>
      </c>
      <c r="J755" s="8">
        <v>43699</v>
      </c>
      <c r="K755" s="8">
        <v>45300</v>
      </c>
      <c r="L755" s="6">
        <v>191200.4</v>
      </c>
      <c r="M755" s="6">
        <v>103000.75</v>
      </c>
      <c r="N755" s="6">
        <v>685</v>
      </c>
      <c r="O755" s="6">
        <v>211000</v>
      </c>
      <c r="P755" s="6" t="s">
        <v>76</v>
      </c>
      <c r="Q755" s="6" t="s">
        <v>27</v>
      </c>
      <c r="R755" s="6">
        <v>0</v>
      </c>
      <c r="S755" s="6" t="s">
        <v>28</v>
      </c>
      <c r="T755" s="7">
        <f t="shared" si="55"/>
        <v>0.48815521327014216</v>
      </c>
      <c r="U755" s="6">
        <f t="shared" si="56"/>
        <v>6</v>
      </c>
      <c r="V755" s="5" t="str">
        <f t="shared" si="57"/>
        <v>GOOD</v>
      </c>
      <c r="W755" s="6" t="str">
        <f t="shared" si="58"/>
        <v>55+</v>
      </c>
      <c r="X755" s="6" t="str">
        <f t="shared" si="59"/>
        <v>High</v>
      </c>
    </row>
    <row r="756" spans="1:24">
      <c r="A756" s="6" t="s">
        <v>469</v>
      </c>
      <c r="B756" s="6" t="s">
        <v>1813</v>
      </c>
      <c r="C756" s="6" t="s">
        <v>52</v>
      </c>
      <c r="D756" s="6" t="s">
        <v>471</v>
      </c>
      <c r="E756" s="6" t="s">
        <v>472</v>
      </c>
      <c r="F756" s="6">
        <v>56</v>
      </c>
      <c r="G756" s="6" t="s">
        <v>34</v>
      </c>
      <c r="H756" s="6" t="s">
        <v>1814</v>
      </c>
      <c r="I756" s="6" t="s">
        <v>4064</v>
      </c>
      <c r="J756" s="8">
        <v>44338</v>
      </c>
      <c r="K756" s="8">
        <v>45301</v>
      </c>
      <c r="L756" s="6">
        <v>63200.800000000003</v>
      </c>
      <c r="M756" s="6">
        <v>36300.6</v>
      </c>
      <c r="N756" s="6">
        <v>715</v>
      </c>
      <c r="O756" s="6">
        <v>110000</v>
      </c>
      <c r="P756" s="6" t="s">
        <v>26</v>
      </c>
      <c r="Q756" s="6" t="s">
        <v>27</v>
      </c>
      <c r="R756" s="6">
        <v>0</v>
      </c>
      <c r="S756" s="6" t="s">
        <v>28</v>
      </c>
      <c r="T756" s="7">
        <f t="shared" si="55"/>
        <v>0.33000545454545455</v>
      </c>
      <c r="U756" s="6">
        <f t="shared" si="56"/>
        <v>5</v>
      </c>
      <c r="V756" s="5" t="str">
        <f t="shared" si="57"/>
        <v>GOOD</v>
      </c>
      <c r="W756" s="6" t="str">
        <f t="shared" si="58"/>
        <v>55+</v>
      </c>
      <c r="X756" s="6" t="str">
        <f t="shared" si="59"/>
        <v>Lower-Middle</v>
      </c>
    </row>
    <row r="757" spans="1:24">
      <c r="A757" s="6" t="s">
        <v>474</v>
      </c>
      <c r="B757" s="6" t="s">
        <v>1815</v>
      </c>
      <c r="C757" s="6" t="s">
        <v>46</v>
      </c>
      <c r="D757" s="6" t="s">
        <v>345</v>
      </c>
      <c r="E757" s="6" t="s">
        <v>476</v>
      </c>
      <c r="F757" s="6">
        <v>59</v>
      </c>
      <c r="G757" s="6" t="s">
        <v>24</v>
      </c>
      <c r="H757" s="6" t="s">
        <v>1816</v>
      </c>
      <c r="I757" s="6" t="s">
        <v>3845</v>
      </c>
      <c r="J757" s="8">
        <v>44249</v>
      </c>
      <c r="K757" s="8">
        <v>45302</v>
      </c>
      <c r="L757" s="6">
        <v>91000.25</v>
      </c>
      <c r="M757" s="6">
        <v>46300.4</v>
      </c>
      <c r="N757" s="6">
        <v>680</v>
      </c>
      <c r="O757" s="6">
        <v>139000</v>
      </c>
      <c r="P757" s="6" t="s">
        <v>26</v>
      </c>
      <c r="Q757" s="6" t="s">
        <v>27</v>
      </c>
      <c r="R757" s="6">
        <v>0</v>
      </c>
      <c r="S757" s="6" t="s">
        <v>28</v>
      </c>
      <c r="T757" s="7">
        <f t="shared" si="55"/>
        <v>0.33309640287769787</v>
      </c>
      <c r="U757" s="6">
        <f t="shared" si="56"/>
        <v>4</v>
      </c>
      <c r="V757" s="5" t="str">
        <f t="shared" si="57"/>
        <v>GOOD</v>
      </c>
      <c r="W757" s="6" t="str">
        <f t="shared" si="58"/>
        <v>55+</v>
      </c>
      <c r="X757" s="6" t="str">
        <f t="shared" si="59"/>
        <v>Upper-Middle</v>
      </c>
    </row>
    <row r="758" spans="1:24">
      <c r="A758" s="6" t="s">
        <v>592</v>
      </c>
      <c r="B758" s="6" t="s">
        <v>1817</v>
      </c>
      <c r="C758" s="6" t="s">
        <v>84</v>
      </c>
      <c r="D758" s="6" t="s">
        <v>32</v>
      </c>
      <c r="E758" s="6" t="s">
        <v>90</v>
      </c>
      <c r="F758" s="6">
        <v>39</v>
      </c>
      <c r="G758" s="6" t="s">
        <v>34</v>
      </c>
      <c r="H758" s="6" t="s">
        <v>1818</v>
      </c>
      <c r="I758" s="6" t="s">
        <v>3634</v>
      </c>
      <c r="J758" s="8">
        <v>45404</v>
      </c>
      <c r="K758" s="8">
        <v>45304</v>
      </c>
      <c r="L758" s="6">
        <v>3550.4</v>
      </c>
      <c r="M758" s="6">
        <v>12400.75</v>
      </c>
      <c r="N758" s="6">
        <v>610</v>
      </c>
      <c r="O758" s="6">
        <v>35000</v>
      </c>
      <c r="P758" s="6" t="s">
        <v>76</v>
      </c>
      <c r="Q758" s="6" t="s">
        <v>43</v>
      </c>
      <c r="R758" s="6">
        <v>0</v>
      </c>
      <c r="S758" s="6" t="s">
        <v>28</v>
      </c>
      <c r="T758" s="7">
        <f t="shared" si="55"/>
        <v>0.35430714285714288</v>
      </c>
      <c r="U758" s="6">
        <f t="shared" si="56"/>
        <v>2</v>
      </c>
      <c r="V758" s="5" t="str">
        <f t="shared" si="57"/>
        <v>FAIR</v>
      </c>
      <c r="W758" s="6" t="str">
        <f t="shared" si="58"/>
        <v>35-44</v>
      </c>
      <c r="X758" s="6" t="str">
        <f t="shared" si="59"/>
        <v>Low</v>
      </c>
    </row>
    <row r="759" spans="1:24">
      <c r="A759" s="6" t="s">
        <v>595</v>
      </c>
      <c r="B759" s="6" t="s">
        <v>1819</v>
      </c>
      <c r="C759" s="6" t="s">
        <v>21</v>
      </c>
      <c r="D759" s="6" t="s">
        <v>209</v>
      </c>
      <c r="E759" s="6" t="s">
        <v>210</v>
      </c>
      <c r="F759" s="6">
        <v>71</v>
      </c>
      <c r="G759" s="6" t="s">
        <v>24</v>
      </c>
      <c r="H759" s="6" t="s">
        <v>1820</v>
      </c>
      <c r="I759" s="6" t="s">
        <v>4065</v>
      </c>
      <c r="J759" s="8">
        <v>43395</v>
      </c>
      <c r="K759" s="8">
        <v>45299</v>
      </c>
      <c r="L759" s="6">
        <v>289200.8</v>
      </c>
      <c r="M759" s="6">
        <v>94000.25</v>
      </c>
      <c r="N759" s="6">
        <v>825</v>
      </c>
      <c r="O759" s="6">
        <v>291000</v>
      </c>
      <c r="P759" s="6" t="s">
        <v>36</v>
      </c>
      <c r="Q759" s="6" t="s">
        <v>27</v>
      </c>
      <c r="R759" s="6">
        <v>0</v>
      </c>
      <c r="S759" s="6" t="s">
        <v>28</v>
      </c>
      <c r="T759" s="7">
        <f t="shared" si="55"/>
        <v>0.32302491408934708</v>
      </c>
      <c r="U759" s="6">
        <f t="shared" si="56"/>
        <v>7</v>
      </c>
      <c r="V759" s="5" t="str">
        <f t="shared" si="57"/>
        <v>EXCEPTIONAL</v>
      </c>
      <c r="W759" s="6" t="str">
        <f t="shared" si="58"/>
        <v>55+</v>
      </c>
      <c r="X759" s="6" t="str">
        <f t="shared" si="59"/>
        <v>High</v>
      </c>
    </row>
    <row r="760" spans="1:24">
      <c r="A760" s="6" t="s">
        <v>226</v>
      </c>
      <c r="B760" s="6" t="s">
        <v>1821</v>
      </c>
      <c r="C760" s="6" t="s">
        <v>57</v>
      </c>
      <c r="D760" s="6" t="s">
        <v>228</v>
      </c>
      <c r="E760" s="6" t="s">
        <v>678</v>
      </c>
      <c r="F760" s="6">
        <v>46</v>
      </c>
      <c r="G760" s="6" t="s">
        <v>34</v>
      </c>
      <c r="H760" s="6" t="s">
        <v>1822</v>
      </c>
      <c r="I760" s="6" t="s">
        <v>4066</v>
      </c>
      <c r="J760" s="8">
        <v>45129</v>
      </c>
      <c r="K760" s="8">
        <v>45305</v>
      </c>
      <c r="L760" s="6">
        <v>29900.75</v>
      </c>
      <c r="M760" s="6">
        <v>11600.4</v>
      </c>
      <c r="N760" s="6">
        <v>725</v>
      </c>
      <c r="O760" s="6">
        <v>67000</v>
      </c>
      <c r="P760" s="6" t="s">
        <v>36</v>
      </c>
      <c r="Q760" s="6" t="s">
        <v>27</v>
      </c>
      <c r="R760" s="6">
        <v>0</v>
      </c>
      <c r="S760" s="6" t="s">
        <v>28</v>
      </c>
      <c r="T760" s="7">
        <f t="shared" si="55"/>
        <v>0.17314029850746268</v>
      </c>
      <c r="U760" s="6">
        <f t="shared" si="56"/>
        <v>1</v>
      </c>
      <c r="V760" s="5" t="str">
        <f t="shared" si="57"/>
        <v>GOOD</v>
      </c>
      <c r="W760" s="6" t="str">
        <f t="shared" si="58"/>
        <v>45-54</v>
      </c>
      <c r="X760" s="6" t="str">
        <f t="shared" si="59"/>
        <v>Low</v>
      </c>
    </row>
    <row r="761" spans="1:24">
      <c r="A761" s="6" t="s">
        <v>488</v>
      </c>
      <c r="B761" s="6" t="s">
        <v>1823</v>
      </c>
      <c r="C761" s="6" t="s">
        <v>39</v>
      </c>
      <c r="D761" s="6" t="s">
        <v>304</v>
      </c>
      <c r="E761" s="6" t="s">
        <v>304</v>
      </c>
      <c r="F761" s="6">
        <v>63</v>
      </c>
      <c r="G761" s="6" t="s">
        <v>24</v>
      </c>
      <c r="H761" s="6" t="s">
        <v>1824</v>
      </c>
      <c r="I761" s="6" t="s">
        <v>4067</v>
      </c>
      <c r="J761" s="8">
        <v>43873</v>
      </c>
      <c r="K761" s="8">
        <v>45300</v>
      </c>
      <c r="L761" s="6">
        <v>169400.6</v>
      </c>
      <c r="M761" s="6">
        <v>94000.9</v>
      </c>
      <c r="N761" s="6">
        <v>675</v>
      </c>
      <c r="O761" s="6">
        <v>191000</v>
      </c>
      <c r="P761" s="6" t="s">
        <v>76</v>
      </c>
      <c r="Q761" s="6" t="s">
        <v>27</v>
      </c>
      <c r="R761" s="6">
        <v>0</v>
      </c>
      <c r="S761" s="6" t="s">
        <v>28</v>
      </c>
      <c r="T761" s="7">
        <f t="shared" si="55"/>
        <v>0.49215130890052355</v>
      </c>
      <c r="U761" s="6">
        <f t="shared" si="56"/>
        <v>6</v>
      </c>
      <c r="V761" s="5" t="str">
        <f t="shared" si="57"/>
        <v>GOOD</v>
      </c>
      <c r="W761" s="6" t="str">
        <f t="shared" si="58"/>
        <v>55+</v>
      </c>
      <c r="X761" s="6" t="str">
        <f t="shared" si="59"/>
        <v>High</v>
      </c>
    </row>
    <row r="762" spans="1:24">
      <c r="A762" s="6" t="s">
        <v>491</v>
      </c>
      <c r="B762" s="6" t="s">
        <v>1825</v>
      </c>
      <c r="C762" s="6" t="s">
        <v>52</v>
      </c>
      <c r="D762" s="6" t="s">
        <v>493</v>
      </c>
      <c r="E762" s="6" t="s">
        <v>494</v>
      </c>
      <c r="F762" s="6">
        <v>54</v>
      </c>
      <c r="G762" s="6" t="s">
        <v>34</v>
      </c>
      <c r="H762" s="6" t="s">
        <v>1826</v>
      </c>
      <c r="I762" s="6" t="s">
        <v>4068</v>
      </c>
      <c r="J762" s="8">
        <v>44642</v>
      </c>
      <c r="K762" s="8">
        <v>45302</v>
      </c>
      <c r="L762" s="6">
        <v>57400.4</v>
      </c>
      <c r="M762" s="6">
        <v>32100.25</v>
      </c>
      <c r="N762" s="6">
        <v>705</v>
      </c>
      <c r="O762" s="6">
        <v>99000</v>
      </c>
      <c r="P762" s="6" t="s">
        <v>26</v>
      </c>
      <c r="Q762" s="6" t="s">
        <v>27</v>
      </c>
      <c r="R762" s="6">
        <v>0</v>
      </c>
      <c r="S762" s="6" t="s">
        <v>28</v>
      </c>
      <c r="T762" s="7">
        <f t="shared" si="55"/>
        <v>0.32424494949494947</v>
      </c>
      <c r="U762" s="6">
        <f t="shared" si="56"/>
        <v>4</v>
      </c>
      <c r="V762" s="5" t="str">
        <f t="shared" si="57"/>
        <v>GOOD</v>
      </c>
      <c r="W762" s="6" t="str">
        <f t="shared" si="58"/>
        <v>45-54</v>
      </c>
      <c r="X762" s="6" t="str">
        <f t="shared" si="59"/>
        <v>Lower-Middle</v>
      </c>
    </row>
    <row r="763" spans="1:24">
      <c r="A763" s="6" t="s">
        <v>496</v>
      </c>
      <c r="B763" s="6" t="s">
        <v>1827</v>
      </c>
      <c r="C763" s="6" t="s">
        <v>46</v>
      </c>
      <c r="D763" s="6" t="s">
        <v>321</v>
      </c>
      <c r="E763" s="6" t="s">
        <v>498</v>
      </c>
      <c r="F763" s="6">
        <v>57</v>
      </c>
      <c r="G763" s="6" t="s">
        <v>24</v>
      </c>
      <c r="H763" s="6" t="s">
        <v>1828</v>
      </c>
      <c r="I763" s="6" t="s">
        <v>4069</v>
      </c>
      <c r="J763" s="8">
        <v>44126</v>
      </c>
      <c r="K763" s="8">
        <v>45301</v>
      </c>
      <c r="L763" s="6">
        <v>104100.75</v>
      </c>
      <c r="M763" s="6">
        <v>53200.800000000003</v>
      </c>
      <c r="N763" s="6">
        <v>730</v>
      </c>
      <c r="O763" s="6">
        <v>165000</v>
      </c>
      <c r="P763" s="6" t="s">
        <v>26</v>
      </c>
      <c r="Q763" s="6" t="s">
        <v>27</v>
      </c>
      <c r="R763" s="6">
        <v>0</v>
      </c>
      <c r="S763" s="6" t="s">
        <v>28</v>
      </c>
      <c r="T763" s="7">
        <f t="shared" si="55"/>
        <v>0.32242909090909094</v>
      </c>
      <c r="U763" s="6">
        <f t="shared" si="56"/>
        <v>5</v>
      </c>
      <c r="V763" s="5" t="str">
        <f t="shared" si="57"/>
        <v>GOOD</v>
      </c>
      <c r="W763" s="6" t="str">
        <f t="shared" si="58"/>
        <v>55+</v>
      </c>
      <c r="X763" s="6" t="str">
        <f t="shared" si="59"/>
        <v>Upper-Middle</v>
      </c>
    </row>
    <row r="764" spans="1:24">
      <c r="A764" s="6" t="s">
        <v>324</v>
      </c>
      <c r="B764" s="6" t="s">
        <v>1829</v>
      </c>
      <c r="C764" s="6" t="s">
        <v>31</v>
      </c>
      <c r="D764" s="6" t="s">
        <v>313</v>
      </c>
      <c r="E764" s="6" t="s">
        <v>314</v>
      </c>
      <c r="F764" s="6">
        <v>42</v>
      </c>
      <c r="G764" s="6" t="s">
        <v>34</v>
      </c>
      <c r="H764" s="6" t="s">
        <v>1830</v>
      </c>
      <c r="I764" s="6" t="s">
        <v>4070</v>
      </c>
      <c r="J764" s="8">
        <v>45397</v>
      </c>
      <c r="K764" s="8">
        <v>45306</v>
      </c>
      <c r="L764" s="6">
        <v>14200.9</v>
      </c>
      <c r="M764" s="6">
        <v>8500.75</v>
      </c>
      <c r="N764" s="6">
        <v>685</v>
      </c>
      <c r="O764" s="6">
        <v>52000</v>
      </c>
      <c r="P764" s="6" t="s">
        <v>26</v>
      </c>
      <c r="Q764" s="6" t="s">
        <v>43</v>
      </c>
      <c r="R764" s="6">
        <v>0</v>
      </c>
      <c r="S764" s="6" t="s">
        <v>28</v>
      </c>
      <c r="T764" s="7">
        <f t="shared" si="55"/>
        <v>0.16347596153846153</v>
      </c>
      <c r="U764" s="6">
        <f t="shared" si="56"/>
        <v>0</v>
      </c>
      <c r="V764" s="5" t="str">
        <f t="shared" si="57"/>
        <v>GOOD</v>
      </c>
      <c r="W764" s="6" t="str">
        <f t="shared" si="58"/>
        <v>35-44</v>
      </c>
      <c r="X764" s="6" t="str">
        <f t="shared" si="59"/>
        <v>Low</v>
      </c>
    </row>
    <row r="765" spans="1:24">
      <c r="A765" s="6" t="s">
        <v>503</v>
      </c>
      <c r="B765" s="6" t="s">
        <v>1831</v>
      </c>
      <c r="C765" s="6" t="s">
        <v>21</v>
      </c>
      <c r="D765" s="6" t="s">
        <v>32</v>
      </c>
      <c r="E765" s="6" t="s">
        <v>33</v>
      </c>
      <c r="F765" s="6">
        <v>74</v>
      </c>
      <c r="G765" s="6" t="s">
        <v>24</v>
      </c>
      <c r="H765" s="6" t="s">
        <v>1832</v>
      </c>
      <c r="I765" s="6" t="s">
        <v>3852</v>
      </c>
      <c r="J765" s="8">
        <v>43122</v>
      </c>
      <c r="K765" s="8">
        <v>45299</v>
      </c>
      <c r="L765" s="6">
        <v>300100.25</v>
      </c>
      <c r="M765" s="6">
        <v>98000.4</v>
      </c>
      <c r="N765" s="6">
        <v>840</v>
      </c>
      <c r="O765" s="6">
        <v>306000</v>
      </c>
      <c r="P765" s="6" t="s">
        <v>36</v>
      </c>
      <c r="Q765" s="6" t="s">
        <v>27</v>
      </c>
      <c r="R765" s="6">
        <v>0</v>
      </c>
      <c r="S765" s="6" t="s">
        <v>28</v>
      </c>
      <c r="T765" s="7">
        <f t="shared" si="55"/>
        <v>0.3202627450980392</v>
      </c>
      <c r="U765" s="6">
        <f t="shared" si="56"/>
        <v>7</v>
      </c>
      <c r="V765" s="5" t="str">
        <f t="shared" si="57"/>
        <v>EXCEPTIONAL</v>
      </c>
      <c r="W765" s="6" t="str">
        <f t="shared" si="58"/>
        <v>55+</v>
      </c>
      <c r="X765" s="6" t="str">
        <f t="shared" si="59"/>
        <v>High</v>
      </c>
    </row>
    <row r="766" spans="1:24">
      <c r="A766" s="6" t="s">
        <v>506</v>
      </c>
      <c r="B766" s="6" t="s">
        <v>1833</v>
      </c>
      <c r="C766" s="6" t="s">
        <v>39</v>
      </c>
      <c r="D766" s="6" t="s">
        <v>68</v>
      </c>
      <c r="E766" s="6" t="s">
        <v>69</v>
      </c>
      <c r="F766" s="6">
        <v>66</v>
      </c>
      <c r="G766" s="6" t="s">
        <v>34</v>
      </c>
      <c r="H766" s="6" t="s">
        <v>1834</v>
      </c>
      <c r="I766" s="6" t="s">
        <v>4043</v>
      </c>
      <c r="J766" s="8">
        <v>43638</v>
      </c>
      <c r="K766" s="8">
        <v>45300</v>
      </c>
      <c r="L766" s="6">
        <v>180500.4</v>
      </c>
      <c r="M766" s="6">
        <v>98000.75</v>
      </c>
      <c r="N766" s="6">
        <v>650</v>
      </c>
      <c r="O766" s="6">
        <v>201000</v>
      </c>
      <c r="P766" s="6" t="s">
        <v>76</v>
      </c>
      <c r="Q766" s="6" t="s">
        <v>27</v>
      </c>
      <c r="R766" s="6">
        <v>0</v>
      </c>
      <c r="S766" s="6" t="s">
        <v>28</v>
      </c>
      <c r="T766" s="7">
        <f t="shared" si="55"/>
        <v>0.48756592039800994</v>
      </c>
      <c r="U766" s="6">
        <f t="shared" si="56"/>
        <v>6</v>
      </c>
      <c r="V766" s="5" t="str">
        <f t="shared" si="57"/>
        <v>FAIR</v>
      </c>
      <c r="W766" s="6" t="str">
        <f t="shared" si="58"/>
        <v>55+</v>
      </c>
      <c r="X766" s="6" t="str">
        <f t="shared" si="59"/>
        <v>High</v>
      </c>
    </row>
    <row r="767" spans="1:24">
      <c r="A767" s="6" t="s">
        <v>509</v>
      </c>
      <c r="B767" s="6" t="s">
        <v>1835</v>
      </c>
      <c r="C767" s="6" t="s">
        <v>46</v>
      </c>
      <c r="D767" s="6" t="s">
        <v>73</v>
      </c>
      <c r="E767" s="6" t="s">
        <v>126</v>
      </c>
      <c r="F767" s="6">
        <v>53</v>
      </c>
      <c r="G767" s="6" t="s">
        <v>24</v>
      </c>
      <c r="H767" s="6" t="s">
        <v>1836</v>
      </c>
      <c r="I767" s="6" t="s">
        <v>4071</v>
      </c>
      <c r="J767" s="8">
        <v>44856</v>
      </c>
      <c r="K767" s="8">
        <v>45303</v>
      </c>
      <c r="L767" s="6">
        <v>92100.4</v>
      </c>
      <c r="M767" s="6">
        <v>47400.25</v>
      </c>
      <c r="N767" s="6">
        <v>745</v>
      </c>
      <c r="O767" s="6">
        <v>145000</v>
      </c>
      <c r="P767" s="6" t="s">
        <v>26</v>
      </c>
      <c r="Q767" s="6" t="s">
        <v>27</v>
      </c>
      <c r="R767" s="6">
        <v>0</v>
      </c>
      <c r="S767" s="6" t="s">
        <v>28</v>
      </c>
      <c r="T767" s="7">
        <f t="shared" si="55"/>
        <v>0.32689827586206899</v>
      </c>
      <c r="U767" s="6">
        <f t="shared" si="56"/>
        <v>3</v>
      </c>
      <c r="V767" s="5" t="str">
        <f t="shared" si="57"/>
        <v>GOOD</v>
      </c>
      <c r="W767" s="6" t="str">
        <f t="shared" si="58"/>
        <v>45-54</v>
      </c>
      <c r="X767" s="6" t="str">
        <f t="shared" si="59"/>
        <v>Upper-Middle</v>
      </c>
    </row>
    <row r="768" spans="1:24">
      <c r="A768" s="6" t="s">
        <v>513</v>
      </c>
      <c r="B768" s="6" t="s">
        <v>1837</v>
      </c>
      <c r="C768" s="6" t="s">
        <v>57</v>
      </c>
      <c r="D768" s="6" t="s">
        <v>58</v>
      </c>
      <c r="E768" s="6" t="s">
        <v>59</v>
      </c>
      <c r="F768" s="6">
        <v>48</v>
      </c>
      <c r="G768" s="6" t="s">
        <v>34</v>
      </c>
      <c r="H768" s="6" t="s">
        <v>1838</v>
      </c>
      <c r="I768" s="6" t="s">
        <v>3854</v>
      </c>
      <c r="J768" s="8">
        <v>45038</v>
      </c>
      <c r="K768" s="8">
        <v>45302</v>
      </c>
      <c r="L768" s="6">
        <v>32100.799999999999</v>
      </c>
      <c r="M768" s="6">
        <v>12800.9</v>
      </c>
      <c r="N768" s="6">
        <v>765</v>
      </c>
      <c r="O768" s="6">
        <v>77000</v>
      </c>
      <c r="P768" s="6" t="s">
        <v>36</v>
      </c>
      <c r="Q768" s="6" t="s">
        <v>27</v>
      </c>
      <c r="R768" s="6">
        <v>0</v>
      </c>
      <c r="S768" s="6" t="s">
        <v>28</v>
      </c>
      <c r="T768" s="7">
        <f t="shared" si="55"/>
        <v>0.16624545454545453</v>
      </c>
      <c r="U768" s="6">
        <f t="shared" si="56"/>
        <v>4</v>
      </c>
      <c r="V768" s="5" t="str">
        <f t="shared" si="57"/>
        <v>VERY GOOD</v>
      </c>
      <c r="W768" s="6" t="str">
        <f t="shared" si="58"/>
        <v>45-54</v>
      </c>
      <c r="X768" s="6" t="str">
        <f t="shared" si="59"/>
        <v>Lower-Middle</v>
      </c>
    </row>
    <row r="769" spans="1:24">
      <c r="A769" s="6" t="s">
        <v>516</v>
      </c>
      <c r="B769" s="6" t="s">
        <v>1839</v>
      </c>
      <c r="C769" s="6" t="s">
        <v>52</v>
      </c>
      <c r="D769" s="6" t="s">
        <v>277</v>
      </c>
      <c r="E769" s="6" t="s">
        <v>278</v>
      </c>
      <c r="F769" s="6">
        <v>61</v>
      </c>
      <c r="G769" s="6" t="s">
        <v>24</v>
      </c>
      <c r="H769" s="6" t="s">
        <v>1840</v>
      </c>
      <c r="I769" s="6" t="s">
        <v>3855</v>
      </c>
      <c r="J769" s="8">
        <v>44308</v>
      </c>
      <c r="K769" s="8">
        <v>45301</v>
      </c>
      <c r="L769" s="6">
        <v>65400.75</v>
      </c>
      <c r="M769" s="6">
        <v>38500.400000000001</v>
      </c>
      <c r="N769" s="6">
        <v>675</v>
      </c>
      <c r="O769" s="6">
        <v>117000</v>
      </c>
      <c r="P769" s="6" t="s">
        <v>26</v>
      </c>
      <c r="Q769" s="6" t="s">
        <v>27</v>
      </c>
      <c r="R769" s="6">
        <v>0</v>
      </c>
      <c r="S769" s="6" t="s">
        <v>28</v>
      </c>
      <c r="T769" s="7">
        <f t="shared" si="55"/>
        <v>0.32906324786324787</v>
      </c>
      <c r="U769" s="6">
        <f t="shared" si="56"/>
        <v>5</v>
      </c>
      <c r="V769" s="5" t="str">
        <f t="shared" si="57"/>
        <v>GOOD</v>
      </c>
      <c r="W769" s="6" t="str">
        <f t="shared" si="58"/>
        <v>55+</v>
      </c>
      <c r="X769" s="6" t="str">
        <f t="shared" si="59"/>
        <v>Lower-Middle</v>
      </c>
    </row>
    <row r="770" spans="1:24">
      <c r="A770" s="6" t="s">
        <v>519</v>
      </c>
      <c r="B770" s="6" t="s">
        <v>1841</v>
      </c>
      <c r="C770" s="6" t="s">
        <v>84</v>
      </c>
      <c r="D770" s="6" t="s">
        <v>183</v>
      </c>
      <c r="E770" s="6" t="s">
        <v>273</v>
      </c>
      <c r="F770" s="6">
        <v>40</v>
      </c>
      <c r="G770" s="6" t="s">
        <v>34</v>
      </c>
      <c r="H770" s="6" t="s">
        <v>1842</v>
      </c>
      <c r="I770" s="6" t="s">
        <v>3856</v>
      </c>
      <c r="J770" s="8">
        <v>45410</v>
      </c>
      <c r="K770" s="8">
        <v>45304</v>
      </c>
      <c r="L770" s="6">
        <v>3800.25</v>
      </c>
      <c r="M770" s="6">
        <v>13600.6</v>
      </c>
      <c r="N770" s="6">
        <v>615</v>
      </c>
      <c r="O770" s="6">
        <v>37000</v>
      </c>
      <c r="P770" s="6" t="s">
        <v>76</v>
      </c>
      <c r="Q770" s="6" t="s">
        <v>43</v>
      </c>
      <c r="R770" s="6">
        <v>0</v>
      </c>
      <c r="S770" s="6" t="s">
        <v>28</v>
      </c>
      <c r="T770" s="7">
        <f t="shared" ref="T770:T833" si="60">IFERROR(M770/O770,"")</f>
        <v>0.36758378378378381</v>
      </c>
      <c r="U770" s="6">
        <f t="shared" ref="U770:U833" si="61">MAX($K$2:$K$1599)-K770</f>
        <v>2</v>
      </c>
      <c r="V770" s="5" t="str">
        <f t="shared" ref="V770:V833" si="62">IF(N770&lt;670,"FAIR", IF(N770&lt;750,"GOOD",IF(N770&lt;800,"VERY GOOD","EXCEPTIONAL")))</f>
        <v>FAIR</v>
      </c>
      <c r="W770" s="6" t="str">
        <f t="shared" ref="W770:W833" si="63">IF(F770&lt;25,"18-24",IF(F770&lt;35,"25-34",IF(F770&lt;45,"35-44",IF(F770&lt;55,"45-54","55+"))))</f>
        <v>35-44</v>
      </c>
      <c r="X770" s="6" t="str">
        <f t="shared" ref="X770:X833" si="64">IF(O770&lt;=_xlfn.QUARTILE.INC($O$2:$O$1599,1),"Low",IF(O770&lt;=_xlfn.QUARTILE.INC($O$2:$O$1599,2),"Lower-Middle",IF(O770&lt;=_xlfn.QUARTILE.INC($O$2:$O$1599,3),"Upper-Middle","High")))</f>
        <v>Low</v>
      </c>
    </row>
    <row r="771" spans="1:24">
      <c r="A771" s="6" t="s">
        <v>522</v>
      </c>
      <c r="B771" s="6" t="s">
        <v>1843</v>
      </c>
      <c r="C771" s="6" t="s">
        <v>39</v>
      </c>
      <c r="D771" s="6" t="s">
        <v>40</v>
      </c>
      <c r="E771" s="6" t="s">
        <v>94</v>
      </c>
      <c r="F771" s="6">
        <v>68</v>
      </c>
      <c r="G771" s="6" t="s">
        <v>24</v>
      </c>
      <c r="H771" s="6" t="s">
        <v>1844</v>
      </c>
      <c r="I771" s="6" t="s">
        <v>3510</v>
      </c>
      <c r="J771" s="8">
        <v>43607</v>
      </c>
      <c r="K771" s="8">
        <v>45299</v>
      </c>
      <c r="L771" s="6">
        <v>215100.79999999999</v>
      </c>
      <c r="M771" s="6">
        <v>111000.25</v>
      </c>
      <c r="N771" s="6">
        <v>660</v>
      </c>
      <c r="O771" s="6">
        <v>236000</v>
      </c>
      <c r="P771" s="6" t="s">
        <v>76</v>
      </c>
      <c r="Q771" s="6" t="s">
        <v>27</v>
      </c>
      <c r="R771" s="6">
        <v>0</v>
      </c>
      <c r="S771" s="6" t="s">
        <v>28</v>
      </c>
      <c r="T771" s="7">
        <f t="shared" si="60"/>
        <v>0.47034004237288135</v>
      </c>
      <c r="U771" s="6">
        <f t="shared" si="61"/>
        <v>7</v>
      </c>
      <c r="V771" s="5" t="str">
        <f t="shared" si="62"/>
        <v>FAIR</v>
      </c>
      <c r="W771" s="6" t="str">
        <f t="shared" si="63"/>
        <v>55+</v>
      </c>
      <c r="X771" s="6" t="str">
        <f t="shared" si="64"/>
        <v>High</v>
      </c>
    </row>
    <row r="772" spans="1:24">
      <c r="A772" s="6" t="s">
        <v>306</v>
      </c>
      <c r="B772" s="6" t="s">
        <v>1845</v>
      </c>
      <c r="C772" s="6" t="s">
        <v>46</v>
      </c>
      <c r="D772" s="6" t="s">
        <v>209</v>
      </c>
      <c r="E772" s="6" t="s">
        <v>210</v>
      </c>
      <c r="F772" s="6">
        <v>55</v>
      </c>
      <c r="G772" s="6" t="s">
        <v>34</v>
      </c>
      <c r="H772" s="6" t="s">
        <v>1846</v>
      </c>
      <c r="I772" s="6" t="s">
        <v>4072</v>
      </c>
      <c r="J772" s="8">
        <v>44461</v>
      </c>
      <c r="K772" s="8">
        <v>45302</v>
      </c>
      <c r="L772" s="6">
        <v>86500.9</v>
      </c>
      <c r="M772" s="6">
        <v>44300.75</v>
      </c>
      <c r="N772" s="6">
        <v>730</v>
      </c>
      <c r="O772" s="6">
        <v>140000</v>
      </c>
      <c r="P772" s="6" t="s">
        <v>26</v>
      </c>
      <c r="Q772" s="6" t="s">
        <v>27</v>
      </c>
      <c r="R772" s="6">
        <v>0</v>
      </c>
      <c r="S772" s="6" t="s">
        <v>28</v>
      </c>
      <c r="T772" s="7">
        <f t="shared" si="60"/>
        <v>0.31643392857142855</v>
      </c>
      <c r="U772" s="6">
        <f t="shared" si="61"/>
        <v>4</v>
      </c>
      <c r="V772" s="5" t="str">
        <f t="shared" si="62"/>
        <v>GOOD</v>
      </c>
      <c r="W772" s="6" t="str">
        <f t="shared" si="63"/>
        <v>55+</v>
      </c>
      <c r="X772" s="6" t="str">
        <f t="shared" si="64"/>
        <v>Upper-Middle</v>
      </c>
    </row>
    <row r="773" spans="1:24">
      <c r="A773" s="6" t="s">
        <v>527</v>
      </c>
      <c r="B773" s="6" t="s">
        <v>1847</v>
      </c>
      <c r="C773" s="6" t="s">
        <v>31</v>
      </c>
      <c r="D773" s="6" t="s">
        <v>32</v>
      </c>
      <c r="E773" s="6" t="s">
        <v>90</v>
      </c>
      <c r="F773" s="6">
        <v>44</v>
      </c>
      <c r="G773" s="6" t="s">
        <v>34</v>
      </c>
      <c r="H773" s="6" t="s">
        <v>1848</v>
      </c>
      <c r="I773" s="6" t="s">
        <v>3620</v>
      </c>
      <c r="J773" s="8">
        <v>45404</v>
      </c>
      <c r="K773" s="8">
        <v>45305</v>
      </c>
      <c r="L773" s="6">
        <v>15300.4</v>
      </c>
      <c r="M773" s="6">
        <v>8600.25</v>
      </c>
      <c r="N773" s="6">
        <v>705</v>
      </c>
      <c r="O773" s="6">
        <v>54000</v>
      </c>
      <c r="P773" s="6" t="s">
        <v>26</v>
      </c>
      <c r="Q773" s="6" t="s">
        <v>43</v>
      </c>
      <c r="R773" s="6">
        <v>0</v>
      </c>
      <c r="S773" s="6" t="s">
        <v>28</v>
      </c>
      <c r="T773" s="7">
        <f t="shared" si="60"/>
        <v>0.1592638888888889</v>
      </c>
      <c r="U773" s="6">
        <f t="shared" si="61"/>
        <v>1</v>
      </c>
      <c r="V773" s="5" t="str">
        <f t="shared" si="62"/>
        <v>GOOD</v>
      </c>
      <c r="W773" s="6" t="str">
        <f t="shared" si="63"/>
        <v>35-44</v>
      </c>
      <c r="X773" s="6" t="str">
        <f t="shared" si="64"/>
        <v>Low</v>
      </c>
    </row>
    <row r="774" spans="1:24">
      <c r="A774" s="6" t="s">
        <v>530</v>
      </c>
      <c r="B774" s="6" t="s">
        <v>1849</v>
      </c>
      <c r="C774" s="6" t="s">
        <v>57</v>
      </c>
      <c r="D774" s="6" t="s">
        <v>219</v>
      </c>
      <c r="E774" s="6" t="s">
        <v>220</v>
      </c>
      <c r="F774" s="6">
        <v>49</v>
      </c>
      <c r="G774" s="6" t="s">
        <v>24</v>
      </c>
      <c r="H774" s="6" t="s">
        <v>1850</v>
      </c>
      <c r="I774" s="6" t="s">
        <v>4073</v>
      </c>
      <c r="J774" s="8">
        <v>45007</v>
      </c>
      <c r="K774" s="8">
        <v>45303</v>
      </c>
      <c r="L774" s="6">
        <v>31000.6</v>
      </c>
      <c r="M774" s="6">
        <v>12200.8</v>
      </c>
      <c r="N774" s="6">
        <v>710</v>
      </c>
      <c r="O774" s="6">
        <v>70000</v>
      </c>
      <c r="P774" s="6" t="s">
        <v>36</v>
      </c>
      <c r="Q774" s="6" t="s">
        <v>27</v>
      </c>
      <c r="R774" s="6">
        <v>0</v>
      </c>
      <c r="S774" s="6" t="s">
        <v>28</v>
      </c>
      <c r="T774" s="7">
        <f t="shared" si="60"/>
        <v>0.17429714285714284</v>
      </c>
      <c r="U774" s="6">
        <f t="shared" si="61"/>
        <v>3</v>
      </c>
      <c r="V774" s="5" t="str">
        <f t="shared" si="62"/>
        <v>GOOD</v>
      </c>
      <c r="W774" s="6" t="str">
        <f t="shared" si="63"/>
        <v>45-54</v>
      </c>
      <c r="X774" s="6" t="str">
        <f t="shared" si="64"/>
        <v>Low</v>
      </c>
    </row>
    <row r="775" spans="1:24">
      <c r="A775" s="6" t="s">
        <v>533</v>
      </c>
      <c r="B775" s="6" t="s">
        <v>1851</v>
      </c>
      <c r="C775" s="6" t="s">
        <v>52</v>
      </c>
      <c r="D775" s="6" t="s">
        <v>204</v>
      </c>
      <c r="E775" s="6" t="s">
        <v>205</v>
      </c>
      <c r="F775" s="6">
        <v>56</v>
      </c>
      <c r="G775" s="6" t="s">
        <v>34</v>
      </c>
      <c r="H775" s="6" t="s">
        <v>1852</v>
      </c>
      <c r="I775" s="6" t="s">
        <v>3859</v>
      </c>
      <c r="J775" s="8">
        <v>44308</v>
      </c>
      <c r="K775" s="8">
        <v>45301</v>
      </c>
      <c r="L775" s="6">
        <v>62300.25</v>
      </c>
      <c r="M775" s="6">
        <v>35400.9</v>
      </c>
      <c r="N775" s="6">
        <v>695</v>
      </c>
      <c r="O775" s="6">
        <v>105000</v>
      </c>
      <c r="P775" s="6" t="s">
        <v>26</v>
      </c>
      <c r="Q775" s="6" t="s">
        <v>27</v>
      </c>
      <c r="R775" s="6">
        <v>0</v>
      </c>
      <c r="S775" s="6" t="s">
        <v>28</v>
      </c>
      <c r="T775" s="7">
        <f t="shared" si="60"/>
        <v>0.3371514285714286</v>
      </c>
      <c r="U775" s="6">
        <f t="shared" si="61"/>
        <v>5</v>
      </c>
      <c r="V775" s="5" t="str">
        <f t="shared" si="62"/>
        <v>GOOD</v>
      </c>
      <c r="W775" s="6" t="str">
        <f t="shared" si="63"/>
        <v>55+</v>
      </c>
      <c r="X775" s="6" t="str">
        <f t="shared" si="64"/>
        <v>Lower-Middle</v>
      </c>
    </row>
    <row r="776" spans="1:24">
      <c r="A776" s="6" t="s">
        <v>536</v>
      </c>
      <c r="B776" s="6" t="s">
        <v>1853</v>
      </c>
      <c r="C776" s="6" t="s">
        <v>39</v>
      </c>
      <c r="D776" s="6" t="s">
        <v>195</v>
      </c>
      <c r="E776" s="6" t="s">
        <v>196</v>
      </c>
      <c r="F776" s="6">
        <v>64</v>
      </c>
      <c r="G776" s="6" t="s">
        <v>24</v>
      </c>
      <c r="H776" s="6" t="s">
        <v>1854</v>
      </c>
      <c r="I776" s="6" t="s">
        <v>4074</v>
      </c>
      <c r="J776" s="8">
        <v>43760</v>
      </c>
      <c r="K776" s="8">
        <v>45300</v>
      </c>
      <c r="L776" s="6">
        <v>147300.4</v>
      </c>
      <c r="M776" s="6">
        <v>85000.6</v>
      </c>
      <c r="N776" s="6">
        <v>670</v>
      </c>
      <c r="O776" s="6">
        <v>172000</v>
      </c>
      <c r="P776" s="6" t="s">
        <v>76</v>
      </c>
      <c r="Q776" s="6" t="s">
        <v>27</v>
      </c>
      <c r="R776" s="6">
        <v>0</v>
      </c>
      <c r="S776" s="6" t="s">
        <v>28</v>
      </c>
      <c r="T776" s="7">
        <f t="shared" si="60"/>
        <v>0.49418953488372097</v>
      </c>
      <c r="U776" s="6">
        <f t="shared" si="61"/>
        <v>6</v>
      </c>
      <c r="V776" s="5" t="str">
        <f t="shared" si="62"/>
        <v>GOOD</v>
      </c>
      <c r="W776" s="6" t="str">
        <f t="shared" si="63"/>
        <v>55+</v>
      </c>
      <c r="X776" s="6" t="str">
        <f t="shared" si="64"/>
        <v>Upper-Middle</v>
      </c>
    </row>
    <row r="777" spans="1:24">
      <c r="A777" s="6" t="s">
        <v>539</v>
      </c>
      <c r="B777" s="6" t="s">
        <v>1855</v>
      </c>
      <c r="C777" s="6" t="s">
        <v>21</v>
      </c>
      <c r="D777" s="6" t="s">
        <v>58</v>
      </c>
      <c r="E777" s="6" t="s">
        <v>122</v>
      </c>
      <c r="F777" s="6">
        <v>72</v>
      </c>
      <c r="G777" s="6" t="s">
        <v>34</v>
      </c>
      <c r="H777" s="6" t="s">
        <v>1856</v>
      </c>
      <c r="I777" s="6" t="s">
        <v>3861</v>
      </c>
      <c r="J777" s="8">
        <v>43334</v>
      </c>
      <c r="K777" s="8">
        <v>45299</v>
      </c>
      <c r="L777" s="6">
        <v>314200.75</v>
      </c>
      <c r="M777" s="6">
        <v>102000.8</v>
      </c>
      <c r="N777" s="6">
        <v>835</v>
      </c>
      <c r="O777" s="6">
        <v>317000</v>
      </c>
      <c r="P777" s="6" t="s">
        <v>36</v>
      </c>
      <c r="Q777" s="6" t="s">
        <v>27</v>
      </c>
      <c r="R777" s="6">
        <v>0</v>
      </c>
      <c r="S777" s="6" t="s">
        <v>28</v>
      </c>
      <c r="T777" s="7">
        <f t="shared" si="60"/>
        <v>0.32176908517350161</v>
      </c>
      <c r="U777" s="6">
        <f t="shared" si="61"/>
        <v>7</v>
      </c>
      <c r="V777" s="5" t="str">
        <f t="shared" si="62"/>
        <v>EXCEPTIONAL</v>
      </c>
      <c r="W777" s="6" t="str">
        <f t="shared" si="63"/>
        <v>55+</v>
      </c>
      <c r="X777" s="6" t="str">
        <f t="shared" si="64"/>
        <v>High</v>
      </c>
    </row>
    <row r="778" spans="1:24">
      <c r="A778" s="6" t="s">
        <v>542</v>
      </c>
      <c r="B778" s="6" t="s">
        <v>1857</v>
      </c>
      <c r="C778" s="6" t="s">
        <v>52</v>
      </c>
      <c r="D778" s="6" t="s">
        <v>68</v>
      </c>
      <c r="E778" s="6" t="s">
        <v>114</v>
      </c>
      <c r="F778" s="6">
        <v>59</v>
      </c>
      <c r="G778" s="6" t="s">
        <v>34</v>
      </c>
      <c r="H778" s="6" t="s">
        <v>1858</v>
      </c>
      <c r="I778" s="6" t="s">
        <v>4062</v>
      </c>
      <c r="J778" s="8">
        <v>44277</v>
      </c>
      <c r="K778" s="8">
        <v>45302</v>
      </c>
      <c r="L778" s="6">
        <v>71000.600000000006</v>
      </c>
      <c r="M778" s="6">
        <v>41000.25</v>
      </c>
      <c r="N778" s="6">
        <v>665</v>
      </c>
      <c r="O778" s="6">
        <v>125000</v>
      </c>
      <c r="P778" s="6" t="s">
        <v>26</v>
      </c>
      <c r="Q778" s="6" t="s">
        <v>27</v>
      </c>
      <c r="R778" s="6">
        <v>0</v>
      </c>
      <c r="S778" s="6" t="s">
        <v>28</v>
      </c>
      <c r="T778" s="7">
        <f t="shared" si="60"/>
        <v>0.32800200000000002</v>
      </c>
      <c r="U778" s="6">
        <f t="shared" si="61"/>
        <v>4</v>
      </c>
      <c r="V778" s="5" t="str">
        <f t="shared" si="62"/>
        <v>FAIR</v>
      </c>
      <c r="W778" s="6" t="str">
        <f t="shared" si="63"/>
        <v>55+</v>
      </c>
      <c r="X778" s="6" t="str">
        <f t="shared" si="64"/>
        <v>Lower-Middle</v>
      </c>
    </row>
    <row r="779" spans="1:24">
      <c r="A779" s="6" t="s">
        <v>545</v>
      </c>
      <c r="B779" s="6" t="s">
        <v>1859</v>
      </c>
      <c r="C779" s="6" t="s">
        <v>46</v>
      </c>
      <c r="D779" s="6" t="s">
        <v>241</v>
      </c>
      <c r="E779" s="6" t="s">
        <v>389</v>
      </c>
      <c r="F779" s="6">
        <v>51</v>
      </c>
      <c r="G779" s="6" t="s">
        <v>24</v>
      </c>
      <c r="H779" s="6" t="s">
        <v>1860</v>
      </c>
      <c r="I779" s="6" t="s">
        <v>4075</v>
      </c>
      <c r="J779" s="8">
        <v>44917</v>
      </c>
      <c r="K779" s="8">
        <v>45303</v>
      </c>
      <c r="L779" s="6">
        <v>94300.800000000003</v>
      </c>
      <c r="M779" s="6">
        <v>48500.4</v>
      </c>
      <c r="N779" s="6">
        <v>750</v>
      </c>
      <c r="O779" s="6">
        <v>151000</v>
      </c>
      <c r="P779" s="6" t="s">
        <v>26</v>
      </c>
      <c r="Q779" s="6" t="s">
        <v>27</v>
      </c>
      <c r="R779" s="6">
        <v>0</v>
      </c>
      <c r="S779" s="6" t="s">
        <v>28</v>
      </c>
      <c r="T779" s="7">
        <f t="shared" si="60"/>
        <v>0.32119470198675498</v>
      </c>
      <c r="U779" s="6">
        <f t="shared" si="61"/>
        <v>3</v>
      </c>
      <c r="V779" s="5" t="str">
        <f t="shared" si="62"/>
        <v>VERY GOOD</v>
      </c>
      <c r="W779" s="6" t="str">
        <f t="shared" si="63"/>
        <v>45-54</v>
      </c>
      <c r="X779" s="6" t="str">
        <f t="shared" si="64"/>
        <v>Upper-Middle</v>
      </c>
    </row>
    <row r="780" spans="1:24">
      <c r="A780" s="6" t="s">
        <v>548</v>
      </c>
      <c r="B780" s="6" t="s">
        <v>1861</v>
      </c>
      <c r="C780" s="6" t="s">
        <v>57</v>
      </c>
      <c r="D780" s="6" t="s">
        <v>22</v>
      </c>
      <c r="E780" s="6" t="s">
        <v>282</v>
      </c>
      <c r="F780" s="6">
        <v>47</v>
      </c>
      <c r="G780" s="6" t="s">
        <v>34</v>
      </c>
      <c r="H780" s="6" t="s">
        <v>1862</v>
      </c>
      <c r="I780" s="6" t="s">
        <v>3706</v>
      </c>
      <c r="J780" s="8">
        <v>45099</v>
      </c>
      <c r="K780" s="8">
        <v>45305</v>
      </c>
      <c r="L780" s="6">
        <v>33200.9</v>
      </c>
      <c r="M780" s="6">
        <v>13200.75</v>
      </c>
      <c r="N780" s="6">
        <v>770</v>
      </c>
      <c r="O780" s="6">
        <v>82000</v>
      </c>
      <c r="P780" s="6" t="s">
        <v>36</v>
      </c>
      <c r="Q780" s="6" t="s">
        <v>27</v>
      </c>
      <c r="R780" s="6">
        <v>0</v>
      </c>
      <c r="S780" s="6" t="s">
        <v>28</v>
      </c>
      <c r="T780" s="7">
        <f t="shared" si="60"/>
        <v>0.16098475609756097</v>
      </c>
      <c r="U780" s="6">
        <f t="shared" si="61"/>
        <v>1</v>
      </c>
      <c r="V780" s="5" t="str">
        <f t="shared" si="62"/>
        <v>VERY GOOD</v>
      </c>
      <c r="W780" s="6" t="str">
        <f t="shared" si="63"/>
        <v>45-54</v>
      </c>
      <c r="X780" s="6" t="str">
        <f t="shared" si="64"/>
        <v>Lower-Middle</v>
      </c>
    </row>
    <row r="781" spans="1:24">
      <c r="A781" s="6" t="s">
        <v>551</v>
      </c>
      <c r="B781" s="6" t="s">
        <v>1863</v>
      </c>
      <c r="C781" s="6" t="s">
        <v>39</v>
      </c>
      <c r="D781" s="6" t="s">
        <v>313</v>
      </c>
      <c r="E781" s="6" t="s">
        <v>385</v>
      </c>
      <c r="F781" s="6">
        <v>70</v>
      </c>
      <c r="G781" s="6" t="s">
        <v>24</v>
      </c>
      <c r="H781" s="6" t="s">
        <v>1864</v>
      </c>
      <c r="I781" s="6" t="s">
        <v>4076</v>
      </c>
      <c r="J781" s="8">
        <v>43518</v>
      </c>
      <c r="K781" s="8">
        <v>45299</v>
      </c>
      <c r="L781" s="6">
        <v>200400.25</v>
      </c>
      <c r="M781" s="6">
        <v>106000.8</v>
      </c>
      <c r="N781" s="6">
        <v>645</v>
      </c>
      <c r="O781" s="6">
        <v>222000</v>
      </c>
      <c r="P781" s="6" t="s">
        <v>76</v>
      </c>
      <c r="Q781" s="6" t="s">
        <v>27</v>
      </c>
      <c r="R781" s="6">
        <v>0</v>
      </c>
      <c r="S781" s="6" t="s">
        <v>28</v>
      </c>
      <c r="T781" s="7">
        <f t="shared" si="60"/>
        <v>0.47748108108108112</v>
      </c>
      <c r="U781" s="6">
        <f t="shared" si="61"/>
        <v>7</v>
      </c>
      <c r="V781" s="5" t="str">
        <f t="shared" si="62"/>
        <v>FAIR</v>
      </c>
      <c r="W781" s="6" t="str">
        <f t="shared" si="63"/>
        <v>55+</v>
      </c>
      <c r="X781" s="6" t="str">
        <f t="shared" si="64"/>
        <v>High</v>
      </c>
    </row>
    <row r="782" spans="1:24">
      <c r="A782" s="6" t="s">
        <v>554</v>
      </c>
      <c r="B782" s="6" t="s">
        <v>1865</v>
      </c>
      <c r="C782" s="6" t="s">
        <v>31</v>
      </c>
      <c r="D782" s="6" t="s">
        <v>214</v>
      </c>
      <c r="E782" s="6" t="s">
        <v>215</v>
      </c>
      <c r="F782" s="6">
        <v>43</v>
      </c>
      <c r="G782" s="6" t="s">
        <v>34</v>
      </c>
      <c r="H782" s="6" t="s">
        <v>1866</v>
      </c>
      <c r="I782" s="6" t="s">
        <v>4077</v>
      </c>
      <c r="J782" s="8">
        <v>45410</v>
      </c>
      <c r="K782" s="8">
        <v>45306</v>
      </c>
      <c r="L782" s="6">
        <v>27200.5</v>
      </c>
      <c r="M782" s="6">
        <v>12800.4</v>
      </c>
      <c r="N782" s="6">
        <v>720</v>
      </c>
      <c r="O782" s="6">
        <v>59000</v>
      </c>
      <c r="P782" s="6" t="s">
        <v>36</v>
      </c>
      <c r="Q782" s="6" t="s">
        <v>27</v>
      </c>
      <c r="R782" s="6">
        <v>0</v>
      </c>
      <c r="S782" s="6" t="s">
        <v>28</v>
      </c>
      <c r="T782" s="7">
        <f t="shared" si="60"/>
        <v>0.21695593220338982</v>
      </c>
      <c r="U782" s="6">
        <f t="shared" si="61"/>
        <v>0</v>
      </c>
      <c r="V782" s="5" t="str">
        <f t="shared" si="62"/>
        <v>GOOD</v>
      </c>
      <c r="W782" s="6" t="str">
        <f t="shared" si="63"/>
        <v>35-44</v>
      </c>
      <c r="X782" s="6" t="str">
        <f t="shared" si="64"/>
        <v>Low</v>
      </c>
    </row>
    <row r="783" spans="1:24">
      <c r="A783" s="6" t="s">
        <v>108</v>
      </c>
      <c r="B783" s="6" t="s">
        <v>1867</v>
      </c>
      <c r="C783" s="6" t="s">
        <v>84</v>
      </c>
      <c r="D783" s="6" t="s">
        <v>32</v>
      </c>
      <c r="E783" s="6" t="s">
        <v>33</v>
      </c>
      <c r="F783" s="6">
        <v>39</v>
      </c>
      <c r="G783" s="6" t="s">
        <v>24</v>
      </c>
      <c r="H783" s="6" t="s">
        <v>1868</v>
      </c>
      <c r="I783" s="6" t="s">
        <v>3634</v>
      </c>
      <c r="J783" s="8">
        <v>45410</v>
      </c>
      <c r="K783" s="8">
        <v>45304</v>
      </c>
      <c r="L783" s="6">
        <v>3550.8</v>
      </c>
      <c r="M783" s="6">
        <v>12000.25</v>
      </c>
      <c r="N783" s="6">
        <v>605</v>
      </c>
      <c r="O783" s="6">
        <v>35000</v>
      </c>
      <c r="P783" s="6" t="s">
        <v>76</v>
      </c>
      <c r="Q783" s="6" t="s">
        <v>43</v>
      </c>
      <c r="R783" s="6">
        <v>0</v>
      </c>
      <c r="S783" s="6" t="s">
        <v>28</v>
      </c>
      <c r="T783" s="7">
        <f t="shared" si="60"/>
        <v>0.34286428571428573</v>
      </c>
      <c r="U783" s="6">
        <f t="shared" si="61"/>
        <v>2</v>
      </c>
      <c r="V783" s="5" t="str">
        <f t="shared" si="62"/>
        <v>FAIR</v>
      </c>
      <c r="W783" s="6" t="str">
        <f t="shared" si="63"/>
        <v>35-44</v>
      </c>
      <c r="X783" s="6" t="str">
        <f t="shared" si="64"/>
        <v>Low</v>
      </c>
    </row>
    <row r="784" spans="1:24">
      <c r="A784" s="6" t="s">
        <v>559</v>
      </c>
      <c r="B784" s="6" t="s">
        <v>1869</v>
      </c>
      <c r="C784" s="6" t="s">
        <v>46</v>
      </c>
      <c r="D784" s="6" t="s">
        <v>254</v>
      </c>
      <c r="E784" s="6" t="s">
        <v>255</v>
      </c>
      <c r="F784" s="6">
        <v>53</v>
      </c>
      <c r="G784" s="6" t="s">
        <v>34</v>
      </c>
      <c r="H784" s="6" t="s">
        <v>1870</v>
      </c>
      <c r="I784" s="6" t="s">
        <v>4078</v>
      </c>
      <c r="J784" s="8">
        <v>44795</v>
      </c>
      <c r="K784" s="8">
        <v>45302</v>
      </c>
      <c r="L784" s="6">
        <v>81000.399999999994</v>
      </c>
      <c r="M784" s="6">
        <v>43200.75</v>
      </c>
      <c r="N784" s="6">
        <v>710</v>
      </c>
      <c r="O784" s="6">
        <v>133000</v>
      </c>
      <c r="P784" s="6" t="s">
        <v>26</v>
      </c>
      <c r="Q784" s="6" t="s">
        <v>27</v>
      </c>
      <c r="R784" s="6">
        <v>0</v>
      </c>
      <c r="S784" s="6" t="s">
        <v>28</v>
      </c>
      <c r="T784" s="7">
        <f t="shared" si="60"/>
        <v>0.32481766917293231</v>
      </c>
      <c r="U784" s="6">
        <f t="shared" si="61"/>
        <v>4</v>
      </c>
      <c r="V784" s="5" t="str">
        <f t="shared" si="62"/>
        <v>GOOD</v>
      </c>
      <c r="W784" s="6" t="str">
        <f t="shared" si="63"/>
        <v>45-54</v>
      </c>
      <c r="X784" s="6" t="str">
        <f t="shared" si="64"/>
        <v>Upper-Middle</v>
      </c>
    </row>
    <row r="785" spans="1:24">
      <c r="A785" s="6" t="s">
        <v>562</v>
      </c>
      <c r="B785" s="6" t="s">
        <v>1871</v>
      </c>
      <c r="C785" s="6" t="s">
        <v>39</v>
      </c>
      <c r="D785" s="6" t="s">
        <v>47</v>
      </c>
      <c r="E785" s="6" t="s">
        <v>48</v>
      </c>
      <c r="F785" s="6">
        <v>67</v>
      </c>
      <c r="G785" s="6" t="s">
        <v>24</v>
      </c>
      <c r="H785" s="6" t="s">
        <v>1872</v>
      </c>
      <c r="I785" s="6" t="s">
        <v>3867</v>
      </c>
      <c r="J785" s="8">
        <v>43668</v>
      </c>
      <c r="K785" s="8">
        <v>45300</v>
      </c>
      <c r="L785" s="6">
        <v>180600.6</v>
      </c>
      <c r="M785" s="6">
        <v>99000.25</v>
      </c>
      <c r="N785" s="6">
        <v>675</v>
      </c>
      <c r="O785" s="6">
        <v>202000</v>
      </c>
      <c r="P785" s="6" t="s">
        <v>76</v>
      </c>
      <c r="Q785" s="6" t="s">
        <v>27</v>
      </c>
      <c r="R785" s="6">
        <v>0</v>
      </c>
      <c r="S785" s="6" t="s">
        <v>28</v>
      </c>
      <c r="T785" s="7">
        <f t="shared" si="60"/>
        <v>0.49010024752475245</v>
      </c>
      <c r="U785" s="6">
        <f t="shared" si="61"/>
        <v>6</v>
      </c>
      <c r="V785" s="5" t="str">
        <f t="shared" si="62"/>
        <v>GOOD</v>
      </c>
      <c r="W785" s="6" t="str">
        <f t="shared" si="63"/>
        <v>55+</v>
      </c>
      <c r="X785" s="6" t="str">
        <f t="shared" si="64"/>
        <v>High</v>
      </c>
    </row>
    <row r="786" spans="1:24">
      <c r="A786" s="6" t="s">
        <v>565</v>
      </c>
      <c r="B786" s="6" t="s">
        <v>1873</v>
      </c>
      <c r="C786" s="6" t="s">
        <v>52</v>
      </c>
      <c r="D786" s="6" t="s">
        <v>233</v>
      </c>
      <c r="E786" s="6" t="s">
        <v>234</v>
      </c>
      <c r="F786" s="6">
        <v>52</v>
      </c>
      <c r="G786" s="6" t="s">
        <v>34</v>
      </c>
      <c r="H786" s="6" t="s">
        <v>1874</v>
      </c>
      <c r="I786" s="6" t="s">
        <v>3557</v>
      </c>
      <c r="J786" s="8">
        <v>44583</v>
      </c>
      <c r="K786" s="8">
        <v>45301</v>
      </c>
      <c r="L786" s="6">
        <v>57400.75</v>
      </c>
      <c r="M786" s="6">
        <v>34300.800000000003</v>
      </c>
      <c r="N786" s="6">
        <v>725</v>
      </c>
      <c r="O786" s="6">
        <v>99000</v>
      </c>
      <c r="P786" s="6" t="s">
        <v>26</v>
      </c>
      <c r="Q786" s="6" t="s">
        <v>27</v>
      </c>
      <c r="R786" s="6">
        <v>0</v>
      </c>
      <c r="S786" s="6" t="s">
        <v>28</v>
      </c>
      <c r="T786" s="7">
        <f t="shared" si="60"/>
        <v>0.34647272727272732</v>
      </c>
      <c r="U786" s="6">
        <f t="shared" si="61"/>
        <v>5</v>
      </c>
      <c r="V786" s="5" t="str">
        <f t="shared" si="62"/>
        <v>GOOD</v>
      </c>
      <c r="W786" s="6" t="str">
        <f t="shared" si="63"/>
        <v>45-54</v>
      </c>
      <c r="X786" s="6" t="str">
        <f t="shared" si="64"/>
        <v>Lower-Middle</v>
      </c>
    </row>
    <row r="787" spans="1:24">
      <c r="A787" s="6" t="s">
        <v>568</v>
      </c>
      <c r="B787" s="6" t="s">
        <v>1875</v>
      </c>
      <c r="C787" s="6" t="s">
        <v>57</v>
      </c>
      <c r="D787" s="6" t="s">
        <v>79</v>
      </c>
      <c r="E787" s="6" t="s">
        <v>80</v>
      </c>
      <c r="F787" s="6">
        <v>50</v>
      </c>
      <c r="G787" s="6" t="s">
        <v>24</v>
      </c>
      <c r="H787" s="6" t="s">
        <v>1876</v>
      </c>
      <c r="I787" s="6" t="s">
        <v>3519</v>
      </c>
      <c r="J787" s="8">
        <v>45038</v>
      </c>
      <c r="K787" s="8">
        <v>45303</v>
      </c>
      <c r="L787" s="6">
        <v>35400.400000000001</v>
      </c>
      <c r="M787" s="6">
        <v>14000.9</v>
      </c>
      <c r="N787" s="6">
        <v>740</v>
      </c>
      <c r="O787" s="6">
        <v>85000</v>
      </c>
      <c r="P787" s="6" t="s">
        <v>36</v>
      </c>
      <c r="Q787" s="6" t="s">
        <v>27</v>
      </c>
      <c r="R787" s="6">
        <v>0</v>
      </c>
      <c r="S787" s="6" t="s">
        <v>28</v>
      </c>
      <c r="T787" s="7">
        <f t="shared" si="60"/>
        <v>0.1647164705882353</v>
      </c>
      <c r="U787" s="6">
        <f t="shared" si="61"/>
        <v>3</v>
      </c>
      <c r="V787" s="5" t="str">
        <f t="shared" si="62"/>
        <v>GOOD</v>
      </c>
      <c r="W787" s="6" t="str">
        <f t="shared" si="63"/>
        <v>45-54</v>
      </c>
      <c r="X787" s="6" t="str">
        <f t="shared" si="64"/>
        <v>Lower-Middle</v>
      </c>
    </row>
    <row r="788" spans="1:24">
      <c r="A788" s="6" t="s">
        <v>571</v>
      </c>
      <c r="B788" s="6" t="s">
        <v>1877</v>
      </c>
      <c r="C788" s="6" t="s">
        <v>21</v>
      </c>
      <c r="D788" s="6" t="s">
        <v>63</v>
      </c>
      <c r="E788" s="6" t="s">
        <v>3514</v>
      </c>
      <c r="F788" s="6">
        <v>73</v>
      </c>
      <c r="G788" s="6" t="s">
        <v>34</v>
      </c>
      <c r="H788" s="6" t="s">
        <v>1878</v>
      </c>
      <c r="I788" s="6" t="s">
        <v>4079</v>
      </c>
      <c r="J788" s="8">
        <v>43212</v>
      </c>
      <c r="K788" s="8">
        <v>45299</v>
      </c>
      <c r="L788" s="6">
        <v>269500.90000000002</v>
      </c>
      <c r="M788" s="6">
        <v>89000.6</v>
      </c>
      <c r="N788" s="6">
        <v>830</v>
      </c>
      <c r="O788" s="6">
        <v>297000</v>
      </c>
      <c r="P788" s="6" t="s">
        <v>36</v>
      </c>
      <c r="Q788" s="6" t="s">
        <v>27</v>
      </c>
      <c r="R788" s="6">
        <v>0</v>
      </c>
      <c r="S788" s="6" t="s">
        <v>28</v>
      </c>
      <c r="T788" s="7">
        <f t="shared" si="60"/>
        <v>0.29966531986531991</v>
      </c>
      <c r="U788" s="6">
        <f t="shared" si="61"/>
        <v>7</v>
      </c>
      <c r="V788" s="5" t="str">
        <f t="shared" si="62"/>
        <v>EXCEPTIONAL</v>
      </c>
      <c r="W788" s="6" t="str">
        <f t="shared" si="63"/>
        <v>55+</v>
      </c>
      <c r="X788" s="6" t="str">
        <f t="shared" si="64"/>
        <v>High</v>
      </c>
    </row>
    <row r="789" spans="1:24">
      <c r="A789" s="6" t="s">
        <v>574</v>
      </c>
      <c r="B789" s="6" t="s">
        <v>1879</v>
      </c>
      <c r="C789" s="6" t="s">
        <v>39</v>
      </c>
      <c r="D789" s="6" t="s">
        <v>68</v>
      </c>
      <c r="E789" s="6" t="s">
        <v>179</v>
      </c>
      <c r="F789" s="6">
        <v>65</v>
      </c>
      <c r="G789" s="6" t="s">
        <v>24</v>
      </c>
      <c r="H789" s="6" t="s">
        <v>1880</v>
      </c>
      <c r="I789" s="6" t="s">
        <v>4080</v>
      </c>
      <c r="J789" s="8">
        <v>43811</v>
      </c>
      <c r="K789" s="8">
        <v>45300</v>
      </c>
      <c r="L789" s="6">
        <v>158400.25</v>
      </c>
      <c r="M789" s="6">
        <v>91000.4</v>
      </c>
      <c r="N789" s="6">
        <v>655</v>
      </c>
      <c r="O789" s="6">
        <v>187000</v>
      </c>
      <c r="P789" s="6" t="s">
        <v>76</v>
      </c>
      <c r="Q789" s="6" t="s">
        <v>27</v>
      </c>
      <c r="R789" s="6">
        <v>0</v>
      </c>
      <c r="S789" s="6" t="s">
        <v>28</v>
      </c>
      <c r="T789" s="7">
        <f t="shared" si="60"/>
        <v>0.48663315508021388</v>
      </c>
      <c r="U789" s="6">
        <f t="shared" si="61"/>
        <v>6</v>
      </c>
      <c r="V789" s="5" t="str">
        <f t="shared" si="62"/>
        <v>FAIR</v>
      </c>
      <c r="W789" s="6" t="str">
        <f t="shared" si="63"/>
        <v>55+</v>
      </c>
      <c r="X789" s="6" t="str">
        <f t="shared" si="64"/>
        <v>Upper-Middle</v>
      </c>
    </row>
    <row r="790" spans="1:24">
      <c r="A790" s="6" t="s">
        <v>577</v>
      </c>
      <c r="B790" s="6" t="s">
        <v>1881</v>
      </c>
      <c r="C790" s="6" t="s">
        <v>46</v>
      </c>
      <c r="D790" s="6" t="s">
        <v>85</v>
      </c>
      <c r="E790" s="6" t="s">
        <v>86</v>
      </c>
      <c r="F790" s="6">
        <v>54</v>
      </c>
      <c r="G790" s="6" t="s">
        <v>34</v>
      </c>
      <c r="H790" s="6" t="s">
        <v>1882</v>
      </c>
      <c r="I790" s="6" t="s">
        <v>3968</v>
      </c>
      <c r="J790" s="8">
        <v>44703</v>
      </c>
      <c r="K790" s="8">
        <v>45302</v>
      </c>
      <c r="L790" s="6">
        <v>99900.6</v>
      </c>
      <c r="M790" s="6">
        <v>51200.75</v>
      </c>
      <c r="N790" s="6">
        <v>760</v>
      </c>
      <c r="O790" s="6">
        <v>156000</v>
      </c>
      <c r="P790" s="6" t="s">
        <v>26</v>
      </c>
      <c r="Q790" s="6" t="s">
        <v>27</v>
      </c>
      <c r="R790" s="6">
        <v>0</v>
      </c>
      <c r="S790" s="6" t="s">
        <v>28</v>
      </c>
      <c r="T790" s="7">
        <f t="shared" si="60"/>
        <v>0.32820993589743591</v>
      </c>
      <c r="U790" s="6">
        <f t="shared" si="61"/>
        <v>4</v>
      </c>
      <c r="V790" s="5" t="str">
        <f t="shared" si="62"/>
        <v>VERY GOOD</v>
      </c>
      <c r="W790" s="6" t="str">
        <f t="shared" si="63"/>
        <v>45-54</v>
      </c>
      <c r="X790" s="6" t="str">
        <f t="shared" si="64"/>
        <v>Upper-Middle</v>
      </c>
    </row>
    <row r="791" spans="1:24">
      <c r="A791" s="6" t="s">
        <v>458</v>
      </c>
      <c r="B791" s="6" t="s">
        <v>1883</v>
      </c>
      <c r="C791" s="6" t="s">
        <v>31</v>
      </c>
      <c r="D791" s="6" t="s">
        <v>460</v>
      </c>
      <c r="E791" s="6" t="s">
        <v>461</v>
      </c>
      <c r="F791" s="6">
        <v>45</v>
      </c>
      <c r="G791" s="6" t="s">
        <v>24</v>
      </c>
      <c r="H791" s="6" t="s">
        <v>1884</v>
      </c>
      <c r="I791" s="6" t="s">
        <v>4081</v>
      </c>
      <c r="J791" s="8">
        <v>45410</v>
      </c>
      <c r="K791" s="8">
        <v>45306</v>
      </c>
      <c r="L791" s="6">
        <v>16900.25</v>
      </c>
      <c r="M791" s="6">
        <v>10000.799999999999</v>
      </c>
      <c r="N791" s="6">
        <v>695</v>
      </c>
      <c r="O791" s="6">
        <v>56000</v>
      </c>
      <c r="P791" s="6" t="s">
        <v>26</v>
      </c>
      <c r="Q791" s="6" t="s">
        <v>43</v>
      </c>
      <c r="R791" s="6">
        <v>0</v>
      </c>
      <c r="S791" s="6" t="s">
        <v>28</v>
      </c>
      <c r="T791" s="7">
        <f t="shared" si="60"/>
        <v>0.17858571428571426</v>
      </c>
      <c r="U791" s="6">
        <f t="shared" si="61"/>
        <v>0</v>
      </c>
      <c r="V791" s="5" t="str">
        <f t="shared" si="62"/>
        <v>GOOD</v>
      </c>
      <c r="W791" s="6" t="str">
        <f t="shared" si="63"/>
        <v>45-54</v>
      </c>
      <c r="X791" s="6" t="str">
        <f t="shared" si="64"/>
        <v>Low</v>
      </c>
    </row>
    <row r="792" spans="1:24">
      <c r="A792" s="6" t="s">
        <v>582</v>
      </c>
      <c r="B792" s="6" t="s">
        <v>1885</v>
      </c>
      <c r="C792" s="6" t="s">
        <v>57</v>
      </c>
      <c r="D792" s="6" t="s">
        <v>22</v>
      </c>
      <c r="E792" s="6" t="s">
        <v>53</v>
      </c>
      <c r="F792" s="6">
        <v>48</v>
      </c>
      <c r="G792" s="6" t="s">
        <v>34</v>
      </c>
      <c r="H792" s="6" t="s">
        <v>1886</v>
      </c>
      <c r="I792" s="6" t="s">
        <v>4008</v>
      </c>
      <c r="J792" s="8">
        <v>44979</v>
      </c>
      <c r="K792" s="8">
        <v>45303</v>
      </c>
      <c r="L792" s="6">
        <v>34300.9</v>
      </c>
      <c r="M792" s="6">
        <v>13600.25</v>
      </c>
      <c r="N792" s="6">
        <v>755</v>
      </c>
      <c r="O792" s="6">
        <v>78000</v>
      </c>
      <c r="P792" s="6" t="s">
        <v>36</v>
      </c>
      <c r="Q792" s="6" t="s">
        <v>27</v>
      </c>
      <c r="R792" s="6">
        <v>0</v>
      </c>
      <c r="S792" s="6" t="s">
        <v>28</v>
      </c>
      <c r="T792" s="7">
        <f t="shared" si="60"/>
        <v>0.1743621794871795</v>
      </c>
      <c r="U792" s="6">
        <f t="shared" si="61"/>
        <v>3</v>
      </c>
      <c r="V792" s="5" t="str">
        <f t="shared" si="62"/>
        <v>VERY GOOD</v>
      </c>
      <c r="W792" s="6" t="str">
        <f t="shared" si="63"/>
        <v>45-54</v>
      </c>
      <c r="X792" s="6" t="str">
        <f t="shared" si="64"/>
        <v>Lower-Middle</v>
      </c>
    </row>
    <row r="793" spans="1:24">
      <c r="A793" s="6" t="s">
        <v>55</v>
      </c>
      <c r="B793" s="6" t="s">
        <v>1887</v>
      </c>
      <c r="C793" s="6" t="s">
        <v>39</v>
      </c>
      <c r="D793" s="6" t="s">
        <v>58</v>
      </c>
      <c r="E793" s="6" t="s">
        <v>122</v>
      </c>
      <c r="F793" s="6">
        <v>66</v>
      </c>
      <c r="G793" s="6" t="s">
        <v>24</v>
      </c>
      <c r="H793" s="6" t="s">
        <v>1888</v>
      </c>
      <c r="I793" s="6" t="s">
        <v>3873</v>
      </c>
      <c r="J793" s="8">
        <v>43730</v>
      </c>
      <c r="K793" s="8">
        <v>45300</v>
      </c>
      <c r="L793" s="6">
        <v>191300.4</v>
      </c>
      <c r="M793" s="6">
        <v>104000.75</v>
      </c>
      <c r="N793" s="6">
        <v>685</v>
      </c>
      <c r="O793" s="6">
        <v>212000</v>
      </c>
      <c r="P793" s="6" t="s">
        <v>76</v>
      </c>
      <c r="Q793" s="6" t="s">
        <v>27</v>
      </c>
      <c r="R793" s="6">
        <v>0</v>
      </c>
      <c r="S793" s="6" t="s">
        <v>28</v>
      </c>
      <c r="T793" s="7">
        <f t="shared" si="60"/>
        <v>0.4905695754716981</v>
      </c>
      <c r="U793" s="6">
        <f t="shared" si="61"/>
        <v>6</v>
      </c>
      <c r="V793" s="5" t="str">
        <f t="shared" si="62"/>
        <v>GOOD</v>
      </c>
      <c r="W793" s="6" t="str">
        <f t="shared" si="63"/>
        <v>55+</v>
      </c>
      <c r="X793" s="6" t="str">
        <f t="shared" si="64"/>
        <v>High</v>
      </c>
    </row>
    <row r="794" spans="1:24">
      <c r="A794" s="6" t="s">
        <v>469</v>
      </c>
      <c r="B794" s="6" t="s">
        <v>1889</v>
      </c>
      <c r="C794" s="6" t="s">
        <v>52</v>
      </c>
      <c r="D794" s="6" t="s">
        <v>471</v>
      </c>
      <c r="E794" s="6" t="s">
        <v>472</v>
      </c>
      <c r="F794" s="6">
        <v>57</v>
      </c>
      <c r="G794" s="6" t="s">
        <v>34</v>
      </c>
      <c r="H794" s="6" t="s">
        <v>1890</v>
      </c>
      <c r="I794" s="6" t="s">
        <v>4082</v>
      </c>
      <c r="J794" s="8">
        <v>44369</v>
      </c>
      <c r="K794" s="8">
        <v>45301</v>
      </c>
      <c r="L794" s="6">
        <v>64300.800000000003</v>
      </c>
      <c r="M794" s="6">
        <v>37400.6</v>
      </c>
      <c r="N794" s="6">
        <v>715</v>
      </c>
      <c r="O794" s="6">
        <v>111000</v>
      </c>
      <c r="P794" s="6" t="s">
        <v>26</v>
      </c>
      <c r="Q794" s="6" t="s">
        <v>27</v>
      </c>
      <c r="R794" s="6">
        <v>0</v>
      </c>
      <c r="S794" s="6" t="s">
        <v>28</v>
      </c>
      <c r="T794" s="7">
        <f t="shared" si="60"/>
        <v>0.33694234234234233</v>
      </c>
      <c r="U794" s="6">
        <f t="shared" si="61"/>
        <v>5</v>
      </c>
      <c r="V794" s="5" t="str">
        <f t="shared" si="62"/>
        <v>GOOD</v>
      </c>
      <c r="W794" s="6" t="str">
        <f t="shared" si="63"/>
        <v>55+</v>
      </c>
      <c r="X794" s="6" t="str">
        <f t="shared" si="64"/>
        <v>Lower-Middle</v>
      </c>
    </row>
    <row r="795" spans="1:24">
      <c r="A795" s="6" t="s">
        <v>474</v>
      </c>
      <c r="B795" s="6" t="s">
        <v>1891</v>
      </c>
      <c r="C795" s="6" t="s">
        <v>46</v>
      </c>
      <c r="D795" s="6" t="s">
        <v>345</v>
      </c>
      <c r="E795" s="6" t="s">
        <v>476</v>
      </c>
      <c r="F795" s="6">
        <v>60</v>
      </c>
      <c r="G795" s="6" t="s">
        <v>24</v>
      </c>
      <c r="H795" s="6" t="s">
        <v>1892</v>
      </c>
      <c r="I795" s="6" t="s">
        <v>3875</v>
      </c>
      <c r="J795" s="8">
        <v>44277</v>
      </c>
      <c r="K795" s="8">
        <v>45302</v>
      </c>
      <c r="L795" s="6">
        <v>92100.25</v>
      </c>
      <c r="M795" s="6">
        <v>47400.4</v>
      </c>
      <c r="N795" s="6">
        <v>680</v>
      </c>
      <c r="O795" s="6">
        <v>140000</v>
      </c>
      <c r="P795" s="6" t="s">
        <v>26</v>
      </c>
      <c r="Q795" s="6" t="s">
        <v>27</v>
      </c>
      <c r="R795" s="6">
        <v>0</v>
      </c>
      <c r="S795" s="6" t="s">
        <v>28</v>
      </c>
      <c r="T795" s="7">
        <f t="shared" si="60"/>
        <v>0.33857428571428572</v>
      </c>
      <c r="U795" s="6">
        <f t="shared" si="61"/>
        <v>4</v>
      </c>
      <c r="V795" s="5" t="str">
        <f t="shared" si="62"/>
        <v>GOOD</v>
      </c>
      <c r="W795" s="6" t="str">
        <f t="shared" si="63"/>
        <v>55+</v>
      </c>
      <c r="X795" s="6" t="str">
        <f t="shared" si="64"/>
        <v>Upper-Middle</v>
      </c>
    </row>
    <row r="796" spans="1:24">
      <c r="A796" s="6" t="s">
        <v>592</v>
      </c>
      <c r="B796" s="6" t="s">
        <v>1893</v>
      </c>
      <c r="C796" s="6" t="s">
        <v>84</v>
      </c>
      <c r="D796" s="6" t="s">
        <v>32</v>
      </c>
      <c r="E796" s="6" t="s">
        <v>90</v>
      </c>
      <c r="F796" s="6">
        <v>40</v>
      </c>
      <c r="G796" s="6" t="s">
        <v>34</v>
      </c>
      <c r="H796" s="6" t="s">
        <v>1894</v>
      </c>
      <c r="I796" s="6" t="s">
        <v>3667</v>
      </c>
      <c r="J796" s="8">
        <v>45417</v>
      </c>
      <c r="K796" s="8">
        <v>45304</v>
      </c>
      <c r="L796" s="6">
        <v>3650.4</v>
      </c>
      <c r="M796" s="6">
        <v>12600.75</v>
      </c>
      <c r="N796" s="6">
        <v>610</v>
      </c>
      <c r="O796" s="6">
        <v>36000</v>
      </c>
      <c r="P796" s="6" t="s">
        <v>76</v>
      </c>
      <c r="Q796" s="6" t="s">
        <v>43</v>
      </c>
      <c r="R796" s="6">
        <v>0</v>
      </c>
      <c r="S796" s="6" t="s">
        <v>28</v>
      </c>
      <c r="T796" s="7">
        <f t="shared" si="60"/>
        <v>0.35002083333333334</v>
      </c>
      <c r="U796" s="6">
        <f t="shared" si="61"/>
        <v>2</v>
      </c>
      <c r="V796" s="5" t="str">
        <f t="shared" si="62"/>
        <v>FAIR</v>
      </c>
      <c r="W796" s="6" t="str">
        <f t="shared" si="63"/>
        <v>35-44</v>
      </c>
      <c r="X796" s="6" t="str">
        <f t="shared" si="64"/>
        <v>Low</v>
      </c>
    </row>
    <row r="797" spans="1:24">
      <c r="A797" s="6" t="s">
        <v>595</v>
      </c>
      <c r="B797" s="6" t="s">
        <v>1895</v>
      </c>
      <c r="C797" s="6" t="s">
        <v>21</v>
      </c>
      <c r="D797" s="6" t="s">
        <v>209</v>
      </c>
      <c r="E797" s="6" t="s">
        <v>210</v>
      </c>
      <c r="F797" s="6">
        <v>72</v>
      </c>
      <c r="G797" s="6" t="s">
        <v>24</v>
      </c>
      <c r="H797" s="6" t="s">
        <v>1896</v>
      </c>
      <c r="I797" s="6" t="s">
        <v>4072</v>
      </c>
      <c r="J797" s="8">
        <v>43426</v>
      </c>
      <c r="K797" s="8">
        <v>45299</v>
      </c>
      <c r="L797" s="6">
        <v>289300.8</v>
      </c>
      <c r="M797" s="6">
        <v>95000.25</v>
      </c>
      <c r="N797" s="6">
        <v>825</v>
      </c>
      <c r="O797" s="6">
        <v>292000</v>
      </c>
      <c r="P797" s="6" t="s">
        <v>36</v>
      </c>
      <c r="Q797" s="6" t="s">
        <v>27</v>
      </c>
      <c r="R797" s="6">
        <v>0</v>
      </c>
      <c r="S797" s="6" t="s">
        <v>28</v>
      </c>
      <c r="T797" s="7">
        <f t="shared" si="60"/>
        <v>0.32534332191780824</v>
      </c>
      <c r="U797" s="6">
        <f t="shared" si="61"/>
        <v>7</v>
      </c>
      <c r="V797" s="5" t="str">
        <f t="shared" si="62"/>
        <v>EXCEPTIONAL</v>
      </c>
      <c r="W797" s="6" t="str">
        <f t="shared" si="63"/>
        <v>55+</v>
      </c>
      <c r="X797" s="6" t="str">
        <f t="shared" si="64"/>
        <v>High</v>
      </c>
    </row>
    <row r="798" spans="1:24">
      <c r="A798" s="6" t="s">
        <v>226</v>
      </c>
      <c r="B798" s="6" t="s">
        <v>1897</v>
      </c>
      <c r="C798" s="6" t="s">
        <v>57</v>
      </c>
      <c r="D798" s="6" t="s">
        <v>228</v>
      </c>
      <c r="E798" s="6" t="s">
        <v>229</v>
      </c>
      <c r="F798" s="6">
        <v>47</v>
      </c>
      <c r="G798" s="6" t="s">
        <v>34</v>
      </c>
      <c r="H798" s="6" t="s">
        <v>1898</v>
      </c>
      <c r="I798" s="6" t="s">
        <v>4083</v>
      </c>
      <c r="J798" s="8">
        <v>45160</v>
      </c>
      <c r="K798" s="8">
        <v>45305</v>
      </c>
      <c r="L798" s="6">
        <v>31000.75</v>
      </c>
      <c r="M798" s="6">
        <v>12000.4</v>
      </c>
      <c r="N798" s="6">
        <v>725</v>
      </c>
      <c r="O798" s="6">
        <v>68000</v>
      </c>
      <c r="P798" s="6" t="s">
        <v>36</v>
      </c>
      <c r="Q798" s="6" t="s">
        <v>27</v>
      </c>
      <c r="R798" s="6">
        <v>0</v>
      </c>
      <c r="S798" s="6" t="s">
        <v>28</v>
      </c>
      <c r="T798" s="7">
        <f t="shared" si="60"/>
        <v>0.17647647058823529</v>
      </c>
      <c r="U798" s="6">
        <f t="shared" si="61"/>
        <v>1</v>
      </c>
      <c r="V798" s="5" t="str">
        <f t="shared" si="62"/>
        <v>GOOD</v>
      </c>
      <c r="W798" s="6" t="str">
        <f t="shared" si="63"/>
        <v>45-54</v>
      </c>
      <c r="X798" s="6" t="str">
        <f t="shared" si="64"/>
        <v>Low</v>
      </c>
    </row>
    <row r="799" spans="1:24">
      <c r="A799" s="6" t="s">
        <v>488</v>
      </c>
      <c r="B799" s="6" t="s">
        <v>1899</v>
      </c>
      <c r="C799" s="6" t="s">
        <v>39</v>
      </c>
      <c r="D799" s="6" t="s">
        <v>304</v>
      </c>
      <c r="E799" s="6" t="s">
        <v>304</v>
      </c>
      <c r="F799" s="6">
        <v>64</v>
      </c>
      <c r="G799" s="6" t="s">
        <v>24</v>
      </c>
      <c r="H799" s="6" t="s">
        <v>1900</v>
      </c>
      <c r="I799" s="6" t="s">
        <v>4084</v>
      </c>
      <c r="J799" s="8">
        <v>43902</v>
      </c>
      <c r="K799" s="8">
        <v>45300</v>
      </c>
      <c r="L799" s="6">
        <v>169500.6</v>
      </c>
      <c r="M799" s="6">
        <v>95000.9</v>
      </c>
      <c r="N799" s="6">
        <v>675</v>
      </c>
      <c r="O799" s="6">
        <v>192000</v>
      </c>
      <c r="P799" s="6" t="s">
        <v>76</v>
      </c>
      <c r="Q799" s="6" t="s">
        <v>27</v>
      </c>
      <c r="R799" s="6">
        <v>0</v>
      </c>
      <c r="S799" s="6" t="s">
        <v>28</v>
      </c>
      <c r="T799" s="7">
        <f t="shared" si="60"/>
        <v>0.49479635416666662</v>
      </c>
      <c r="U799" s="6">
        <f t="shared" si="61"/>
        <v>6</v>
      </c>
      <c r="V799" s="5" t="str">
        <f t="shared" si="62"/>
        <v>GOOD</v>
      </c>
      <c r="W799" s="6" t="str">
        <f t="shared" si="63"/>
        <v>55+</v>
      </c>
      <c r="X799" s="6" t="str">
        <f t="shared" si="64"/>
        <v>High</v>
      </c>
    </row>
    <row r="800" spans="1:24">
      <c r="A800" s="6" t="s">
        <v>491</v>
      </c>
      <c r="B800" s="6" t="s">
        <v>1901</v>
      </c>
      <c r="C800" s="6" t="s">
        <v>52</v>
      </c>
      <c r="D800" s="6" t="s">
        <v>493</v>
      </c>
      <c r="E800" s="6" t="s">
        <v>494</v>
      </c>
      <c r="F800" s="6">
        <v>55</v>
      </c>
      <c r="G800" s="6" t="s">
        <v>34</v>
      </c>
      <c r="H800" s="6" t="s">
        <v>1902</v>
      </c>
      <c r="I800" s="6" t="s">
        <v>4085</v>
      </c>
      <c r="J800" s="8">
        <v>44673</v>
      </c>
      <c r="K800" s="8">
        <v>45302</v>
      </c>
      <c r="L800" s="6">
        <v>58500.4</v>
      </c>
      <c r="M800" s="6">
        <v>33200.25</v>
      </c>
      <c r="N800" s="6">
        <v>705</v>
      </c>
      <c r="O800" s="6">
        <v>100000</v>
      </c>
      <c r="P800" s="6" t="s">
        <v>26</v>
      </c>
      <c r="Q800" s="6" t="s">
        <v>27</v>
      </c>
      <c r="R800" s="6">
        <v>0</v>
      </c>
      <c r="S800" s="6" t="s">
        <v>28</v>
      </c>
      <c r="T800" s="7">
        <f t="shared" si="60"/>
        <v>0.33200249999999998</v>
      </c>
      <c r="U800" s="6">
        <f t="shared" si="61"/>
        <v>4</v>
      </c>
      <c r="V800" s="5" t="str">
        <f t="shared" si="62"/>
        <v>GOOD</v>
      </c>
      <c r="W800" s="6" t="str">
        <f t="shared" si="63"/>
        <v>55+</v>
      </c>
      <c r="X800" s="6" t="str">
        <f t="shared" si="64"/>
        <v>Lower-Middle</v>
      </c>
    </row>
    <row r="801" spans="1:24">
      <c r="A801" s="6" t="s">
        <v>496</v>
      </c>
      <c r="B801" s="6" t="s">
        <v>1903</v>
      </c>
      <c r="C801" s="6" t="s">
        <v>46</v>
      </c>
      <c r="D801" s="6" t="s">
        <v>321</v>
      </c>
      <c r="E801" s="6" t="s">
        <v>322</v>
      </c>
      <c r="F801" s="6">
        <v>58</v>
      </c>
      <c r="G801" s="6" t="s">
        <v>24</v>
      </c>
      <c r="H801" s="6" t="s">
        <v>1904</v>
      </c>
      <c r="I801" s="6" t="s">
        <v>4086</v>
      </c>
      <c r="J801" s="8">
        <v>44157</v>
      </c>
      <c r="K801" s="8">
        <v>45301</v>
      </c>
      <c r="L801" s="6">
        <v>105100.75</v>
      </c>
      <c r="M801" s="6">
        <v>54300.800000000003</v>
      </c>
      <c r="N801" s="6">
        <v>730</v>
      </c>
      <c r="O801" s="6">
        <v>166000</v>
      </c>
      <c r="P801" s="6" t="s">
        <v>26</v>
      </c>
      <c r="Q801" s="6" t="s">
        <v>27</v>
      </c>
      <c r="R801" s="6">
        <v>0</v>
      </c>
      <c r="S801" s="6" t="s">
        <v>28</v>
      </c>
      <c r="T801" s="7">
        <f t="shared" si="60"/>
        <v>0.32711325301204819</v>
      </c>
      <c r="U801" s="6">
        <f t="shared" si="61"/>
        <v>5</v>
      </c>
      <c r="V801" s="5" t="str">
        <f t="shared" si="62"/>
        <v>GOOD</v>
      </c>
      <c r="W801" s="6" t="str">
        <f t="shared" si="63"/>
        <v>55+</v>
      </c>
      <c r="X801" s="6" t="str">
        <f t="shared" si="64"/>
        <v>Upper-Middle</v>
      </c>
    </row>
    <row r="802" spans="1:24">
      <c r="A802" s="6" t="s">
        <v>324</v>
      </c>
      <c r="B802" s="6" t="s">
        <v>1905</v>
      </c>
      <c r="C802" s="6" t="s">
        <v>31</v>
      </c>
      <c r="D802" s="6" t="s">
        <v>313</v>
      </c>
      <c r="E802" s="6" t="s">
        <v>501</v>
      </c>
      <c r="F802" s="6">
        <v>43</v>
      </c>
      <c r="G802" s="6" t="s">
        <v>34</v>
      </c>
      <c r="H802" s="6" t="s">
        <v>1906</v>
      </c>
      <c r="I802" s="6" t="s">
        <v>4087</v>
      </c>
      <c r="J802" s="8">
        <v>45410</v>
      </c>
      <c r="K802" s="8">
        <v>45306</v>
      </c>
      <c r="L802" s="6">
        <v>14600.9</v>
      </c>
      <c r="M802" s="6">
        <v>8700.75</v>
      </c>
      <c r="N802" s="6">
        <v>685</v>
      </c>
      <c r="O802" s="6">
        <v>53000</v>
      </c>
      <c r="P802" s="6" t="s">
        <v>26</v>
      </c>
      <c r="Q802" s="6" t="s">
        <v>43</v>
      </c>
      <c r="R802" s="6">
        <v>0</v>
      </c>
      <c r="S802" s="6" t="s">
        <v>28</v>
      </c>
      <c r="T802" s="7">
        <f t="shared" si="60"/>
        <v>0.16416509433962265</v>
      </c>
      <c r="U802" s="6">
        <f t="shared" si="61"/>
        <v>0</v>
      </c>
      <c r="V802" s="5" t="str">
        <f t="shared" si="62"/>
        <v>GOOD</v>
      </c>
      <c r="W802" s="6" t="str">
        <f t="shared" si="63"/>
        <v>35-44</v>
      </c>
      <c r="X802" s="6" t="str">
        <f t="shared" si="64"/>
        <v>Low</v>
      </c>
    </row>
    <row r="803" spans="1:24">
      <c r="A803" s="6" t="s">
        <v>503</v>
      </c>
      <c r="B803" s="6" t="s">
        <v>1907</v>
      </c>
      <c r="C803" s="6" t="s">
        <v>21</v>
      </c>
      <c r="D803" s="6" t="s">
        <v>32</v>
      </c>
      <c r="E803" s="6" t="s">
        <v>33</v>
      </c>
      <c r="F803" s="6">
        <v>75</v>
      </c>
      <c r="G803" s="6" t="s">
        <v>24</v>
      </c>
      <c r="H803" s="6" t="s">
        <v>1908</v>
      </c>
      <c r="I803" s="6" t="s">
        <v>3881</v>
      </c>
      <c r="J803" s="8">
        <v>43153</v>
      </c>
      <c r="K803" s="8">
        <v>45299</v>
      </c>
      <c r="L803" s="6">
        <v>300200.25</v>
      </c>
      <c r="M803" s="6">
        <v>99000.4</v>
      </c>
      <c r="N803" s="6">
        <v>840</v>
      </c>
      <c r="O803" s="6">
        <v>307000</v>
      </c>
      <c r="P803" s="6" t="s">
        <v>36</v>
      </c>
      <c r="Q803" s="6" t="s">
        <v>27</v>
      </c>
      <c r="R803" s="6">
        <v>0</v>
      </c>
      <c r="S803" s="6" t="s">
        <v>28</v>
      </c>
      <c r="T803" s="7">
        <f t="shared" si="60"/>
        <v>0.32247687296416938</v>
      </c>
      <c r="U803" s="6">
        <f t="shared" si="61"/>
        <v>7</v>
      </c>
      <c r="V803" s="5" t="str">
        <f t="shared" si="62"/>
        <v>EXCEPTIONAL</v>
      </c>
      <c r="W803" s="6" t="str">
        <f t="shared" si="63"/>
        <v>55+</v>
      </c>
      <c r="X803" s="6" t="str">
        <f t="shared" si="64"/>
        <v>High</v>
      </c>
    </row>
    <row r="804" spans="1:24">
      <c r="A804" s="6" t="s">
        <v>506</v>
      </c>
      <c r="B804" s="6" t="s">
        <v>1909</v>
      </c>
      <c r="C804" s="6" t="s">
        <v>39</v>
      </c>
      <c r="D804" s="6" t="s">
        <v>68</v>
      </c>
      <c r="E804" s="6" t="s">
        <v>69</v>
      </c>
      <c r="F804" s="6">
        <v>67</v>
      </c>
      <c r="G804" s="6" t="s">
        <v>34</v>
      </c>
      <c r="H804" s="6" t="s">
        <v>1910</v>
      </c>
      <c r="I804" s="6" t="s">
        <v>4062</v>
      </c>
      <c r="J804" s="8">
        <v>43668</v>
      </c>
      <c r="K804" s="8">
        <v>45300</v>
      </c>
      <c r="L804" s="6">
        <v>180600.4</v>
      </c>
      <c r="M804" s="6">
        <v>99000.75</v>
      </c>
      <c r="N804" s="6">
        <v>650</v>
      </c>
      <c r="O804" s="6">
        <v>202000</v>
      </c>
      <c r="P804" s="6" t="s">
        <v>76</v>
      </c>
      <c r="Q804" s="6" t="s">
        <v>27</v>
      </c>
      <c r="R804" s="6">
        <v>0</v>
      </c>
      <c r="S804" s="6" t="s">
        <v>28</v>
      </c>
      <c r="T804" s="7">
        <f t="shared" si="60"/>
        <v>0.49010272277227723</v>
      </c>
      <c r="U804" s="6">
        <f t="shared" si="61"/>
        <v>6</v>
      </c>
      <c r="V804" s="5" t="str">
        <f t="shared" si="62"/>
        <v>FAIR</v>
      </c>
      <c r="W804" s="6" t="str">
        <f t="shared" si="63"/>
        <v>55+</v>
      </c>
      <c r="X804" s="6" t="str">
        <f t="shared" si="64"/>
        <v>High</v>
      </c>
    </row>
    <row r="805" spans="1:24">
      <c r="A805" s="6" t="s">
        <v>509</v>
      </c>
      <c r="B805" s="6" t="s">
        <v>1911</v>
      </c>
      <c r="C805" s="6" t="s">
        <v>46</v>
      </c>
      <c r="D805" s="6" t="s">
        <v>73</v>
      </c>
      <c r="E805" s="6" t="s">
        <v>158</v>
      </c>
      <c r="F805" s="6">
        <v>54</v>
      </c>
      <c r="G805" s="6" t="s">
        <v>24</v>
      </c>
      <c r="H805" s="6" t="s">
        <v>1912</v>
      </c>
      <c r="I805" s="6" t="s">
        <v>4088</v>
      </c>
      <c r="J805" s="8">
        <v>44887</v>
      </c>
      <c r="K805" s="8">
        <v>45303</v>
      </c>
      <c r="L805" s="6">
        <v>93200.4</v>
      </c>
      <c r="M805" s="6">
        <v>48500.25</v>
      </c>
      <c r="N805" s="6">
        <v>745</v>
      </c>
      <c r="O805" s="6">
        <v>146000</v>
      </c>
      <c r="P805" s="6" t="s">
        <v>26</v>
      </c>
      <c r="Q805" s="6" t="s">
        <v>27</v>
      </c>
      <c r="R805" s="6">
        <v>0</v>
      </c>
      <c r="S805" s="6" t="s">
        <v>28</v>
      </c>
      <c r="T805" s="7">
        <f t="shared" si="60"/>
        <v>0.33219349315068492</v>
      </c>
      <c r="U805" s="6">
        <f t="shared" si="61"/>
        <v>3</v>
      </c>
      <c r="V805" s="5" t="str">
        <f t="shared" si="62"/>
        <v>GOOD</v>
      </c>
      <c r="W805" s="6" t="str">
        <f t="shared" si="63"/>
        <v>45-54</v>
      </c>
      <c r="X805" s="6" t="str">
        <f t="shared" si="64"/>
        <v>Upper-Middle</v>
      </c>
    </row>
    <row r="806" spans="1:24">
      <c r="A806" s="6" t="s">
        <v>513</v>
      </c>
      <c r="B806" s="6" t="s">
        <v>1913</v>
      </c>
      <c r="C806" s="6" t="s">
        <v>57</v>
      </c>
      <c r="D806" s="6" t="s">
        <v>58</v>
      </c>
      <c r="E806" s="6" t="s">
        <v>122</v>
      </c>
      <c r="F806" s="6">
        <v>49</v>
      </c>
      <c r="G806" s="6" t="s">
        <v>34</v>
      </c>
      <c r="H806" s="6" t="s">
        <v>1914</v>
      </c>
      <c r="I806" s="6" t="s">
        <v>3883</v>
      </c>
      <c r="J806" s="8">
        <v>45068</v>
      </c>
      <c r="K806" s="8">
        <v>45302</v>
      </c>
      <c r="L806" s="6">
        <v>33200.800000000003</v>
      </c>
      <c r="M806" s="6">
        <v>13200.9</v>
      </c>
      <c r="N806" s="6">
        <v>765</v>
      </c>
      <c r="O806" s="6">
        <v>78000</v>
      </c>
      <c r="P806" s="6" t="s">
        <v>36</v>
      </c>
      <c r="Q806" s="6" t="s">
        <v>27</v>
      </c>
      <c r="R806" s="6">
        <v>0</v>
      </c>
      <c r="S806" s="6" t="s">
        <v>28</v>
      </c>
      <c r="T806" s="7">
        <f t="shared" si="60"/>
        <v>0.16924230769230769</v>
      </c>
      <c r="U806" s="6">
        <f t="shared" si="61"/>
        <v>4</v>
      </c>
      <c r="V806" s="5" t="str">
        <f t="shared" si="62"/>
        <v>VERY GOOD</v>
      </c>
      <c r="W806" s="6" t="str">
        <f t="shared" si="63"/>
        <v>45-54</v>
      </c>
      <c r="X806" s="6" t="str">
        <f t="shared" si="64"/>
        <v>Lower-Middle</v>
      </c>
    </row>
    <row r="807" spans="1:24">
      <c r="A807" s="6" t="s">
        <v>516</v>
      </c>
      <c r="B807" s="6" t="s">
        <v>1915</v>
      </c>
      <c r="C807" s="6" t="s">
        <v>52</v>
      </c>
      <c r="D807" s="6" t="s">
        <v>277</v>
      </c>
      <c r="E807" s="6" t="s">
        <v>404</v>
      </c>
      <c r="F807" s="6">
        <v>62</v>
      </c>
      <c r="G807" s="6" t="s">
        <v>24</v>
      </c>
      <c r="H807" s="6" t="s">
        <v>1916</v>
      </c>
      <c r="I807" s="6" t="s">
        <v>3884</v>
      </c>
      <c r="J807" s="8">
        <v>44338</v>
      </c>
      <c r="K807" s="8">
        <v>45301</v>
      </c>
      <c r="L807" s="6">
        <v>66500.75</v>
      </c>
      <c r="M807" s="6">
        <v>39600.400000000001</v>
      </c>
      <c r="N807" s="6">
        <v>675</v>
      </c>
      <c r="O807" s="6">
        <v>118000</v>
      </c>
      <c r="P807" s="6" t="s">
        <v>26</v>
      </c>
      <c r="Q807" s="6" t="s">
        <v>27</v>
      </c>
      <c r="R807" s="6">
        <v>0</v>
      </c>
      <c r="S807" s="6" t="s">
        <v>28</v>
      </c>
      <c r="T807" s="7">
        <f t="shared" si="60"/>
        <v>0.33559661016949155</v>
      </c>
      <c r="U807" s="6">
        <f t="shared" si="61"/>
        <v>5</v>
      </c>
      <c r="V807" s="5" t="str">
        <f t="shared" si="62"/>
        <v>GOOD</v>
      </c>
      <c r="W807" s="6" t="str">
        <f t="shared" si="63"/>
        <v>55+</v>
      </c>
      <c r="X807" s="6" t="str">
        <f t="shared" si="64"/>
        <v>Lower-Middle</v>
      </c>
    </row>
    <row r="808" spans="1:24">
      <c r="A808" s="6" t="s">
        <v>519</v>
      </c>
      <c r="B808" s="6" t="s">
        <v>1917</v>
      </c>
      <c r="C808" s="6" t="s">
        <v>84</v>
      </c>
      <c r="D808" s="6" t="s">
        <v>183</v>
      </c>
      <c r="E808" s="6" t="s">
        <v>184</v>
      </c>
      <c r="F808" s="6">
        <v>41</v>
      </c>
      <c r="G808" s="6" t="s">
        <v>34</v>
      </c>
      <c r="H808" s="6" t="s">
        <v>1918</v>
      </c>
      <c r="I808" s="6" t="s">
        <v>3546</v>
      </c>
      <c r="J808" s="8">
        <v>45424</v>
      </c>
      <c r="K808" s="8">
        <v>45304</v>
      </c>
      <c r="L808" s="6">
        <v>3900.25</v>
      </c>
      <c r="M808" s="6">
        <v>13800.6</v>
      </c>
      <c r="N808" s="6">
        <v>615</v>
      </c>
      <c r="O808" s="6">
        <v>38000</v>
      </c>
      <c r="P808" s="6" t="s">
        <v>76</v>
      </c>
      <c r="Q808" s="6" t="s">
        <v>43</v>
      </c>
      <c r="R808" s="6">
        <v>0</v>
      </c>
      <c r="S808" s="6" t="s">
        <v>28</v>
      </c>
      <c r="T808" s="7">
        <f t="shared" si="60"/>
        <v>0.36317368421052632</v>
      </c>
      <c r="U808" s="6">
        <f t="shared" si="61"/>
        <v>2</v>
      </c>
      <c r="V808" s="5" t="str">
        <f t="shared" si="62"/>
        <v>FAIR</v>
      </c>
      <c r="W808" s="6" t="str">
        <f t="shared" si="63"/>
        <v>35-44</v>
      </c>
      <c r="X808" s="6" t="str">
        <f t="shared" si="64"/>
        <v>Low</v>
      </c>
    </row>
    <row r="809" spans="1:24">
      <c r="A809" s="6" t="s">
        <v>522</v>
      </c>
      <c r="B809" s="6" t="s">
        <v>1919</v>
      </c>
      <c r="C809" s="6" t="s">
        <v>39</v>
      </c>
      <c r="D809" s="6" t="s">
        <v>40</v>
      </c>
      <c r="E809" s="6" t="s">
        <v>94</v>
      </c>
      <c r="F809" s="6">
        <v>69</v>
      </c>
      <c r="G809" s="6" t="s">
        <v>24</v>
      </c>
      <c r="H809" s="6" t="s">
        <v>1920</v>
      </c>
      <c r="I809" s="6" t="s">
        <v>3510</v>
      </c>
      <c r="J809" s="8">
        <v>43638</v>
      </c>
      <c r="K809" s="8">
        <v>45299</v>
      </c>
      <c r="L809" s="6">
        <v>215200.8</v>
      </c>
      <c r="M809" s="6">
        <v>112000.25</v>
      </c>
      <c r="N809" s="6">
        <v>660</v>
      </c>
      <c r="O809" s="6">
        <v>237000</v>
      </c>
      <c r="P809" s="6" t="s">
        <v>76</v>
      </c>
      <c r="Q809" s="6" t="s">
        <v>27</v>
      </c>
      <c r="R809" s="6">
        <v>0</v>
      </c>
      <c r="S809" s="6" t="s">
        <v>28</v>
      </c>
      <c r="T809" s="7">
        <f t="shared" si="60"/>
        <v>0.47257489451476792</v>
      </c>
      <c r="U809" s="6">
        <f t="shared" si="61"/>
        <v>7</v>
      </c>
      <c r="V809" s="5" t="str">
        <f t="shared" si="62"/>
        <v>FAIR</v>
      </c>
      <c r="W809" s="6" t="str">
        <f t="shared" si="63"/>
        <v>55+</v>
      </c>
      <c r="X809" s="6" t="str">
        <f t="shared" si="64"/>
        <v>High</v>
      </c>
    </row>
    <row r="810" spans="1:24">
      <c r="A810" s="6" t="s">
        <v>306</v>
      </c>
      <c r="B810" s="6" t="s">
        <v>1921</v>
      </c>
      <c r="C810" s="6" t="s">
        <v>46</v>
      </c>
      <c r="D810" s="6" t="s">
        <v>209</v>
      </c>
      <c r="E810" s="6" t="s">
        <v>703</v>
      </c>
      <c r="F810" s="6">
        <v>56</v>
      </c>
      <c r="G810" s="6" t="s">
        <v>34</v>
      </c>
      <c r="H810" s="6" t="s">
        <v>1922</v>
      </c>
      <c r="I810" s="6" t="s">
        <v>4089</v>
      </c>
      <c r="J810" s="8">
        <v>44491</v>
      </c>
      <c r="K810" s="8">
        <v>45302</v>
      </c>
      <c r="L810" s="6">
        <v>87600.9</v>
      </c>
      <c r="M810" s="6">
        <v>45400.75</v>
      </c>
      <c r="N810" s="6">
        <v>730</v>
      </c>
      <c r="O810" s="6">
        <v>141000</v>
      </c>
      <c r="P810" s="6" t="s">
        <v>26</v>
      </c>
      <c r="Q810" s="6" t="s">
        <v>27</v>
      </c>
      <c r="R810" s="6">
        <v>0</v>
      </c>
      <c r="S810" s="6" t="s">
        <v>28</v>
      </c>
      <c r="T810" s="7">
        <f t="shared" si="60"/>
        <v>0.32199113475177304</v>
      </c>
      <c r="U810" s="6">
        <f t="shared" si="61"/>
        <v>4</v>
      </c>
      <c r="V810" s="5" t="str">
        <f t="shared" si="62"/>
        <v>GOOD</v>
      </c>
      <c r="W810" s="6" t="str">
        <f t="shared" si="63"/>
        <v>55+</v>
      </c>
      <c r="X810" s="6" t="str">
        <f t="shared" si="64"/>
        <v>Upper-Middle</v>
      </c>
    </row>
    <row r="811" spans="1:24">
      <c r="A811" s="6" t="s">
        <v>527</v>
      </c>
      <c r="B811" s="6" t="s">
        <v>1923</v>
      </c>
      <c r="C811" s="6" t="s">
        <v>31</v>
      </c>
      <c r="D811" s="6" t="s">
        <v>32</v>
      </c>
      <c r="E811" s="6" t="s">
        <v>90</v>
      </c>
      <c r="F811" s="6">
        <v>45</v>
      </c>
      <c r="G811" s="6" t="s">
        <v>34</v>
      </c>
      <c r="H811" s="6" t="s">
        <v>1924</v>
      </c>
      <c r="I811" s="6" t="s">
        <v>3784</v>
      </c>
      <c r="J811" s="8">
        <v>45420</v>
      </c>
      <c r="K811" s="8">
        <v>45305</v>
      </c>
      <c r="L811" s="6">
        <v>15700.4</v>
      </c>
      <c r="M811" s="6">
        <v>8800.25</v>
      </c>
      <c r="N811" s="6">
        <v>705</v>
      </c>
      <c r="O811" s="6">
        <v>55000</v>
      </c>
      <c r="P811" s="6" t="s">
        <v>26</v>
      </c>
      <c r="Q811" s="6" t="s">
        <v>43</v>
      </c>
      <c r="R811" s="6">
        <v>0</v>
      </c>
      <c r="S811" s="6" t="s">
        <v>28</v>
      </c>
      <c r="T811" s="7">
        <f t="shared" si="60"/>
        <v>0.16000454545454545</v>
      </c>
      <c r="U811" s="6">
        <f t="shared" si="61"/>
        <v>1</v>
      </c>
      <c r="V811" s="5" t="str">
        <f t="shared" si="62"/>
        <v>GOOD</v>
      </c>
      <c r="W811" s="6" t="str">
        <f t="shared" si="63"/>
        <v>45-54</v>
      </c>
      <c r="X811" s="6" t="str">
        <f t="shared" si="64"/>
        <v>Low</v>
      </c>
    </row>
    <row r="812" spans="1:24">
      <c r="A812" s="6" t="s">
        <v>530</v>
      </c>
      <c r="B812" s="6" t="s">
        <v>1925</v>
      </c>
      <c r="C812" s="6" t="s">
        <v>57</v>
      </c>
      <c r="D812" s="6" t="s">
        <v>219</v>
      </c>
      <c r="E812" s="6" t="s">
        <v>220</v>
      </c>
      <c r="F812" s="6">
        <v>50</v>
      </c>
      <c r="G812" s="6" t="s">
        <v>24</v>
      </c>
      <c r="H812" s="6" t="s">
        <v>1926</v>
      </c>
      <c r="I812" s="6" t="s">
        <v>4090</v>
      </c>
      <c r="J812" s="8">
        <v>45038</v>
      </c>
      <c r="K812" s="8">
        <v>45303</v>
      </c>
      <c r="L812" s="6">
        <v>32100.6</v>
      </c>
      <c r="M812" s="6">
        <v>12600.8</v>
      </c>
      <c r="N812" s="6">
        <v>710</v>
      </c>
      <c r="O812" s="6">
        <v>71000</v>
      </c>
      <c r="P812" s="6" t="s">
        <v>36</v>
      </c>
      <c r="Q812" s="6" t="s">
        <v>27</v>
      </c>
      <c r="R812" s="6">
        <v>0</v>
      </c>
      <c r="S812" s="6" t="s">
        <v>28</v>
      </c>
      <c r="T812" s="7">
        <f t="shared" si="60"/>
        <v>0.17747605633802815</v>
      </c>
      <c r="U812" s="6">
        <f t="shared" si="61"/>
        <v>3</v>
      </c>
      <c r="V812" s="5" t="str">
        <f t="shared" si="62"/>
        <v>GOOD</v>
      </c>
      <c r="W812" s="6" t="str">
        <f t="shared" si="63"/>
        <v>45-54</v>
      </c>
      <c r="X812" s="6" t="str">
        <f t="shared" si="64"/>
        <v>Low</v>
      </c>
    </row>
    <row r="813" spans="1:24">
      <c r="A813" s="6" t="s">
        <v>533</v>
      </c>
      <c r="B813" s="6" t="s">
        <v>1927</v>
      </c>
      <c r="C813" s="6" t="s">
        <v>52</v>
      </c>
      <c r="D813" s="6" t="s">
        <v>204</v>
      </c>
      <c r="E813" s="6" t="s">
        <v>259</v>
      </c>
      <c r="F813" s="6">
        <v>57</v>
      </c>
      <c r="G813" s="6" t="s">
        <v>34</v>
      </c>
      <c r="H813" s="6" t="s">
        <v>1928</v>
      </c>
      <c r="I813" s="6" t="s">
        <v>3915</v>
      </c>
      <c r="J813" s="8">
        <v>44338</v>
      </c>
      <c r="K813" s="8">
        <v>45301</v>
      </c>
      <c r="L813" s="6">
        <v>63400.25</v>
      </c>
      <c r="M813" s="6">
        <v>36500.9</v>
      </c>
      <c r="N813" s="6">
        <v>695</v>
      </c>
      <c r="O813" s="6">
        <v>106000</v>
      </c>
      <c r="P813" s="6" t="s">
        <v>26</v>
      </c>
      <c r="Q813" s="6" t="s">
        <v>27</v>
      </c>
      <c r="R813" s="6">
        <v>0</v>
      </c>
      <c r="S813" s="6" t="s">
        <v>28</v>
      </c>
      <c r="T813" s="7">
        <f t="shared" si="60"/>
        <v>0.34434811320754716</v>
      </c>
      <c r="U813" s="6">
        <f t="shared" si="61"/>
        <v>5</v>
      </c>
      <c r="V813" s="5" t="str">
        <f t="shared" si="62"/>
        <v>GOOD</v>
      </c>
      <c r="W813" s="6" t="str">
        <f t="shared" si="63"/>
        <v>55+</v>
      </c>
      <c r="X813" s="6" t="str">
        <f t="shared" si="64"/>
        <v>Lower-Middle</v>
      </c>
    </row>
    <row r="814" spans="1:24">
      <c r="A814" s="6" t="s">
        <v>536</v>
      </c>
      <c r="B814" s="6" t="s">
        <v>1929</v>
      </c>
      <c r="C814" s="6" t="s">
        <v>39</v>
      </c>
      <c r="D814" s="6" t="s">
        <v>195</v>
      </c>
      <c r="E814" s="6" t="s">
        <v>196</v>
      </c>
      <c r="F814" s="6">
        <v>65</v>
      </c>
      <c r="G814" s="6" t="s">
        <v>24</v>
      </c>
      <c r="H814" s="6" t="s">
        <v>1930</v>
      </c>
      <c r="I814" s="6" t="s">
        <v>4091</v>
      </c>
      <c r="J814" s="8">
        <v>43791</v>
      </c>
      <c r="K814" s="8">
        <v>45300</v>
      </c>
      <c r="L814" s="6">
        <v>147400.4</v>
      </c>
      <c r="M814" s="6">
        <v>86000.6</v>
      </c>
      <c r="N814" s="6">
        <v>670</v>
      </c>
      <c r="O814" s="6">
        <v>173000</v>
      </c>
      <c r="P814" s="6" t="s">
        <v>76</v>
      </c>
      <c r="Q814" s="6" t="s">
        <v>27</v>
      </c>
      <c r="R814" s="6">
        <v>0</v>
      </c>
      <c r="S814" s="6" t="s">
        <v>28</v>
      </c>
      <c r="T814" s="7">
        <f t="shared" si="60"/>
        <v>0.4971132947976879</v>
      </c>
      <c r="U814" s="6">
        <f t="shared" si="61"/>
        <v>6</v>
      </c>
      <c r="V814" s="5" t="str">
        <f t="shared" si="62"/>
        <v>GOOD</v>
      </c>
      <c r="W814" s="6" t="str">
        <f t="shared" si="63"/>
        <v>55+</v>
      </c>
      <c r="X814" s="6" t="str">
        <f t="shared" si="64"/>
        <v>Upper-Middle</v>
      </c>
    </row>
    <row r="815" spans="1:24">
      <c r="A815" s="6" t="s">
        <v>539</v>
      </c>
      <c r="B815" s="6" t="s">
        <v>1931</v>
      </c>
      <c r="C815" s="6" t="s">
        <v>21</v>
      </c>
      <c r="D815" s="6" t="s">
        <v>58</v>
      </c>
      <c r="E815" s="6" t="s">
        <v>59</v>
      </c>
      <c r="F815" s="6">
        <v>73</v>
      </c>
      <c r="G815" s="6" t="s">
        <v>34</v>
      </c>
      <c r="H815" s="6" t="s">
        <v>1932</v>
      </c>
      <c r="I815" s="6" t="s">
        <v>3888</v>
      </c>
      <c r="J815" s="8">
        <v>43365</v>
      </c>
      <c r="K815" s="8">
        <v>45299</v>
      </c>
      <c r="L815" s="6">
        <v>314300.75</v>
      </c>
      <c r="M815" s="6">
        <v>103000.8</v>
      </c>
      <c r="N815" s="6">
        <v>835</v>
      </c>
      <c r="O815" s="6">
        <v>318000</v>
      </c>
      <c r="P815" s="6" t="s">
        <v>36</v>
      </c>
      <c r="Q815" s="6" t="s">
        <v>27</v>
      </c>
      <c r="R815" s="6">
        <v>0</v>
      </c>
      <c r="S815" s="6" t="s">
        <v>28</v>
      </c>
      <c r="T815" s="7">
        <f t="shared" si="60"/>
        <v>0.32390188679245285</v>
      </c>
      <c r="U815" s="6">
        <f t="shared" si="61"/>
        <v>7</v>
      </c>
      <c r="V815" s="5" t="str">
        <f t="shared" si="62"/>
        <v>EXCEPTIONAL</v>
      </c>
      <c r="W815" s="6" t="str">
        <f t="shared" si="63"/>
        <v>55+</v>
      </c>
      <c r="X815" s="6" t="str">
        <f t="shared" si="64"/>
        <v>High</v>
      </c>
    </row>
    <row r="816" spans="1:24">
      <c r="A816" s="6" t="s">
        <v>542</v>
      </c>
      <c r="B816" s="6" t="s">
        <v>1933</v>
      </c>
      <c r="C816" s="6" t="s">
        <v>52</v>
      </c>
      <c r="D816" s="6" t="s">
        <v>68</v>
      </c>
      <c r="E816" s="6" t="s">
        <v>69</v>
      </c>
      <c r="F816" s="6">
        <v>60</v>
      </c>
      <c r="G816" s="6" t="s">
        <v>34</v>
      </c>
      <c r="H816" s="6" t="s">
        <v>1934</v>
      </c>
      <c r="I816" s="6" t="s">
        <v>4080</v>
      </c>
      <c r="J816" s="8">
        <v>44308</v>
      </c>
      <c r="K816" s="8">
        <v>45302</v>
      </c>
      <c r="L816" s="6">
        <v>72100.600000000006</v>
      </c>
      <c r="M816" s="6">
        <v>42100.25</v>
      </c>
      <c r="N816" s="6">
        <v>665</v>
      </c>
      <c r="O816" s="6">
        <v>126000</v>
      </c>
      <c r="P816" s="6" t="s">
        <v>26</v>
      </c>
      <c r="Q816" s="6" t="s">
        <v>27</v>
      </c>
      <c r="R816" s="6">
        <v>0</v>
      </c>
      <c r="S816" s="6" t="s">
        <v>28</v>
      </c>
      <c r="T816" s="7">
        <f t="shared" si="60"/>
        <v>0.33412896825396826</v>
      </c>
      <c r="U816" s="6">
        <f t="shared" si="61"/>
        <v>4</v>
      </c>
      <c r="V816" s="5" t="str">
        <f t="shared" si="62"/>
        <v>FAIR</v>
      </c>
      <c r="W816" s="6" t="str">
        <f t="shared" si="63"/>
        <v>55+</v>
      </c>
      <c r="X816" s="6" t="str">
        <f t="shared" si="64"/>
        <v>Lower-Middle</v>
      </c>
    </row>
    <row r="817" spans="1:24">
      <c r="A817" s="6" t="s">
        <v>545</v>
      </c>
      <c r="B817" s="6" t="s">
        <v>1935</v>
      </c>
      <c r="C817" s="6" t="s">
        <v>46</v>
      </c>
      <c r="D817" s="6" t="s">
        <v>241</v>
      </c>
      <c r="E817" s="6" t="s">
        <v>242</v>
      </c>
      <c r="F817" s="6">
        <v>52</v>
      </c>
      <c r="G817" s="6" t="s">
        <v>24</v>
      </c>
      <c r="H817" s="6" t="s">
        <v>1936</v>
      </c>
      <c r="I817" s="6" t="s">
        <v>4092</v>
      </c>
      <c r="J817" s="8">
        <v>44948</v>
      </c>
      <c r="K817" s="8">
        <v>45303</v>
      </c>
      <c r="L817" s="6">
        <v>95400.8</v>
      </c>
      <c r="M817" s="6">
        <v>49600.4</v>
      </c>
      <c r="N817" s="6">
        <v>750</v>
      </c>
      <c r="O817" s="6">
        <v>152000</v>
      </c>
      <c r="P817" s="6" t="s">
        <v>26</v>
      </c>
      <c r="Q817" s="6" t="s">
        <v>27</v>
      </c>
      <c r="R817" s="6">
        <v>0</v>
      </c>
      <c r="S817" s="6" t="s">
        <v>28</v>
      </c>
      <c r="T817" s="7">
        <f t="shared" si="60"/>
        <v>0.32631842105263159</v>
      </c>
      <c r="U817" s="6">
        <f t="shared" si="61"/>
        <v>3</v>
      </c>
      <c r="V817" s="5" t="str">
        <f t="shared" si="62"/>
        <v>VERY GOOD</v>
      </c>
      <c r="W817" s="6" t="str">
        <f t="shared" si="63"/>
        <v>45-54</v>
      </c>
      <c r="X817" s="6" t="str">
        <f t="shared" si="64"/>
        <v>Upper-Middle</v>
      </c>
    </row>
    <row r="818" spans="1:24">
      <c r="A818" s="6" t="s">
        <v>548</v>
      </c>
      <c r="B818" s="6" t="s">
        <v>1937</v>
      </c>
      <c r="C818" s="6" t="s">
        <v>57</v>
      </c>
      <c r="D818" s="6" t="s">
        <v>22</v>
      </c>
      <c r="E818" s="6" t="s">
        <v>118</v>
      </c>
      <c r="F818" s="6">
        <v>48</v>
      </c>
      <c r="G818" s="6" t="s">
        <v>34</v>
      </c>
      <c r="H818" s="6" t="s">
        <v>1938</v>
      </c>
      <c r="I818" s="6" t="s">
        <v>3641</v>
      </c>
      <c r="J818" s="8">
        <v>45129</v>
      </c>
      <c r="K818" s="8">
        <v>45305</v>
      </c>
      <c r="L818" s="6">
        <v>34300.9</v>
      </c>
      <c r="M818" s="6">
        <v>13600.75</v>
      </c>
      <c r="N818" s="6">
        <v>770</v>
      </c>
      <c r="O818" s="6">
        <v>83000</v>
      </c>
      <c r="P818" s="6" t="s">
        <v>36</v>
      </c>
      <c r="Q818" s="6" t="s">
        <v>27</v>
      </c>
      <c r="R818" s="6">
        <v>0</v>
      </c>
      <c r="S818" s="6" t="s">
        <v>28</v>
      </c>
      <c r="T818" s="7">
        <f t="shared" si="60"/>
        <v>0.16386445783132531</v>
      </c>
      <c r="U818" s="6">
        <f t="shared" si="61"/>
        <v>1</v>
      </c>
      <c r="V818" s="5" t="str">
        <f t="shared" si="62"/>
        <v>VERY GOOD</v>
      </c>
      <c r="W818" s="6" t="str">
        <f t="shared" si="63"/>
        <v>45-54</v>
      </c>
      <c r="X818" s="6" t="str">
        <f t="shared" si="64"/>
        <v>Lower-Middle</v>
      </c>
    </row>
    <row r="819" spans="1:24">
      <c r="A819" s="6" t="s">
        <v>551</v>
      </c>
      <c r="B819" s="6" t="s">
        <v>1939</v>
      </c>
      <c r="C819" s="6" t="s">
        <v>39</v>
      </c>
      <c r="D819" s="6" t="s">
        <v>313</v>
      </c>
      <c r="E819" s="6" t="s">
        <v>314</v>
      </c>
      <c r="F819" s="6">
        <v>71</v>
      </c>
      <c r="G819" s="6" t="s">
        <v>24</v>
      </c>
      <c r="H819" s="6" t="s">
        <v>1940</v>
      </c>
      <c r="I819" s="6" t="s">
        <v>4093</v>
      </c>
      <c r="J819" s="8">
        <v>43546</v>
      </c>
      <c r="K819" s="8">
        <v>45299</v>
      </c>
      <c r="L819" s="6">
        <v>200500.25</v>
      </c>
      <c r="M819" s="6">
        <v>107000.8</v>
      </c>
      <c r="N819" s="6">
        <v>645</v>
      </c>
      <c r="O819" s="6">
        <v>223000</v>
      </c>
      <c r="P819" s="6" t="s">
        <v>76</v>
      </c>
      <c r="Q819" s="6" t="s">
        <v>27</v>
      </c>
      <c r="R819" s="6">
        <v>0</v>
      </c>
      <c r="S819" s="6" t="s">
        <v>28</v>
      </c>
      <c r="T819" s="7">
        <f t="shared" si="60"/>
        <v>0.47982421524663676</v>
      </c>
      <c r="U819" s="6">
        <f t="shared" si="61"/>
        <v>7</v>
      </c>
      <c r="V819" s="5" t="str">
        <f t="shared" si="62"/>
        <v>FAIR</v>
      </c>
      <c r="W819" s="6" t="str">
        <f t="shared" si="63"/>
        <v>55+</v>
      </c>
      <c r="X819" s="6" t="str">
        <f t="shared" si="64"/>
        <v>High</v>
      </c>
    </row>
    <row r="820" spans="1:24">
      <c r="A820" s="6" t="s">
        <v>554</v>
      </c>
      <c r="B820" s="6" t="s">
        <v>1941</v>
      </c>
      <c r="C820" s="6" t="s">
        <v>31</v>
      </c>
      <c r="D820" s="6" t="s">
        <v>214</v>
      </c>
      <c r="E820" s="6" t="s">
        <v>724</v>
      </c>
      <c r="F820" s="6">
        <v>44</v>
      </c>
      <c r="G820" s="6" t="s">
        <v>34</v>
      </c>
      <c r="H820" s="6" t="s">
        <v>1942</v>
      </c>
      <c r="I820" s="6" t="s">
        <v>4094</v>
      </c>
      <c r="J820" s="8">
        <v>45424</v>
      </c>
      <c r="K820" s="8">
        <v>45306</v>
      </c>
      <c r="L820" s="6">
        <v>28200.5</v>
      </c>
      <c r="M820" s="6">
        <v>13200.4</v>
      </c>
      <c r="N820" s="6">
        <v>720</v>
      </c>
      <c r="O820" s="6">
        <v>60000</v>
      </c>
      <c r="P820" s="6" t="s">
        <v>36</v>
      </c>
      <c r="Q820" s="6" t="s">
        <v>27</v>
      </c>
      <c r="R820" s="6">
        <v>0</v>
      </c>
      <c r="S820" s="6" t="s">
        <v>28</v>
      </c>
      <c r="T820" s="7">
        <f t="shared" si="60"/>
        <v>0.22000666666666666</v>
      </c>
      <c r="U820" s="6">
        <f t="shared" si="61"/>
        <v>0</v>
      </c>
      <c r="V820" s="5" t="str">
        <f t="shared" si="62"/>
        <v>GOOD</v>
      </c>
      <c r="W820" s="6" t="str">
        <f t="shared" si="63"/>
        <v>35-44</v>
      </c>
      <c r="X820" s="6" t="str">
        <f t="shared" si="64"/>
        <v>Low</v>
      </c>
    </row>
    <row r="821" spans="1:24">
      <c r="A821" s="6" t="s">
        <v>108</v>
      </c>
      <c r="B821" s="6" t="s">
        <v>1943</v>
      </c>
      <c r="C821" s="6" t="s">
        <v>84</v>
      </c>
      <c r="D821" s="6" t="s">
        <v>32</v>
      </c>
      <c r="E821" s="6" t="s">
        <v>33</v>
      </c>
      <c r="F821" s="6">
        <v>40</v>
      </c>
      <c r="G821" s="6" t="s">
        <v>24</v>
      </c>
      <c r="H821" s="6" t="s">
        <v>1944</v>
      </c>
      <c r="I821" s="6" t="s">
        <v>3667</v>
      </c>
      <c r="J821" s="8">
        <v>45427</v>
      </c>
      <c r="K821" s="8">
        <v>45304</v>
      </c>
      <c r="L821" s="6">
        <v>3650.8</v>
      </c>
      <c r="M821" s="6">
        <v>12200.25</v>
      </c>
      <c r="N821" s="6">
        <v>605</v>
      </c>
      <c r="O821" s="6">
        <v>36000</v>
      </c>
      <c r="P821" s="6" t="s">
        <v>76</v>
      </c>
      <c r="Q821" s="6" t="s">
        <v>43</v>
      </c>
      <c r="R821" s="6">
        <v>0</v>
      </c>
      <c r="S821" s="6" t="s">
        <v>28</v>
      </c>
      <c r="T821" s="7">
        <f t="shared" si="60"/>
        <v>0.33889583333333334</v>
      </c>
      <c r="U821" s="6">
        <f t="shared" si="61"/>
        <v>2</v>
      </c>
      <c r="V821" s="5" t="str">
        <f t="shared" si="62"/>
        <v>FAIR</v>
      </c>
      <c r="W821" s="6" t="str">
        <f t="shared" si="63"/>
        <v>35-44</v>
      </c>
      <c r="X821" s="6" t="str">
        <f t="shared" si="64"/>
        <v>Low</v>
      </c>
    </row>
    <row r="822" spans="1:24">
      <c r="A822" s="6" t="s">
        <v>559</v>
      </c>
      <c r="B822" s="6" t="s">
        <v>1945</v>
      </c>
      <c r="C822" s="6" t="s">
        <v>46</v>
      </c>
      <c r="D822" s="6" t="s">
        <v>254</v>
      </c>
      <c r="E822" s="6" t="s">
        <v>255</v>
      </c>
      <c r="F822" s="6">
        <v>54</v>
      </c>
      <c r="G822" s="6" t="s">
        <v>34</v>
      </c>
      <c r="H822" s="6" t="s">
        <v>1946</v>
      </c>
      <c r="I822" s="6" t="s">
        <v>4095</v>
      </c>
      <c r="J822" s="8">
        <v>44826</v>
      </c>
      <c r="K822" s="8">
        <v>45302</v>
      </c>
      <c r="L822" s="6">
        <v>82100.399999999994</v>
      </c>
      <c r="M822" s="6">
        <v>44300.75</v>
      </c>
      <c r="N822" s="6">
        <v>710</v>
      </c>
      <c r="O822" s="6">
        <v>134000</v>
      </c>
      <c r="P822" s="6" t="s">
        <v>26</v>
      </c>
      <c r="Q822" s="6" t="s">
        <v>27</v>
      </c>
      <c r="R822" s="6">
        <v>0</v>
      </c>
      <c r="S822" s="6" t="s">
        <v>28</v>
      </c>
      <c r="T822" s="7">
        <f t="shared" si="60"/>
        <v>0.3306026119402985</v>
      </c>
      <c r="U822" s="6">
        <f t="shared" si="61"/>
        <v>4</v>
      </c>
      <c r="V822" s="5" t="str">
        <f t="shared" si="62"/>
        <v>GOOD</v>
      </c>
      <c r="W822" s="6" t="str">
        <f t="shared" si="63"/>
        <v>45-54</v>
      </c>
      <c r="X822" s="6" t="str">
        <f t="shared" si="64"/>
        <v>Upper-Middle</v>
      </c>
    </row>
    <row r="823" spans="1:24">
      <c r="A823" s="6" t="s">
        <v>562</v>
      </c>
      <c r="B823" s="6" t="s">
        <v>1947</v>
      </c>
      <c r="C823" s="6" t="s">
        <v>39</v>
      </c>
      <c r="D823" s="6" t="s">
        <v>47</v>
      </c>
      <c r="E823" s="6" t="s">
        <v>98</v>
      </c>
      <c r="F823" s="6">
        <v>68</v>
      </c>
      <c r="G823" s="6" t="s">
        <v>24</v>
      </c>
      <c r="H823" s="6" t="s">
        <v>1948</v>
      </c>
      <c r="I823" s="6" t="s">
        <v>3894</v>
      </c>
      <c r="J823" s="8">
        <v>43699</v>
      </c>
      <c r="K823" s="8">
        <v>45300</v>
      </c>
      <c r="L823" s="6">
        <v>180700.6</v>
      </c>
      <c r="M823" s="6">
        <v>100000.25</v>
      </c>
      <c r="N823" s="6">
        <v>675</v>
      </c>
      <c r="O823" s="6">
        <v>203000</v>
      </c>
      <c r="P823" s="6" t="s">
        <v>76</v>
      </c>
      <c r="Q823" s="6" t="s">
        <v>27</v>
      </c>
      <c r="R823" s="6">
        <v>0</v>
      </c>
      <c r="S823" s="6" t="s">
        <v>28</v>
      </c>
      <c r="T823" s="7">
        <f t="shared" si="60"/>
        <v>0.49261206896551724</v>
      </c>
      <c r="U823" s="6">
        <f t="shared" si="61"/>
        <v>6</v>
      </c>
      <c r="V823" s="5" t="str">
        <f t="shared" si="62"/>
        <v>GOOD</v>
      </c>
      <c r="W823" s="6" t="str">
        <f t="shared" si="63"/>
        <v>55+</v>
      </c>
      <c r="X823" s="6" t="str">
        <f t="shared" si="64"/>
        <v>High</v>
      </c>
    </row>
    <row r="824" spans="1:24">
      <c r="A824" s="6" t="s">
        <v>565</v>
      </c>
      <c r="B824" s="6" t="s">
        <v>1949</v>
      </c>
      <c r="C824" s="6" t="s">
        <v>52</v>
      </c>
      <c r="D824" s="6" t="s">
        <v>233</v>
      </c>
      <c r="E824" s="6" t="s">
        <v>234</v>
      </c>
      <c r="F824" s="6">
        <v>53</v>
      </c>
      <c r="G824" s="6" t="s">
        <v>34</v>
      </c>
      <c r="H824" s="6" t="s">
        <v>1950</v>
      </c>
      <c r="I824" s="6" t="s">
        <v>3590</v>
      </c>
      <c r="J824" s="8">
        <v>44614</v>
      </c>
      <c r="K824" s="8">
        <v>45301</v>
      </c>
      <c r="L824" s="6">
        <v>58500.75</v>
      </c>
      <c r="M824" s="6">
        <v>35400.800000000003</v>
      </c>
      <c r="N824" s="6">
        <v>725</v>
      </c>
      <c r="O824" s="6">
        <v>100000</v>
      </c>
      <c r="P824" s="6" t="s">
        <v>26</v>
      </c>
      <c r="Q824" s="6" t="s">
        <v>27</v>
      </c>
      <c r="R824" s="6">
        <v>0</v>
      </c>
      <c r="S824" s="6" t="s">
        <v>28</v>
      </c>
      <c r="T824" s="7">
        <f t="shared" si="60"/>
        <v>0.35400800000000004</v>
      </c>
      <c r="U824" s="6">
        <f t="shared" si="61"/>
        <v>5</v>
      </c>
      <c r="V824" s="5" t="str">
        <f t="shared" si="62"/>
        <v>GOOD</v>
      </c>
      <c r="W824" s="6" t="str">
        <f t="shared" si="63"/>
        <v>45-54</v>
      </c>
      <c r="X824" s="6" t="str">
        <f t="shared" si="64"/>
        <v>Lower-Middle</v>
      </c>
    </row>
    <row r="825" spans="1:24">
      <c r="A825" s="6" t="s">
        <v>568</v>
      </c>
      <c r="B825" s="6" t="s">
        <v>1951</v>
      </c>
      <c r="C825" s="6" t="s">
        <v>57</v>
      </c>
      <c r="D825" s="6" t="s">
        <v>79</v>
      </c>
      <c r="E825" s="6" t="s">
        <v>80</v>
      </c>
      <c r="F825" s="6">
        <v>51</v>
      </c>
      <c r="G825" s="6" t="s">
        <v>24</v>
      </c>
      <c r="H825" s="6" t="s">
        <v>1952</v>
      </c>
      <c r="I825" s="6" t="s">
        <v>3895</v>
      </c>
      <c r="J825" s="8">
        <v>45068</v>
      </c>
      <c r="K825" s="8">
        <v>45303</v>
      </c>
      <c r="L825" s="6">
        <v>36500.400000000001</v>
      </c>
      <c r="M825" s="6">
        <v>14400.9</v>
      </c>
      <c r="N825" s="6">
        <v>740</v>
      </c>
      <c r="O825" s="6">
        <v>86000</v>
      </c>
      <c r="P825" s="6" t="s">
        <v>36</v>
      </c>
      <c r="Q825" s="6" t="s">
        <v>27</v>
      </c>
      <c r="R825" s="6">
        <v>0</v>
      </c>
      <c r="S825" s="6" t="s">
        <v>28</v>
      </c>
      <c r="T825" s="7">
        <f t="shared" si="60"/>
        <v>0.16745232558139533</v>
      </c>
      <c r="U825" s="6">
        <f t="shared" si="61"/>
        <v>3</v>
      </c>
      <c r="V825" s="5" t="str">
        <f t="shared" si="62"/>
        <v>GOOD</v>
      </c>
      <c r="W825" s="6" t="str">
        <f t="shared" si="63"/>
        <v>45-54</v>
      </c>
      <c r="X825" s="6" t="str">
        <f t="shared" si="64"/>
        <v>Lower-Middle</v>
      </c>
    </row>
    <row r="826" spans="1:24">
      <c r="A826" s="6" t="s">
        <v>571</v>
      </c>
      <c r="B826" s="6" t="s">
        <v>1953</v>
      </c>
      <c r="C826" s="6" t="s">
        <v>21</v>
      </c>
      <c r="D826" s="6" t="s">
        <v>63</v>
      </c>
      <c r="E826" s="6" t="s">
        <v>3514</v>
      </c>
      <c r="F826" s="6">
        <v>74</v>
      </c>
      <c r="G826" s="6" t="s">
        <v>34</v>
      </c>
      <c r="H826" s="6" t="s">
        <v>1954</v>
      </c>
      <c r="I826" s="6" t="s">
        <v>4096</v>
      </c>
      <c r="J826" s="8">
        <v>43242</v>
      </c>
      <c r="K826" s="8">
        <v>45299</v>
      </c>
      <c r="L826" s="6">
        <v>269600.90000000002</v>
      </c>
      <c r="M826" s="6">
        <v>90000.6</v>
      </c>
      <c r="N826" s="6">
        <v>830</v>
      </c>
      <c r="O826" s="6">
        <v>298000</v>
      </c>
      <c r="P826" s="6" t="s">
        <v>36</v>
      </c>
      <c r="Q826" s="6" t="s">
        <v>27</v>
      </c>
      <c r="R826" s="6">
        <v>0</v>
      </c>
      <c r="S826" s="6" t="s">
        <v>28</v>
      </c>
      <c r="T826" s="7">
        <f t="shared" si="60"/>
        <v>0.30201543624161076</v>
      </c>
      <c r="U826" s="6">
        <f t="shared" si="61"/>
        <v>7</v>
      </c>
      <c r="V826" s="5" t="str">
        <f t="shared" si="62"/>
        <v>EXCEPTIONAL</v>
      </c>
      <c r="W826" s="6" t="str">
        <f t="shared" si="63"/>
        <v>55+</v>
      </c>
      <c r="X826" s="6" t="str">
        <f t="shared" si="64"/>
        <v>High</v>
      </c>
    </row>
    <row r="827" spans="1:24">
      <c r="A827" s="6" t="s">
        <v>574</v>
      </c>
      <c r="B827" s="6" t="s">
        <v>1955</v>
      </c>
      <c r="C827" s="6" t="s">
        <v>39</v>
      </c>
      <c r="D827" s="6" t="s">
        <v>68</v>
      </c>
      <c r="E827" s="6" t="s">
        <v>114</v>
      </c>
      <c r="F827" s="6">
        <v>66</v>
      </c>
      <c r="G827" s="6" t="s">
        <v>24</v>
      </c>
      <c r="H827" s="6" t="s">
        <v>1956</v>
      </c>
      <c r="I827" s="6" t="s">
        <v>4097</v>
      </c>
      <c r="J827" s="8">
        <v>43842</v>
      </c>
      <c r="K827" s="8">
        <v>45300</v>
      </c>
      <c r="L827" s="6">
        <v>158500.25</v>
      </c>
      <c r="M827" s="6">
        <v>92000.4</v>
      </c>
      <c r="N827" s="6">
        <v>655</v>
      </c>
      <c r="O827" s="6">
        <v>188000</v>
      </c>
      <c r="P827" s="6" t="s">
        <v>76</v>
      </c>
      <c r="Q827" s="6" t="s">
        <v>27</v>
      </c>
      <c r="R827" s="6">
        <v>0</v>
      </c>
      <c r="S827" s="6" t="s">
        <v>28</v>
      </c>
      <c r="T827" s="7">
        <f t="shared" si="60"/>
        <v>0.48936382978723403</v>
      </c>
      <c r="U827" s="6">
        <f t="shared" si="61"/>
        <v>6</v>
      </c>
      <c r="V827" s="5" t="str">
        <f t="shared" si="62"/>
        <v>FAIR</v>
      </c>
      <c r="W827" s="6" t="str">
        <f t="shared" si="63"/>
        <v>55+</v>
      </c>
      <c r="X827" s="6" t="str">
        <f t="shared" si="64"/>
        <v>Upper-Middle</v>
      </c>
    </row>
    <row r="828" spans="1:24">
      <c r="A828" s="6" t="s">
        <v>577</v>
      </c>
      <c r="B828" s="6" t="s">
        <v>1957</v>
      </c>
      <c r="C828" s="6" t="s">
        <v>46</v>
      </c>
      <c r="D828" s="6" t="s">
        <v>85</v>
      </c>
      <c r="E828" s="6" t="s">
        <v>162</v>
      </c>
      <c r="F828" s="6">
        <v>55</v>
      </c>
      <c r="G828" s="6" t="s">
        <v>34</v>
      </c>
      <c r="H828" s="6" t="s">
        <v>1958</v>
      </c>
      <c r="I828" s="6" t="s">
        <v>3925</v>
      </c>
      <c r="J828" s="8">
        <v>44734</v>
      </c>
      <c r="K828" s="8">
        <v>45302</v>
      </c>
      <c r="L828" s="6">
        <v>101000.6</v>
      </c>
      <c r="M828" s="6">
        <v>52300.75</v>
      </c>
      <c r="N828" s="6">
        <v>760</v>
      </c>
      <c r="O828" s="6">
        <v>157000</v>
      </c>
      <c r="P828" s="6" t="s">
        <v>26</v>
      </c>
      <c r="Q828" s="6" t="s">
        <v>27</v>
      </c>
      <c r="R828" s="6">
        <v>0</v>
      </c>
      <c r="S828" s="6" t="s">
        <v>28</v>
      </c>
      <c r="T828" s="7">
        <f t="shared" si="60"/>
        <v>0.33312579617834392</v>
      </c>
      <c r="U828" s="6">
        <f t="shared" si="61"/>
        <v>4</v>
      </c>
      <c r="V828" s="5" t="str">
        <f t="shared" si="62"/>
        <v>VERY GOOD</v>
      </c>
      <c r="W828" s="6" t="str">
        <f t="shared" si="63"/>
        <v>55+</v>
      </c>
      <c r="X828" s="6" t="str">
        <f t="shared" si="64"/>
        <v>Upper-Middle</v>
      </c>
    </row>
    <row r="829" spans="1:24">
      <c r="A829" s="6" t="s">
        <v>458</v>
      </c>
      <c r="B829" s="6" t="s">
        <v>1959</v>
      </c>
      <c r="C829" s="6" t="s">
        <v>31</v>
      </c>
      <c r="D829" s="6" t="s">
        <v>460</v>
      </c>
      <c r="E829" s="6" t="s">
        <v>663</v>
      </c>
      <c r="F829" s="6">
        <v>46</v>
      </c>
      <c r="G829" s="6" t="s">
        <v>24</v>
      </c>
      <c r="H829" s="6" t="s">
        <v>1960</v>
      </c>
      <c r="I829" s="6" t="s">
        <v>4098</v>
      </c>
      <c r="J829" s="8">
        <v>45420</v>
      </c>
      <c r="K829" s="8">
        <v>45306</v>
      </c>
      <c r="L829" s="6">
        <v>17400.25</v>
      </c>
      <c r="M829" s="6">
        <v>10300.799999999999</v>
      </c>
      <c r="N829" s="6">
        <v>695</v>
      </c>
      <c r="O829" s="6">
        <v>57000</v>
      </c>
      <c r="P829" s="6" t="s">
        <v>26</v>
      </c>
      <c r="Q829" s="6" t="s">
        <v>43</v>
      </c>
      <c r="R829" s="6">
        <v>0</v>
      </c>
      <c r="S829" s="6" t="s">
        <v>28</v>
      </c>
      <c r="T829" s="7">
        <f t="shared" si="60"/>
        <v>0.18071578947368419</v>
      </c>
      <c r="U829" s="6">
        <f t="shared" si="61"/>
        <v>0</v>
      </c>
      <c r="V829" s="5" t="str">
        <f t="shared" si="62"/>
        <v>GOOD</v>
      </c>
      <c r="W829" s="6" t="str">
        <f t="shared" si="63"/>
        <v>45-54</v>
      </c>
      <c r="X829" s="6" t="str">
        <f t="shared" si="64"/>
        <v>Low</v>
      </c>
    </row>
    <row r="830" spans="1:24">
      <c r="A830" s="6" t="s">
        <v>582</v>
      </c>
      <c r="B830" s="6" t="s">
        <v>1961</v>
      </c>
      <c r="C830" s="6" t="s">
        <v>57</v>
      </c>
      <c r="D830" s="6" t="s">
        <v>22</v>
      </c>
      <c r="E830" s="6" t="s">
        <v>23</v>
      </c>
      <c r="F830" s="6">
        <v>49</v>
      </c>
      <c r="G830" s="6" t="s">
        <v>34</v>
      </c>
      <c r="H830" s="6" t="s">
        <v>1962</v>
      </c>
      <c r="I830" s="6" t="s">
        <v>3949</v>
      </c>
      <c r="J830" s="8">
        <v>45007</v>
      </c>
      <c r="K830" s="8">
        <v>45303</v>
      </c>
      <c r="L830" s="6">
        <v>35400.9</v>
      </c>
      <c r="M830" s="6">
        <v>14000.25</v>
      </c>
      <c r="N830" s="6">
        <v>755</v>
      </c>
      <c r="O830" s="6">
        <v>79000</v>
      </c>
      <c r="P830" s="6" t="s">
        <v>36</v>
      </c>
      <c r="Q830" s="6" t="s">
        <v>27</v>
      </c>
      <c r="R830" s="6">
        <v>0</v>
      </c>
      <c r="S830" s="6" t="s">
        <v>28</v>
      </c>
      <c r="T830" s="7">
        <f t="shared" si="60"/>
        <v>0.17721835443037975</v>
      </c>
      <c r="U830" s="6">
        <f t="shared" si="61"/>
        <v>3</v>
      </c>
      <c r="V830" s="5" t="str">
        <f t="shared" si="62"/>
        <v>VERY GOOD</v>
      </c>
      <c r="W830" s="6" t="str">
        <f t="shared" si="63"/>
        <v>45-54</v>
      </c>
      <c r="X830" s="6" t="str">
        <f t="shared" si="64"/>
        <v>Lower-Middle</v>
      </c>
    </row>
    <row r="831" spans="1:24">
      <c r="A831" s="6" t="s">
        <v>55</v>
      </c>
      <c r="B831" s="6" t="s">
        <v>1963</v>
      </c>
      <c r="C831" s="6" t="s">
        <v>39</v>
      </c>
      <c r="D831" s="6" t="s">
        <v>58</v>
      </c>
      <c r="E831" s="6" t="s">
        <v>122</v>
      </c>
      <c r="F831" s="6">
        <v>67</v>
      </c>
      <c r="G831" s="6" t="s">
        <v>24</v>
      </c>
      <c r="H831" s="6" t="s">
        <v>1964</v>
      </c>
      <c r="I831" s="6" t="s">
        <v>3617</v>
      </c>
      <c r="J831" s="8">
        <v>43760</v>
      </c>
      <c r="K831" s="8">
        <v>45300</v>
      </c>
      <c r="L831" s="6">
        <v>191400.4</v>
      </c>
      <c r="M831" s="6">
        <v>105000.75</v>
      </c>
      <c r="N831" s="6">
        <v>685</v>
      </c>
      <c r="O831" s="6">
        <v>213000</v>
      </c>
      <c r="P831" s="6" t="s">
        <v>76</v>
      </c>
      <c r="Q831" s="6" t="s">
        <v>27</v>
      </c>
      <c r="R831" s="6">
        <v>0</v>
      </c>
      <c r="S831" s="6" t="s">
        <v>28</v>
      </c>
      <c r="T831" s="7">
        <f t="shared" si="60"/>
        <v>0.4929612676056338</v>
      </c>
      <c r="U831" s="6">
        <f t="shared" si="61"/>
        <v>6</v>
      </c>
      <c r="V831" s="5" t="str">
        <f t="shared" si="62"/>
        <v>GOOD</v>
      </c>
      <c r="W831" s="6" t="str">
        <f t="shared" si="63"/>
        <v>55+</v>
      </c>
      <c r="X831" s="6" t="str">
        <f t="shared" si="64"/>
        <v>High</v>
      </c>
    </row>
    <row r="832" spans="1:24">
      <c r="A832" s="6" t="s">
        <v>469</v>
      </c>
      <c r="B832" s="6" t="s">
        <v>1965</v>
      </c>
      <c r="C832" s="6" t="s">
        <v>52</v>
      </c>
      <c r="D832" s="6" t="s">
        <v>471</v>
      </c>
      <c r="E832" s="6" t="s">
        <v>472</v>
      </c>
      <c r="F832" s="6">
        <v>58</v>
      </c>
      <c r="G832" s="6" t="s">
        <v>34</v>
      </c>
      <c r="H832" s="6" t="s">
        <v>1966</v>
      </c>
      <c r="I832" s="6" t="s">
        <v>4099</v>
      </c>
      <c r="J832" s="8">
        <v>44399</v>
      </c>
      <c r="K832" s="8">
        <v>45301</v>
      </c>
      <c r="L832" s="6">
        <v>65400.800000000003</v>
      </c>
      <c r="M832" s="6">
        <v>38500.6</v>
      </c>
      <c r="N832" s="6">
        <v>715</v>
      </c>
      <c r="O832" s="6">
        <v>112000</v>
      </c>
      <c r="P832" s="6" t="s">
        <v>26</v>
      </c>
      <c r="Q832" s="6" t="s">
        <v>27</v>
      </c>
      <c r="R832" s="6">
        <v>0</v>
      </c>
      <c r="S832" s="6" t="s">
        <v>28</v>
      </c>
      <c r="T832" s="7">
        <f t="shared" si="60"/>
        <v>0.34375535714285715</v>
      </c>
      <c r="U832" s="6">
        <f t="shared" si="61"/>
        <v>5</v>
      </c>
      <c r="V832" s="5" t="str">
        <f t="shared" si="62"/>
        <v>GOOD</v>
      </c>
      <c r="W832" s="6" t="str">
        <f t="shared" si="63"/>
        <v>55+</v>
      </c>
      <c r="X832" s="6" t="str">
        <f t="shared" si="64"/>
        <v>Lower-Middle</v>
      </c>
    </row>
    <row r="833" spans="1:24">
      <c r="A833" s="6" t="s">
        <v>474</v>
      </c>
      <c r="B833" s="6" t="s">
        <v>1967</v>
      </c>
      <c r="C833" s="6" t="s">
        <v>46</v>
      </c>
      <c r="D833" s="6" t="s">
        <v>345</v>
      </c>
      <c r="E833" s="6" t="s">
        <v>346</v>
      </c>
      <c r="F833" s="6">
        <v>61</v>
      </c>
      <c r="G833" s="6" t="s">
        <v>24</v>
      </c>
      <c r="H833" s="6" t="s">
        <v>1968</v>
      </c>
      <c r="I833" s="6" t="s">
        <v>3902</v>
      </c>
      <c r="J833" s="8">
        <v>44308</v>
      </c>
      <c r="K833" s="8">
        <v>45302</v>
      </c>
      <c r="L833" s="6">
        <v>93200.25</v>
      </c>
      <c r="M833" s="6">
        <v>48500.4</v>
      </c>
      <c r="N833" s="6">
        <v>680</v>
      </c>
      <c r="O833" s="6">
        <v>141000</v>
      </c>
      <c r="P833" s="6" t="s">
        <v>26</v>
      </c>
      <c r="Q833" s="6" t="s">
        <v>27</v>
      </c>
      <c r="R833" s="6">
        <v>0</v>
      </c>
      <c r="S833" s="6" t="s">
        <v>28</v>
      </c>
      <c r="T833" s="7">
        <f t="shared" si="60"/>
        <v>0.3439744680851064</v>
      </c>
      <c r="U833" s="6">
        <f t="shared" si="61"/>
        <v>4</v>
      </c>
      <c r="V833" s="5" t="str">
        <f t="shared" si="62"/>
        <v>GOOD</v>
      </c>
      <c r="W833" s="6" t="str">
        <f t="shared" si="63"/>
        <v>55+</v>
      </c>
      <c r="X833" s="6" t="str">
        <f t="shared" si="64"/>
        <v>Upper-Middle</v>
      </c>
    </row>
    <row r="834" spans="1:24">
      <c r="A834" s="6" t="s">
        <v>592</v>
      </c>
      <c r="B834" s="6" t="s">
        <v>1969</v>
      </c>
      <c r="C834" s="6" t="s">
        <v>84</v>
      </c>
      <c r="D834" s="6" t="s">
        <v>32</v>
      </c>
      <c r="E834" s="6" t="s">
        <v>90</v>
      </c>
      <c r="F834" s="6">
        <v>41</v>
      </c>
      <c r="G834" s="6" t="s">
        <v>34</v>
      </c>
      <c r="H834" s="6" t="s">
        <v>1970</v>
      </c>
      <c r="I834" s="6" t="s">
        <v>3578</v>
      </c>
      <c r="J834" s="8">
        <v>45434</v>
      </c>
      <c r="K834" s="8">
        <v>45304</v>
      </c>
      <c r="L834" s="6">
        <v>3750.4</v>
      </c>
      <c r="M834" s="6">
        <v>12800.75</v>
      </c>
      <c r="N834" s="6">
        <v>610</v>
      </c>
      <c r="O834" s="6">
        <v>37000</v>
      </c>
      <c r="P834" s="6" t="s">
        <v>76</v>
      </c>
      <c r="Q834" s="6" t="s">
        <v>43</v>
      </c>
      <c r="R834" s="6">
        <v>0</v>
      </c>
      <c r="S834" s="6" t="s">
        <v>28</v>
      </c>
      <c r="T834" s="7">
        <f t="shared" ref="T834:T897" si="65">IFERROR(M834/O834,"")</f>
        <v>0.3459662162162162</v>
      </c>
      <c r="U834" s="6">
        <f t="shared" ref="U834:U897" si="66">MAX($K$2:$K$1599)-K834</f>
        <v>2</v>
      </c>
      <c r="V834" s="5" t="str">
        <f t="shared" ref="V834:V897" si="67">IF(N834&lt;670,"FAIR", IF(N834&lt;750,"GOOD",IF(N834&lt;800,"VERY GOOD","EXCEPTIONAL")))</f>
        <v>FAIR</v>
      </c>
      <c r="W834" s="6" t="str">
        <f t="shared" ref="W834:W897" si="68">IF(F834&lt;25,"18-24",IF(F834&lt;35,"25-34",IF(F834&lt;45,"35-44",IF(F834&lt;55,"45-54","55+"))))</f>
        <v>35-44</v>
      </c>
      <c r="X834" s="6" t="str">
        <f t="shared" ref="X834:X897" si="69">IF(O834&lt;=_xlfn.QUARTILE.INC($O$2:$O$1599,1),"Low",IF(O834&lt;=_xlfn.QUARTILE.INC($O$2:$O$1599,2),"Lower-Middle",IF(O834&lt;=_xlfn.QUARTILE.INC($O$2:$O$1599,3),"Upper-Middle","High")))</f>
        <v>Low</v>
      </c>
    </row>
    <row r="835" spans="1:24">
      <c r="A835" s="6" t="s">
        <v>595</v>
      </c>
      <c r="B835" s="6" t="s">
        <v>1971</v>
      </c>
      <c r="C835" s="6" t="s">
        <v>21</v>
      </c>
      <c r="D835" s="6" t="s">
        <v>209</v>
      </c>
      <c r="E835" s="6" t="s">
        <v>210</v>
      </c>
      <c r="F835" s="6">
        <v>73</v>
      </c>
      <c r="G835" s="6" t="s">
        <v>24</v>
      </c>
      <c r="H835" s="6" t="s">
        <v>1972</v>
      </c>
      <c r="I835" s="6" t="s">
        <v>4100</v>
      </c>
      <c r="J835" s="8">
        <v>43456</v>
      </c>
      <c r="K835" s="8">
        <v>45299</v>
      </c>
      <c r="L835" s="6">
        <v>289400.8</v>
      </c>
      <c r="M835" s="6">
        <v>96000.25</v>
      </c>
      <c r="N835" s="6">
        <v>825</v>
      </c>
      <c r="O835" s="6">
        <v>293000</v>
      </c>
      <c r="P835" s="6" t="s">
        <v>36</v>
      </c>
      <c r="Q835" s="6" t="s">
        <v>27</v>
      </c>
      <c r="R835" s="6">
        <v>0</v>
      </c>
      <c r="S835" s="6" t="s">
        <v>28</v>
      </c>
      <c r="T835" s="7">
        <f t="shared" si="65"/>
        <v>0.32764590443686009</v>
      </c>
      <c r="U835" s="6">
        <f t="shared" si="66"/>
        <v>7</v>
      </c>
      <c r="V835" s="5" t="str">
        <f t="shared" si="67"/>
        <v>EXCEPTIONAL</v>
      </c>
      <c r="W835" s="6" t="str">
        <f t="shared" si="68"/>
        <v>55+</v>
      </c>
      <c r="X835" s="6" t="str">
        <f t="shared" si="69"/>
        <v>High</v>
      </c>
    </row>
    <row r="836" spans="1:24">
      <c r="A836" s="6" t="s">
        <v>226</v>
      </c>
      <c r="B836" s="6" t="s">
        <v>1973</v>
      </c>
      <c r="C836" s="6" t="s">
        <v>57</v>
      </c>
      <c r="D836" s="6" t="s">
        <v>228</v>
      </c>
      <c r="E836" s="6" t="s">
        <v>229</v>
      </c>
      <c r="F836" s="6">
        <v>48</v>
      </c>
      <c r="G836" s="6" t="s">
        <v>34</v>
      </c>
      <c r="H836" s="6" t="s">
        <v>1974</v>
      </c>
      <c r="I836" s="6" t="s">
        <v>4101</v>
      </c>
      <c r="J836" s="8">
        <v>45191</v>
      </c>
      <c r="K836" s="8">
        <v>45305</v>
      </c>
      <c r="L836" s="6">
        <v>32100.75</v>
      </c>
      <c r="M836" s="6">
        <v>12400.4</v>
      </c>
      <c r="N836" s="6">
        <v>725</v>
      </c>
      <c r="O836" s="6">
        <v>69000</v>
      </c>
      <c r="P836" s="6" t="s">
        <v>36</v>
      </c>
      <c r="Q836" s="6" t="s">
        <v>27</v>
      </c>
      <c r="R836" s="6">
        <v>0</v>
      </c>
      <c r="S836" s="6" t="s">
        <v>28</v>
      </c>
      <c r="T836" s="7">
        <f t="shared" si="65"/>
        <v>0.1797159420289855</v>
      </c>
      <c r="U836" s="6">
        <f t="shared" si="66"/>
        <v>1</v>
      </c>
      <c r="V836" s="5" t="str">
        <f t="shared" si="67"/>
        <v>GOOD</v>
      </c>
      <c r="W836" s="6" t="str">
        <f t="shared" si="68"/>
        <v>45-54</v>
      </c>
      <c r="X836" s="6" t="str">
        <f t="shared" si="69"/>
        <v>Low</v>
      </c>
    </row>
    <row r="837" spans="1:24">
      <c r="A837" s="6" t="s">
        <v>488</v>
      </c>
      <c r="B837" s="6" t="s">
        <v>1975</v>
      </c>
      <c r="C837" s="6" t="s">
        <v>39</v>
      </c>
      <c r="D837" s="6" t="s">
        <v>304</v>
      </c>
      <c r="E837" s="6" t="s">
        <v>304</v>
      </c>
      <c r="F837" s="6">
        <v>65</v>
      </c>
      <c r="G837" s="6" t="s">
        <v>24</v>
      </c>
      <c r="H837" s="6" t="s">
        <v>1976</v>
      </c>
      <c r="I837" s="6" t="s">
        <v>4102</v>
      </c>
      <c r="J837" s="8">
        <v>43933</v>
      </c>
      <c r="K837" s="8">
        <v>45300</v>
      </c>
      <c r="L837" s="6">
        <v>169600.6</v>
      </c>
      <c r="M837" s="6">
        <v>96000.9</v>
      </c>
      <c r="N837" s="6">
        <v>675</v>
      </c>
      <c r="O837" s="6">
        <v>193000</v>
      </c>
      <c r="P837" s="6" t="s">
        <v>76</v>
      </c>
      <c r="Q837" s="6" t="s">
        <v>27</v>
      </c>
      <c r="R837" s="6">
        <v>0</v>
      </c>
      <c r="S837" s="6" t="s">
        <v>28</v>
      </c>
      <c r="T837" s="7">
        <f t="shared" si="65"/>
        <v>0.49741398963730565</v>
      </c>
      <c r="U837" s="6">
        <f t="shared" si="66"/>
        <v>6</v>
      </c>
      <c r="V837" s="5" t="str">
        <f t="shared" si="67"/>
        <v>GOOD</v>
      </c>
      <c r="W837" s="6" t="str">
        <f t="shared" si="68"/>
        <v>55+</v>
      </c>
      <c r="X837" s="6" t="str">
        <f t="shared" si="69"/>
        <v>High</v>
      </c>
    </row>
    <row r="838" spans="1:24">
      <c r="A838" s="6" t="s">
        <v>491</v>
      </c>
      <c r="B838" s="6" t="s">
        <v>1977</v>
      </c>
      <c r="C838" s="6" t="s">
        <v>52</v>
      </c>
      <c r="D838" s="6" t="s">
        <v>493</v>
      </c>
      <c r="E838" s="6" t="s">
        <v>494</v>
      </c>
      <c r="F838" s="6">
        <v>56</v>
      </c>
      <c r="G838" s="6" t="s">
        <v>34</v>
      </c>
      <c r="H838" s="6" t="s">
        <v>1978</v>
      </c>
      <c r="I838" s="6" t="s">
        <v>4103</v>
      </c>
      <c r="J838" s="8">
        <v>44703</v>
      </c>
      <c r="K838" s="8">
        <v>45302</v>
      </c>
      <c r="L838" s="6">
        <v>59600.4</v>
      </c>
      <c r="M838" s="6">
        <v>34300.25</v>
      </c>
      <c r="N838" s="6">
        <v>705</v>
      </c>
      <c r="O838" s="6">
        <v>101000</v>
      </c>
      <c r="P838" s="6" t="s">
        <v>26</v>
      </c>
      <c r="Q838" s="6" t="s">
        <v>27</v>
      </c>
      <c r="R838" s="6">
        <v>0</v>
      </c>
      <c r="S838" s="6" t="s">
        <v>28</v>
      </c>
      <c r="T838" s="7">
        <f t="shared" si="65"/>
        <v>0.33960643564356435</v>
      </c>
      <c r="U838" s="6">
        <f t="shared" si="66"/>
        <v>4</v>
      </c>
      <c r="V838" s="5" t="str">
        <f t="shared" si="67"/>
        <v>GOOD</v>
      </c>
      <c r="W838" s="6" t="str">
        <f t="shared" si="68"/>
        <v>55+</v>
      </c>
      <c r="X838" s="6" t="str">
        <f t="shared" si="69"/>
        <v>Lower-Middle</v>
      </c>
    </row>
    <row r="839" spans="1:24">
      <c r="A839" s="6" t="s">
        <v>496</v>
      </c>
      <c r="B839" s="6" t="s">
        <v>1979</v>
      </c>
      <c r="C839" s="6" t="s">
        <v>46</v>
      </c>
      <c r="D839" s="6" t="s">
        <v>321</v>
      </c>
      <c r="E839" s="6" t="s">
        <v>498</v>
      </c>
      <c r="F839" s="6">
        <v>59</v>
      </c>
      <c r="G839" s="6" t="s">
        <v>24</v>
      </c>
      <c r="H839" s="6" t="s">
        <v>1980</v>
      </c>
      <c r="I839" s="6" t="s">
        <v>4104</v>
      </c>
      <c r="J839" s="8">
        <v>44187</v>
      </c>
      <c r="K839" s="8">
        <v>45301</v>
      </c>
      <c r="L839" s="6">
        <v>106100.75</v>
      </c>
      <c r="M839" s="6">
        <v>55400.800000000003</v>
      </c>
      <c r="N839" s="6">
        <v>730</v>
      </c>
      <c r="O839" s="6">
        <v>167000</v>
      </c>
      <c r="P839" s="6" t="s">
        <v>26</v>
      </c>
      <c r="Q839" s="6" t="s">
        <v>27</v>
      </c>
      <c r="R839" s="6">
        <v>0</v>
      </c>
      <c r="S839" s="6" t="s">
        <v>28</v>
      </c>
      <c r="T839" s="7">
        <f t="shared" si="65"/>
        <v>0.33174131736526946</v>
      </c>
      <c r="U839" s="6">
        <f t="shared" si="66"/>
        <v>5</v>
      </c>
      <c r="V839" s="5" t="str">
        <f t="shared" si="67"/>
        <v>GOOD</v>
      </c>
      <c r="W839" s="6" t="str">
        <f t="shared" si="68"/>
        <v>55+</v>
      </c>
      <c r="X839" s="6" t="str">
        <f t="shared" si="69"/>
        <v>Upper-Middle</v>
      </c>
    </row>
    <row r="840" spans="1:24">
      <c r="A840" s="6" t="s">
        <v>324</v>
      </c>
      <c r="B840" s="6" t="s">
        <v>1981</v>
      </c>
      <c r="C840" s="6" t="s">
        <v>31</v>
      </c>
      <c r="D840" s="6" t="s">
        <v>313</v>
      </c>
      <c r="E840" s="6" t="s">
        <v>385</v>
      </c>
      <c r="F840" s="6">
        <v>44</v>
      </c>
      <c r="G840" s="6" t="s">
        <v>34</v>
      </c>
      <c r="H840" s="6" t="s">
        <v>1982</v>
      </c>
      <c r="I840" s="6" t="s">
        <v>4105</v>
      </c>
      <c r="J840" s="8">
        <v>45427</v>
      </c>
      <c r="K840" s="8">
        <v>45306</v>
      </c>
      <c r="L840" s="6">
        <v>15000.9</v>
      </c>
      <c r="M840" s="6">
        <v>8900.75</v>
      </c>
      <c r="N840" s="6">
        <v>685</v>
      </c>
      <c r="O840" s="6">
        <v>54000</v>
      </c>
      <c r="P840" s="6" t="s">
        <v>26</v>
      </c>
      <c r="Q840" s="6" t="s">
        <v>43</v>
      </c>
      <c r="R840" s="6">
        <v>0</v>
      </c>
      <c r="S840" s="6" t="s">
        <v>28</v>
      </c>
      <c r="T840" s="7">
        <f t="shared" si="65"/>
        <v>0.1648287037037037</v>
      </c>
      <c r="U840" s="6">
        <f t="shared" si="66"/>
        <v>0</v>
      </c>
      <c r="V840" s="5" t="str">
        <f t="shared" si="67"/>
        <v>GOOD</v>
      </c>
      <c r="W840" s="6" t="str">
        <f t="shared" si="68"/>
        <v>35-44</v>
      </c>
      <c r="X840" s="6" t="str">
        <f t="shared" si="69"/>
        <v>Low</v>
      </c>
    </row>
    <row r="841" spans="1:24">
      <c r="A841" s="6" t="s">
        <v>503</v>
      </c>
      <c r="B841" s="6" t="s">
        <v>1983</v>
      </c>
      <c r="C841" s="6" t="s">
        <v>21</v>
      </c>
      <c r="D841" s="6" t="s">
        <v>32</v>
      </c>
      <c r="E841" s="6" t="s">
        <v>33</v>
      </c>
      <c r="F841" s="6">
        <v>76</v>
      </c>
      <c r="G841" s="6" t="s">
        <v>24</v>
      </c>
      <c r="H841" s="6" t="s">
        <v>1984</v>
      </c>
      <c r="I841" s="6" t="s">
        <v>3908</v>
      </c>
      <c r="J841" s="8">
        <v>43181</v>
      </c>
      <c r="K841" s="8">
        <v>45299</v>
      </c>
      <c r="L841" s="6">
        <v>300300.25</v>
      </c>
      <c r="M841" s="6">
        <v>100000.4</v>
      </c>
      <c r="N841" s="6">
        <v>840</v>
      </c>
      <c r="O841" s="6">
        <v>308000</v>
      </c>
      <c r="P841" s="6" t="s">
        <v>36</v>
      </c>
      <c r="Q841" s="6" t="s">
        <v>27</v>
      </c>
      <c r="R841" s="6">
        <v>0</v>
      </c>
      <c r="S841" s="6" t="s">
        <v>28</v>
      </c>
      <c r="T841" s="7">
        <f t="shared" si="65"/>
        <v>0.32467662337662334</v>
      </c>
      <c r="U841" s="6">
        <f t="shared" si="66"/>
        <v>7</v>
      </c>
      <c r="V841" s="5" t="str">
        <f t="shared" si="67"/>
        <v>EXCEPTIONAL</v>
      </c>
      <c r="W841" s="6" t="str">
        <f t="shared" si="68"/>
        <v>55+</v>
      </c>
      <c r="X841" s="6" t="str">
        <f t="shared" si="69"/>
        <v>High</v>
      </c>
    </row>
    <row r="842" spans="1:24">
      <c r="A842" s="6" t="s">
        <v>506</v>
      </c>
      <c r="B842" s="6" t="s">
        <v>1985</v>
      </c>
      <c r="C842" s="6" t="s">
        <v>39</v>
      </c>
      <c r="D842" s="6" t="s">
        <v>68</v>
      </c>
      <c r="E842" s="6" t="s">
        <v>69</v>
      </c>
      <c r="F842" s="6">
        <v>68</v>
      </c>
      <c r="G842" s="6" t="s">
        <v>34</v>
      </c>
      <c r="H842" s="6" t="s">
        <v>1986</v>
      </c>
      <c r="I842" s="6" t="s">
        <v>4080</v>
      </c>
      <c r="J842" s="8">
        <v>43699</v>
      </c>
      <c r="K842" s="8">
        <v>45300</v>
      </c>
      <c r="L842" s="6">
        <v>180700.4</v>
      </c>
      <c r="M842" s="6">
        <v>100000.75</v>
      </c>
      <c r="N842" s="6">
        <v>650</v>
      </c>
      <c r="O842" s="6">
        <v>203000</v>
      </c>
      <c r="P842" s="6" t="s">
        <v>76</v>
      </c>
      <c r="Q842" s="6" t="s">
        <v>27</v>
      </c>
      <c r="R842" s="6">
        <v>0</v>
      </c>
      <c r="S842" s="6" t="s">
        <v>28</v>
      </c>
      <c r="T842" s="7">
        <f t="shared" si="65"/>
        <v>0.49261453201970445</v>
      </c>
      <c r="U842" s="6">
        <f t="shared" si="66"/>
        <v>6</v>
      </c>
      <c r="V842" s="5" t="str">
        <f t="shared" si="67"/>
        <v>FAIR</v>
      </c>
      <c r="W842" s="6" t="str">
        <f t="shared" si="68"/>
        <v>55+</v>
      </c>
      <c r="X842" s="6" t="str">
        <f t="shared" si="69"/>
        <v>High</v>
      </c>
    </row>
    <row r="843" spans="1:24">
      <c r="A843" s="6" t="s">
        <v>509</v>
      </c>
      <c r="B843" s="6" t="s">
        <v>1987</v>
      </c>
      <c r="C843" s="6" t="s">
        <v>46</v>
      </c>
      <c r="D843" s="6" t="s">
        <v>73</v>
      </c>
      <c r="E843" s="6" t="s">
        <v>74</v>
      </c>
      <c r="F843" s="6">
        <v>55</v>
      </c>
      <c r="G843" s="6" t="s">
        <v>24</v>
      </c>
      <c r="H843" s="6" t="s">
        <v>1988</v>
      </c>
      <c r="I843" s="6" t="s">
        <v>4106</v>
      </c>
      <c r="J843" s="8">
        <v>44917</v>
      </c>
      <c r="K843" s="8">
        <v>45303</v>
      </c>
      <c r="L843" s="6">
        <v>94300.4</v>
      </c>
      <c r="M843" s="6">
        <v>49600.25</v>
      </c>
      <c r="N843" s="6">
        <v>745</v>
      </c>
      <c r="O843" s="6">
        <v>147000</v>
      </c>
      <c r="P843" s="6" t="s">
        <v>26</v>
      </c>
      <c r="Q843" s="6" t="s">
        <v>27</v>
      </c>
      <c r="R843" s="6">
        <v>0</v>
      </c>
      <c r="S843" s="6" t="s">
        <v>28</v>
      </c>
      <c r="T843" s="7">
        <f t="shared" si="65"/>
        <v>0.33741666666666664</v>
      </c>
      <c r="U843" s="6">
        <f t="shared" si="66"/>
        <v>3</v>
      </c>
      <c r="V843" s="5" t="str">
        <f t="shared" si="67"/>
        <v>GOOD</v>
      </c>
      <c r="W843" s="6" t="str">
        <f t="shared" si="68"/>
        <v>55+</v>
      </c>
      <c r="X843" s="6" t="str">
        <f t="shared" si="69"/>
        <v>Upper-Middle</v>
      </c>
    </row>
    <row r="844" spans="1:24">
      <c r="A844" s="6" t="s">
        <v>513</v>
      </c>
      <c r="B844" s="6" t="s">
        <v>1989</v>
      </c>
      <c r="C844" s="6" t="s">
        <v>57</v>
      </c>
      <c r="D844" s="6" t="s">
        <v>58</v>
      </c>
      <c r="E844" s="6" t="s">
        <v>122</v>
      </c>
      <c r="F844" s="6">
        <v>50</v>
      </c>
      <c r="G844" s="6" t="s">
        <v>34</v>
      </c>
      <c r="H844" s="6" t="s">
        <v>1990</v>
      </c>
      <c r="I844" s="6" t="s">
        <v>3910</v>
      </c>
      <c r="J844" s="8">
        <v>45099</v>
      </c>
      <c r="K844" s="8">
        <v>45302</v>
      </c>
      <c r="L844" s="6">
        <v>34300.800000000003</v>
      </c>
      <c r="M844" s="6">
        <v>13600.9</v>
      </c>
      <c r="N844" s="6">
        <v>765</v>
      </c>
      <c r="O844" s="6">
        <v>79000</v>
      </c>
      <c r="P844" s="6" t="s">
        <v>36</v>
      </c>
      <c r="Q844" s="6" t="s">
        <v>27</v>
      </c>
      <c r="R844" s="6">
        <v>0</v>
      </c>
      <c r="S844" s="6" t="s">
        <v>28</v>
      </c>
      <c r="T844" s="7">
        <f t="shared" si="65"/>
        <v>0.1721632911392405</v>
      </c>
      <c r="U844" s="6">
        <f t="shared" si="66"/>
        <v>4</v>
      </c>
      <c r="V844" s="5" t="str">
        <f t="shared" si="67"/>
        <v>VERY GOOD</v>
      </c>
      <c r="W844" s="6" t="str">
        <f t="shared" si="68"/>
        <v>45-54</v>
      </c>
      <c r="X844" s="6" t="str">
        <f t="shared" si="69"/>
        <v>Lower-Middle</v>
      </c>
    </row>
    <row r="845" spans="1:24">
      <c r="A845" s="6" t="s">
        <v>516</v>
      </c>
      <c r="B845" s="6" t="s">
        <v>1991</v>
      </c>
      <c r="C845" s="6" t="s">
        <v>52</v>
      </c>
      <c r="D845" s="6" t="s">
        <v>277</v>
      </c>
      <c r="E845" s="6" t="s">
        <v>404</v>
      </c>
      <c r="F845" s="6">
        <v>63</v>
      </c>
      <c r="G845" s="6" t="s">
        <v>24</v>
      </c>
      <c r="H845" s="6" t="s">
        <v>1992</v>
      </c>
      <c r="I845" s="6" t="s">
        <v>3911</v>
      </c>
      <c r="J845" s="8">
        <v>44369</v>
      </c>
      <c r="K845" s="8">
        <v>45301</v>
      </c>
      <c r="L845" s="6">
        <v>67600.75</v>
      </c>
      <c r="M845" s="6">
        <v>40700.400000000001</v>
      </c>
      <c r="N845" s="6">
        <v>675</v>
      </c>
      <c r="O845" s="6">
        <v>119000</v>
      </c>
      <c r="P845" s="6" t="s">
        <v>26</v>
      </c>
      <c r="Q845" s="6" t="s">
        <v>27</v>
      </c>
      <c r="R845" s="6">
        <v>0</v>
      </c>
      <c r="S845" s="6" t="s">
        <v>28</v>
      </c>
      <c r="T845" s="7">
        <f t="shared" si="65"/>
        <v>0.3420201680672269</v>
      </c>
      <c r="U845" s="6">
        <f t="shared" si="66"/>
        <v>5</v>
      </c>
      <c r="V845" s="5" t="str">
        <f t="shared" si="67"/>
        <v>GOOD</v>
      </c>
      <c r="W845" s="6" t="str">
        <f t="shared" si="68"/>
        <v>55+</v>
      </c>
      <c r="X845" s="6" t="str">
        <f t="shared" si="69"/>
        <v>Lower-Middle</v>
      </c>
    </row>
    <row r="846" spans="1:24">
      <c r="A846" s="6" t="s">
        <v>519</v>
      </c>
      <c r="B846" s="6" t="s">
        <v>1993</v>
      </c>
      <c r="C846" s="6" t="s">
        <v>84</v>
      </c>
      <c r="D846" s="6" t="s">
        <v>183</v>
      </c>
      <c r="E846" s="6" t="s">
        <v>184</v>
      </c>
      <c r="F846" s="6">
        <v>42</v>
      </c>
      <c r="G846" s="6" t="s">
        <v>34</v>
      </c>
      <c r="H846" s="6" t="s">
        <v>1994</v>
      </c>
      <c r="I846" s="6" t="s">
        <v>3912</v>
      </c>
      <c r="J846" s="8">
        <v>45440</v>
      </c>
      <c r="K846" s="8">
        <v>45304</v>
      </c>
      <c r="L846" s="6">
        <v>4000.25</v>
      </c>
      <c r="M846" s="6">
        <v>14000.6</v>
      </c>
      <c r="N846" s="6">
        <v>615</v>
      </c>
      <c r="O846" s="6">
        <v>39000</v>
      </c>
      <c r="P846" s="6" t="s">
        <v>76</v>
      </c>
      <c r="Q846" s="6" t="s">
        <v>43</v>
      </c>
      <c r="R846" s="6">
        <v>0</v>
      </c>
      <c r="S846" s="6" t="s">
        <v>28</v>
      </c>
      <c r="T846" s="7">
        <f t="shared" si="65"/>
        <v>0.35898974358974362</v>
      </c>
      <c r="U846" s="6">
        <f t="shared" si="66"/>
        <v>2</v>
      </c>
      <c r="V846" s="5" t="str">
        <f t="shared" si="67"/>
        <v>FAIR</v>
      </c>
      <c r="W846" s="6" t="str">
        <f t="shared" si="68"/>
        <v>35-44</v>
      </c>
      <c r="X846" s="6" t="str">
        <f t="shared" si="69"/>
        <v>Low</v>
      </c>
    </row>
    <row r="847" spans="1:24">
      <c r="A847" s="6" t="s">
        <v>522</v>
      </c>
      <c r="B847" s="6" t="s">
        <v>1995</v>
      </c>
      <c r="C847" s="6" t="s">
        <v>39</v>
      </c>
      <c r="D847" s="6" t="s">
        <v>40</v>
      </c>
      <c r="E847" s="6" t="s">
        <v>41</v>
      </c>
      <c r="F847" s="6">
        <v>70</v>
      </c>
      <c r="G847" s="6" t="s">
        <v>24</v>
      </c>
      <c r="H847" s="6" t="s">
        <v>1996</v>
      </c>
      <c r="I847" s="6" t="s">
        <v>3510</v>
      </c>
      <c r="J847" s="8">
        <v>43668</v>
      </c>
      <c r="K847" s="8">
        <v>45299</v>
      </c>
      <c r="L847" s="6">
        <v>215300.8</v>
      </c>
      <c r="M847" s="6">
        <v>113000.25</v>
      </c>
      <c r="N847" s="6">
        <v>660</v>
      </c>
      <c r="O847" s="6">
        <v>238000</v>
      </c>
      <c r="P847" s="6" t="s">
        <v>76</v>
      </c>
      <c r="Q847" s="6" t="s">
        <v>27</v>
      </c>
      <c r="R847" s="6">
        <v>0</v>
      </c>
      <c r="S847" s="6" t="s">
        <v>28</v>
      </c>
      <c r="T847" s="7">
        <f t="shared" si="65"/>
        <v>0.4747909663865546</v>
      </c>
      <c r="U847" s="6">
        <f t="shared" si="66"/>
        <v>7</v>
      </c>
      <c r="V847" s="5" t="str">
        <f t="shared" si="67"/>
        <v>FAIR</v>
      </c>
      <c r="W847" s="6" t="str">
        <f t="shared" si="68"/>
        <v>55+</v>
      </c>
      <c r="X847" s="6" t="str">
        <f t="shared" si="69"/>
        <v>High</v>
      </c>
    </row>
    <row r="848" spans="1:24">
      <c r="A848" s="6" t="s">
        <v>306</v>
      </c>
      <c r="B848" s="6" t="s">
        <v>1997</v>
      </c>
      <c r="C848" s="6" t="s">
        <v>46</v>
      </c>
      <c r="D848" s="6" t="s">
        <v>209</v>
      </c>
      <c r="E848" s="6" t="s">
        <v>447</v>
      </c>
      <c r="F848" s="6">
        <v>57</v>
      </c>
      <c r="G848" s="6" t="s">
        <v>34</v>
      </c>
      <c r="H848" s="6" t="s">
        <v>1998</v>
      </c>
      <c r="I848" s="6" t="s">
        <v>4107</v>
      </c>
      <c r="J848" s="8">
        <v>44522</v>
      </c>
      <c r="K848" s="8">
        <v>45302</v>
      </c>
      <c r="L848" s="6">
        <v>88700.9</v>
      </c>
      <c r="M848" s="6">
        <v>46500.75</v>
      </c>
      <c r="N848" s="6">
        <v>730</v>
      </c>
      <c r="O848" s="6">
        <v>142000</v>
      </c>
      <c r="P848" s="6" t="s">
        <v>26</v>
      </c>
      <c r="Q848" s="6" t="s">
        <v>27</v>
      </c>
      <c r="R848" s="6">
        <v>0</v>
      </c>
      <c r="S848" s="6" t="s">
        <v>28</v>
      </c>
      <c r="T848" s="7">
        <f t="shared" si="65"/>
        <v>0.32747007042253523</v>
      </c>
      <c r="U848" s="6">
        <f t="shared" si="66"/>
        <v>4</v>
      </c>
      <c r="V848" s="5" t="str">
        <f t="shared" si="67"/>
        <v>GOOD</v>
      </c>
      <c r="W848" s="6" t="str">
        <f t="shared" si="68"/>
        <v>55+</v>
      </c>
      <c r="X848" s="6" t="str">
        <f t="shared" si="69"/>
        <v>Upper-Middle</v>
      </c>
    </row>
    <row r="849" spans="1:24">
      <c r="A849" s="6" t="s">
        <v>527</v>
      </c>
      <c r="B849" s="6" t="s">
        <v>1999</v>
      </c>
      <c r="C849" s="6" t="s">
        <v>31</v>
      </c>
      <c r="D849" s="6" t="s">
        <v>32</v>
      </c>
      <c r="E849" s="6" t="s">
        <v>90</v>
      </c>
      <c r="F849" s="6">
        <v>46</v>
      </c>
      <c r="G849" s="6" t="s">
        <v>34</v>
      </c>
      <c r="H849" s="6" t="s">
        <v>2000</v>
      </c>
      <c r="I849" s="6" t="s">
        <v>3509</v>
      </c>
      <c r="J849" s="8">
        <v>45434</v>
      </c>
      <c r="K849" s="8">
        <v>45305</v>
      </c>
      <c r="L849" s="6">
        <v>16100.4</v>
      </c>
      <c r="M849" s="6">
        <v>9000.25</v>
      </c>
      <c r="N849" s="6">
        <v>705</v>
      </c>
      <c r="O849" s="6">
        <v>56000</v>
      </c>
      <c r="P849" s="6" t="s">
        <v>26</v>
      </c>
      <c r="Q849" s="6" t="s">
        <v>43</v>
      </c>
      <c r="R849" s="6">
        <v>0</v>
      </c>
      <c r="S849" s="6" t="s">
        <v>28</v>
      </c>
      <c r="T849" s="7">
        <f t="shared" si="65"/>
        <v>0.16071874999999999</v>
      </c>
      <c r="U849" s="6">
        <f t="shared" si="66"/>
        <v>1</v>
      </c>
      <c r="V849" s="5" t="str">
        <f t="shared" si="67"/>
        <v>GOOD</v>
      </c>
      <c r="W849" s="6" t="str">
        <f t="shared" si="68"/>
        <v>45-54</v>
      </c>
      <c r="X849" s="6" t="str">
        <f t="shared" si="69"/>
        <v>Low</v>
      </c>
    </row>
    <row r="850" spans="1:24">
      <c r="A850" s="6" t="s">
        <v>530</v>
      </c>
      <c r="B850" s="6" t="s">
        <v>2001</v>
      </c>
      <c r="C850" s="6" t="s">
        <v>57</v>
      </c>
      <c r="D850" s="6" t="s">
        <v>219</v>
      </c>
      <c r="E850" s="6" t="s">
        <v>220</v>
      </c>
      <c r="F850" s="6">
        <v>51</v>
      </c>
      <c r="G850" s="6" t="s">
        <v>24</v>
      </c>
      <c r="H850" s="6" t="s">
        <v>2002</v>
      </c>
      <c r="I850" s="6" t="s">
        <v>4108</v>
      </c>
      <c r="J850" s="8">
        <v>45068</v>
      </c>
      <c r="K850" s="8">
        <v>45303</v>
      </c>
      <c r="L850" s="6">
        <v>33200.6</v>
      </c>
      <c r="M850" s="6">
        <v>13000.8</v>
      </c>
      <c r="N850" s="6">
        <v>710</v>
      </c>
      <c r="O850" s="6">
        <v>72000</v>
      </c>
      <c r="P850" s="6" t="s">
        <v>36</v>
      </c>
      <c r="Q850" s="6" t="s">
        <v>27</v>
      </c>
      <c r="R850" s="6">
        <v>0</v>
      </c>
      <c r="S850" s="6" t="s">
        <v>28</v>
      </c>
      <c r="T850" s="7">
        <f t="shared" si="65"/>
        <v>0.18056666666666665</v>
      </c>
      <c r="U850" s="6">
        <f t="shared" si="66"/>
        <v>3</v>
      </c>
      <c r="V850" s="5" t="str">
        <f t="shared" si="67"/>
        <v>GOOD</v>
      </c>
      <c r="W850" s="6" t="str">
        <f t="shared" si="68"/>
        <v>45-54</v>
      </c>
      <c r="X850" s="6" t="str">
        <f t="shared" si="69"/>
        <v>Low</v>
      </c>
    </row>
    <row r="851" spans="1:24">
      <c r="A851" s="6" t="s">
        <v>533</v>
      </c>
      <c r="B851" s="6" t="s">
        <v>2003</v>
      </c>
      <c r="C851" s="6" t="s">
        <v>52</v>
      </c>
      <c r="D851" s="6" t="s">
        <v>204</v>
      </c>
      <c r="E851" s="6" t="s">
        <v>259</v>
      </c>
      <c r="F851" s="6">
        <v>58</v>
      </c>
      <c r="G851" s="6" t="s">
        <v>34</v>
      </c>
      <c r="H851" s="6" t="s">
        <v>2004</v>
      </c>
      <c r="I851" s="6" t="s">
        <v>3563</v>
      </c>
      <c r="J851" s="8">
        <v>44369</v>
      </c>
      <c r="K851" s="8">
        <v>45301</v>
      </c>
      <c r="L851" s="6">
        <v>64500.25</v>
      </c>
      <c r="M851" s="6">
        <v>37600.9</v>
      </c>
      <c r="N851" s="6">
        <v>695</v>
      </c>
      <c r="O851" s="6">
        <v>107000</v>
      </c>
      <c r="P851" s="6" t="s">
        <v>26</v>
      </c>
      <c r="Q851" s="6" t="s">
        <v>27</v>
      </c>
      <c r="R851" s="6">
        <v>0</v>
      </c>
      <c r="S851" s="6" t="s">
        <v>28</v>
      </c>
      <c r="T851" s="7">
        <f t="shared" si="65"/>
        <v>0.35141028037383176</v>
      </c>
      <c r="U851" s="6">
        <f t="shared" si="66"/>
        <v>5</v>
      </c>
      <c r="V851" s="5" t="str">
        <f t="shared" si="67"/>
        <v>GOOD</v>
      </c>
      <c r="W851" s="6" t="str">
        <f t="shared" si="68"/>
        <v>55+</v>
      </c>
      <c r="X851" s="6" t="str">
        <f t="shared" si="69"/>
        <v>Lower-Middle</v>
      </c>
    </row>
    <row r="852" spans="1:24">
      <c r="A852" s="6" t="s">
        <v>536</v>
      </c>
      <c r="B852" s="6" t="s">
        <v>2005</v>
      </c>
      <c r="C852" s="6" t="s">
        <v>39</v>
      </c>
      <c r="D852" s="6" t="s">
        <v>195</v>
      </c>
      <c r="E852" s="6" t="s">
        <v>300</v>
      </c>
      <c r="F852" s="6">
        <v>66</v>
      </c>
      <c r="G852" s="6" t="s">
        <v>24</v>
      </c>
      <c r="H852" s="6" t="s">
        <v>2006</v>
      </c>
      <c r="I852" s="6" t="s">
        <v>4109</v>
      </c>
      <c r="J852" s="8">
        <v>43821</v>
      </c>
      <c r="K852" s="8">
        <v>45300</v>
      </c>
      <c r="L852" s="6">
        <v>147500.4</v>
      </c>
      <c r="M852" s="6">
        <v>87000.6</v>
      </c>
      <c r="N852" s="6">
        <v>670</v>
      </c>
      <c r="O852" s="6">
        <v>174000</v>
      </c>
      <c r="P852" s="6" t="s">
        <v>76</v>
      </c>
      <c r="Q852" s="6" t="s">
        <v>27</v>
      </c>
      <c r="R852" s="6">
        <v>0</v>
      </c>
      <c r="S852" s="6" t="s">
        <v>28</v>
      </c>
      <c r="T852" s="7">
        <f t="shared" si="65"/>
        <v>0.50000344827586207</v>
      </c>
      <c r="U852" s="6">
        <f t="shared" si="66"/>
        <v>6</v>
      </c>
      <c r="V852" s="5" t="str">
        <f t="shared" si="67"/>
        <v>GOOD</v>
      </c>
      <c r="W852" s="6" t="str">
        <f t="shared" si="68"/>
        <v>55+</v>
      </c>
      <c r="X852" s="6" t="str">
        <f t="shared" si="69"/>
        <v>Upper-Middle</v>
      </c>
    </row>
    <row r="853" spans="1:24">
      <c r="A853" s="6" t="s">
        <v>539</v>
      </c>
      <c r="B853" s="6" t="s">
        <v>2007</v>
      </c>
      <c r="C853" s="6" t="s">
        <v>21</v>
      </c>
      <c r="D853" s="6" t="s">
        <v>58</v>
      </c>
      <c r="E853" s="6" t="s">
        <v>59</v>
      </c>
      <c r="F853" s="6">
        <v>74</v>
      </c>
      <c r="G853" s="6" t="s">
        <v>34</v>
      </c>
      <c r="H853" s="6" t="s">
        <v>2008</v>
      </c>
      <c r="I853" s="6" t="s">
        <v>3564</v>
      </c>
      <c r="J853" s="8">
        <v>43395</v>
      </c>
      <c r="K853" s="8">
        <v>45299</v>
      </c>
      <c r="L853" s="6">
        <v>314400.75</v>
      </c>
      <c r="M853" s="6">
        <v>104000.8</v>
      </c>
      <c r="N853" s="6">
        <v>835</v>
      </c>
      <c r="O853" s="6">
        <v>319000</v>
      </c>
      <c r="P853" s="6" t="s">
        <v>36</v>
      </c>
      <c r="Q853" s="6" t="s">
        <v>27</v>
      </c>
      <c r="R853" s="6">
        <v>0</v>
      </c>
      <c r="S853" s="6" t="s">
        <v>28</v>
      </c>
      <c r="T853" s="7">
        <f t="shared" si="65"/>
        <v>0.32602131661442008</v>
      </c>
      <c r="U853" s="6">
        <f t="shared" si="66"/>
        <v>7</v>
      </c>
      <c r="V853" s="5" t="str">
        <f t="shared" si="67"/>
        <v>EXCEPTIONAL</v>
      </c>
      <c r="W853" s="6" t="str">
        <f t="shared" si="68"/>
        <v>55+</v>
      </c>
      <c r="X853" s="6" t="str">
        <f t="shared" si="69"/>
        <v>High</v>
      </c>
    </row>
    <row r="854" spans="1:24">
      <c r="A854" s="6" t="s">
        <v>542</v>
      </c>
      <c r="B854" s="6" t="s">
        <v>2009</v>
      </c>
      <c r="C854" s="6" t="s">
        <v>52</v>
      </c>
      <c r="D854" s="6" t="s">
        <v>68</v>
      </c>
      <c r="E854" s="6" t="s">
        <v>179</v>
      </c>
      <c r="F854" s="6">
        <v>61</v>
      </c>
      <c r="G854" s="6" t="s">
        <v>34</v>
      </c>
      <c r="H854" s="6" t="s">
        <v>2010</v>
      </c>
      <c r="I854" s="6" t="s">
        <v>4097</v>
      </c>
      <c r="J854" s="8">
        <v>44338</v>
      </c>
      <c r="K854" s="8">
        <v>45302</v>
      </c>
      <c r="L854" s="6">
        <v>73200.600000000006</v>
      </c>
      <c r="M854" s="6">
        <v>43200.25</v>
      </c>
      <c r="N854" s="6">
        <v>665</v>
      </c>
      <c r="O854" s="6">
        <v>127000</v>
      </c>
      <c r="P854" s="6" t="s">
        <v>26</v>
      </c>
      <c r="Q854" s="6" t="s">
        <v>27</v>
      </c>
      <c r="R854" s="6">
        <v>0</v>
      </c>
      <c r="S854" s="6" t="s">
        <v>28</v>
      </c>
      <c r="T854" s="7">
        <f t="shared" si="65"/>
        <v>0.34015944881889765</v>
      </c>
      <c r="U854" s="6">
        <f t="shared" si="66"/>
        <v>4</v>
      </c>
      <c r="V854" s="5" t="str">
        <f t="shared" si="67"/>
        <v>FAIR</v>
      </c>
      <c r="W854" s="6" t="str">
        <f t="shared" si="68"/>
        <v>55+</v>
      </c>
      <c r="X854" s="6" t="str">
        <f t="shared" si="69"/>
        <v>Upper-Middle</v>
      </c>
    </row>
    <row r="855" spans="1:24">
      <c r="A855" s="6" t="s">
        <v>545</v>
      </c>
      <c r="B855" s="6" t="s">
        <v>2011</v>
      </c>
      <c r="C855" s="6" t="s">
        <v>46</v>
      </c>
      <c r="D855" s="6" t="s">
        <v>241</v>
      </c>
      <c r="E855" s="6" t="s">
        <v>389</v>
      </c>
      <c r="F855" s="6">
        <v>53</v>
      </c>
      <c r="G855" s="6" t="s">
        <v>24</v>
      </c>
      <c r="H855" s="6" t="s">
        <v>2012</v>
      </c>
      <c r="I855" s="6" t="s">
        <v>4110</v>
      </c>
      <c r="J855" s="8">
        <v>44979</v>
      </c>
      <c r="K855" s="8">
        <v>45303</v>
      </c>
      <c r="L855" s="6">
        <v>96500.800000000003</v>
      </c>
      <c r="M855" s="6">
        <v>50700.4</v>
      </c>
      <c r="N855" s="6">
        <v>750</v>
      </c>
      <c r="O855" s="6">
        <v>153000</v>
      </c>
      <c r="P855" s="6" t="s">
        <v>26</v>
      </c>
      <c r="Q855" s="6" t="s">
        <v>27</v>
      </c>
      <c r="R855" s="6">
        <v>0</v>
      </c>
      <c r="S855" s="6" t="s">
        <v>28</v>
      </c>
      <c r="T855" s="7">
        <f t="shared" si="65"/>
        <v>0.33137516339869283</v>
      </c>
      <c r="U855" s="6">
        <f t="shared" si="66"/>
        <v>3</v>
      </c>
      <c r="V855" s="5" t="str">
        <f t="shared" si="67"/>
        <v>VERY GOOD</v>
      </c>
      <c r="W855" s="6" t="str">
        <f t="shared" si="68"/>
        <v>45-54</v>
      </c>
      <c r="X855" s="6" t="str">
        <f t="shared" si="69"/>
        <v>Upper-Middle</v>
      </c>
    </row>
    <row r="856" spans="1:24">
      <c r="A856" s="6" t="s">
        <v>548</v>
      </c>
      <c r="B856" s="6" t="s">
        <v>2013</v>
      </c>
      <c r="C856" s="6" t="s">
        <v>57</v>
      </c>
      <c r="D856" s="6" t="s">
        <v>22</v>
      </c>
      <c r="E856" s="6" t="s">
        <v>381</v>
      </c>
      <c r="F856" s="6">
        <v>49</v>
      </c>
      <c r="G856" s="6" t="s">
        <v>34</v>
      </c>
      <c r="H856" s="6" t="s">
        <v>2014</v>
      </c>
      <c r="I856" s="6" t="s">
        <v>3941</v>
      </c>
      <c r="J856" s="8">
        <v>45160</v>
      </c>
      <c r="K856" s="8">
        <v>45305</v>
      </c>
      <c r="L856" s="6">
        <v>35400.9</v>
      </c>
      <c r="M856" s="6">
        <v>14000.75</v>
      </c>
      <c r="N856" s="6">
        <v>770</v>
      </c>
      <c r="O856" s="6">
        <v>84000</v>
      </c>
      <c r="P856" s="6" t="s">
        <v>36</v>
      </c>
      <c r="Q856" s="6" t="s">
        <v>27</v>
      </c>
      <c r="R856" s="6">
        <v>0</v>
      </c>
      <c r="S856" s="6" t="s">
        <v>28</v>
      </c>
      <c r="T856" s="7">
        <f t="shared" si="65"/>
        <v>0.16667559523809525</v>
      </c>
      <c r="U856" s="6">
        <f t="shared" si="66"/>
        <v>1</v>
      </c>
      <c r="V856" s="5" t="str">
        <f t="shared" si="67"/>
        <v>VERY GOOD</v>
      </c>
      <c r="W856" s="6" t="str">
        <f t="shared" si="68"/>
        <v>45-54</v>
      </c>
      <c r="X856" s="6" t="str">
        <f t="shared" si="69"/>
        <v>Lower-Middle</v>
      </c>
    </row>
    <row r="857" spans="1:24">
      <c r="A857" s="6" t="s">
        <v>551</v>
      </c>
      <c r="B857" s="6" t="s">
        <v>2015</v>
      </c>
      <c r="C857" s="6" t="s">
        <v>39</v>
      </c>
      <c r="D857" s="6" t="s">
        <v>313</v>
      </c>
      <c r="E857" s="6" t="s">
        <v>501</v>
      </c>
      <c r="F857" s="6">
        <v>72</v>
      </c>
      <c r="G857" s="6" t="s">
        <v>24</v>
      </c>
      <c r="H857" s="6" t="s">
        <v>2016</v>
      </c>
      <c r="I857" s="6" t="s">
        <v>4111</v>
      </c>
      <c r="J857" s="8">
        <v>43577</v>
      </c>
      <c r="K857" s="8">
        <v>45299</v>
      </c>
      <c r="L857" s="6">
        <v>200600.25</v>
      </c>
      <c r="M857" s="6">
        <v>108000.8</v>
      </c>
      <c r="N857" s="6">
        <v>645</v>
      </c>
      <c r="O857" s="6">
        <v>224000</v>
      </c>
      <c r="P857" s="6" t="s">
        <v>76</v>
      </c>
      <c r="Q857" s="6" t="s">
        <v>27</v>
      </c>
      <c r="R857" s="6">
        <v>0</v>
      </c>
      <c r="S857" s="6" t="s">
        <v>28</v>
      </c>
      <c r="T857" s="7">
        <f t="shared" si="65"/>
        <v>0.48214642857142859</v>
      </c>
      <c r="U857" s="6">
        <f t="shared" si="66"/>
        <v>7</v>
      </c>
      <c r="V857" s="5" t="str">
        <f t="shared" si="67"/>
        <v>FAIR</v>
      </c>
      <c r="W857" s="6" t="str">
        <f t="shared" si="68"/>
        <v>55+</v>
      </c>
      <c r="X857" s="6" t="str">
        <f t="shared" si="69"/>
        <v>High</v>
      </c>
    </row>
    <row r="858" spans="1:24">
      <c r="A858" s="6" t="s">
        <v>554</v>
      </c>
      <c r="B858" s="6" t="s">
        <v>2017</v>
      </c>
      <c r="C858" s="6" t="s">
        <v>31</v>
      </c>
      <c r="D858" s="6" t="s">
        <v>214</v>
      </c>
      <c r="E858" s="6" t="s">
        <v>483</v>
      </c>
      <c r="F858" s="6">
        <v>45</v>
      </c>
      <c r="G858" s="6" t="s">
        <v>34</v>
      </c>
      <c r="H858" s="6" t="s">
        <v>2018</v>
      </c>
      <c r="I858" s="6" t="s">
        <v>4112</v>
      </c>
      <c r="J858" s="8">
        <v>45440</v>
      </c>
      <c r="K858" s="8">
        <v>45306</v>
      </c>
      <c r="L858" s="6">
        <v>29200.5</v>
      </c>
      <c r="M858" s="6">
        <v>13600.4</v>
      </c>
      <c r="N858" s="6">
        <v>720</v>
      </c>
      <c r="O858" s="6">
        <v>61000</v>
      </c>
      <c r="P858" s="6" t="s">
        <v>36</v>
      </c>
      <c r="Q858" s="6" t="s">
        <v>27</v>
      </c>
      <c r="R858" s="6">
        <v>0</v>
      </c>
      <c r="S858" s="6" t="s">
        <v>28</v>
      </c>
      <c r="T858" s="7">
        <f t="shared" si="65"/>
        <v>0.22295737704918031</v>
      </c>
      <c r="U858" s="6">
        <f t="shared" si="66"/>
        <v>0</v>
      </c>
      <c r="V858" s="5" t="str">
        <f t="shared" si="67"/>
        <v>GOOD</v>
      </c>
      <c r="W858" s="6" t="str">
        <f t="shared" si="68"/>
        <v>45-54</v>
      </c>
      <c r="X858" s="6" t="str">
        <f t="shared" si="69"/>
        <v>Low</v>
      </c>
    </row>
    <row r="859" spans="1:24">
      <c r="A859" s="6" t="s">
        <v>108</v>
      </c>
      <c r="B859" s="6" t="s">
        <v>2019</v>
      </c>
      <c r="C859" s="6" t="s">
        <v>84</v>
      </c>
      <c r="D859" s="6" t="s">
        <v>32</v>
      </c>
      <c r="E859" s="6" t="s">
        <v>33</v>
      </c>
      <c r="F859" s="6">
        <v>41</v>
      </c>
      <c r="G859" s="6" t="s">
        <v>24</v>
      </c>
      <c r="H859" s="6" t="s">
        <v>2020</v>
      </c>
      <c r="I859" s="6" t="s">
        <v>3578</v>
      </c>
      <c r="J859" s="8">
        <v>45440</v>
      </c>
      <c r="K859" s="8">
        <v>45304</v>
      </c>
      <c r="L859" s="6">
        <v>3750.8</v>
      </c>
      <c r="M859" s="6">
        <v>12400.25</v>
      </c>
      <c r="N859" s="6">
        <v>605</v>
      </c>
      <c r="O859" s="6">
        <v>37000</v>
      </c>
      <c r="P859" s="6" t="s">
        <v>76</v>
      </c>
      <c r="Q859" s="6" t="s">
        <v>43</v>
      </c>
      <c r="R859" s="6">
        <v>0</v>
      </c>
      <c r="S859" s="6" t="s">
        <v>28</v>
      </c>
      <c r="T859" s="7">
        <f t="shared" si="65"/>
        <v>0.33514189189189192</v>
      </c>
      <c r="U859" s="6">
        <f t="shared" si="66"/>
        <v>2</v>
      </c>
      <c r="V859" s="5" t="str">
        <f t="shared" si="67"/>
        <v>FAIR</v>
      </c>
      <c r="W859" s="6" t="str">
        <f t="shared" si="68"/>
        <v>35-44</v>
      </c>
      <c r="X859" s="6" t="str">
        <f t="shared" si="69"/>
        <v>Low</v>
      </c>
    </row>
    <row r="860" spans="1:24">
      <c r="A860" s="6" t="s">
        <v>559</v>
      </c>
      <c r="B860" s="6" t="s">
        <v>2021</v>
      </c>
      <c r="C860" s="6" t="s">
        <v>46</v>
      </c>
      <c r="D860" s="6" t="s">
        <v>254</v>
      </c>
      <c r="E860" s="6" t="s">
        <v>255</v>
      </c>
      <c r="F860" s="6">
        <v>55</v>
      </c>
      <c r="G860" s="6" t="s">
        <v>34</v>
      </c>
      <c r="H860" s="6" t="s">
        <v>2022</v>
      </c>
      <c r="I860" s="6" t="s">
        <v>4113</v>
      </c>
      <c r="J860" s="8">
        <v>44856</v>
      </c>
      <c r="K860" s="8">
        <v>45302</v>
      </c>
      <c r="L860" s="6">
        <v>83200.399999999994</v>
      </c>
      <c r="M860" s="6">
        <v>45400.75</v>
      </c>
      <c r="N860" s="6">
        <v>710</v>
      </c>
      <c r="O860" s="6">
        <v>135000</v>
      </c>
      <c r="P860" s="6" t="s">
        <v>26</v>
      </c>
      <c r="Q860" s="6" t="s">
        <v>27</v>
      </c>
      <c r="R860" s="6">
        <v>0</v>
      </c>
      <c r="S860" s="6" t="s">
        <v>28</v>
      </c>
      <c r="T860" s="7">
        <f t="shared" si="65"/>
        <v>0.33630185185185185</v>
      </c>
      <c r="U860" s="6">
        <f t="shared" si="66"/>
        <v>4</v>
      </c>
      <c r="V860" s="5" t="str">
        <f t="shared" si="67"/>
        <v>GOOD</v>
      </c>
      <c r="W860" s="6" t="str">
        <f t="shared" si="68"/>
        <v>55+</v>
      </c>
      <c r="X860" s="6" t="str">
        <f t="shared" si="69"/>
        <v>Upper-Middle</v>
      </c>
    </row>
    <row r="861" spans="1:24">
      <c r="A861" s="6" t="s">
        <v>562</v>
      </c>
      <c r="B861" s="6" t="s">
        <v>2023</v>
      </c>
      <c r="C861" s="6" t="s">
        <v>39</v>
      </c>
      <c r="D861" s="6" t="s">
        <v>47</v>
      </c>
      <c r="E861" s="6" t="s">
        <v>48</v>
      </c>
      <c r="F861" s="6">
        <v>69</v>
      </c>
      <c r="G861" s="6" t="s">
        <v>24</v>
      </c>
      <c r="H861" s="6" t="s">
        <v>2024</v>
      </c>
      <c r="I861" s="6" t="s">
        <v>3921</v>
      </c>
      <c r="J861" s="8">
        <v>43730</v>
      </c>
      <c r="K861" s="8">
        <v>45300</v>
      </c>
      <c r="L861" s="6">
        <v>180800.6</v>
      </c>
      <c r="M861" s="6">
        <v>101000.25</v>
      </c>
      <c r="N861" s="6">
        <v>675</v>
      </c>
      <c r="O861" s="6">
        <v>204000</v>
      </c>
      <c r="P861" s="6" t="s">
        <v>76</v>
      </c>
      <c r="Q861" s="6" t="s">
        <v>27</v>
      </c>
      <c r="R861" s="6">
        <v>0</v>
      </c>
      <c r="S861" s="6" t="s">
        <v>28</v>
      </c>
      <c r="T861" s="7">
        <f t="shared" si="65"/>
        <v>0.49509926470588234</v>
      </c>
      <c r="U861" s="6">
        <f t="shared" si="66"/>
        <v>6</v>
      </c>
      <c r="V861" s="5" t="str">
        <f t="shared" si="67"/>
        <v>GOOD</v>
      </c>
      <c r="W861" s="6" t="str">
        <f t="shared" si="68"/>
        <v>55+</v>
      </c>
      <c r="X861" s="6" t="str">
        <f t="shared" si="69"/>
        <v>High</v>
      </c>
    </row>
    <row r="862" spans="1:24">
      <c r="A862" s="6" t="s">
        <v>565</v>
      </c>
      <c r="B862" s="6" t="s">
        <v>2025</v>
      </c>
      <c r="C862" s="6" t="s">
        <v>52</v>
      </c>
      <c r="D862" s="6" t="s">
        <v>233</v>
      </c>
      <c r="E862" s="6" t="s">
        <v>296</v>
      </c>
      <c r="F862" s="6">
        <v>54</v>
      </c>
      <c r="G862" s="6" t="s">
        <v>34</v>
      </c>
      <c r="H862" s="6" t="s">
        <v>2026</v>
      </c>
      <c r="I862" s="6" t="s">
        <v>3599</v>
      </c>
      <c r="J862" s="8">
        <v>44642</v>
      </c>
      <c r="K862" s="8">
        <v>45301</v>
      </c>
      <c r="L862" s="6">
        <v>59600.75</v>
      </c>
      <c r="M862" s="6">
        <v>36500.800000000003</v>
      </c>
      <c r="N862" s="6">
        <v>725</v>
      </c>
      <c r="O862" s="6">
        <v>101000</v>
      </c>
      <c r="P862" s="6" t="s">
        <v>26</v>
      </c>
      <c r="Q862" s="6" t="s">
        <v>27</v>
      </c>
      <c r="R862" s="6">
        <v>0</v>
      </c>
      <c r="S862" s="6" t="s">
        <v>28</v>
      </c>
      <c r="T862" s="7">
        <f t="shared" si="65"/>
        <v>0.3613940594059406</v>
      </c>
      <c r="U862" s="6">
        <f t="shared" si="66"/>
        <v>5</v>
      </c>
      <c r="V862" s="5" t="str">
        <f t="shared" si="67"/>
        <v>GOOD</v>
      </c>
      <c r="W862" s="6" t="str">
        <f t="shared" si="68"/>
        <v>45-54</v>
      </c>
      <c r="X862" s="6" t="str">
        <f t="shared" si="69"/>
        <v>Lower-Middle</v>
      </c>
    </row>
    <row r="863" spans="1:24">
      <c r="A863" s="6" t="s">
        <v>568</v>
      </c>
      <c r="B863" s="6" t="s">
        <v>2027</v>
      </c>
      <c r="C863" s="6" t="s">
        <v>57</v>
      </c>
      <c r="D863" s="6" t="s">
        <v>79</v>
      </c>
      <c r="E863" s="6" t="s">
        <v>102</v>
      </c>
      <c r="F863" s="6">
        <v>52</v>
      </c>
      <c r="G863" s="6" t="s">
        <v>24</v>
      </c>
      <c r="H863" s="6" t="s">
        <v>2028</v>
      </c>
      <c r="I863" s="6" t="s">
        <v>3922</v>
      </c>
      <c r="J863" s="8">
        <v>45099</v>
      </c>
      <c r="K863" s="8">
        <v>45303</v>
      </c>
      <c r="L863" s="6">
        <v>37600.400000000001</v>
      </c>
      <c r="M863" s="6">
        <v>14800.9</v>
      </c>
      <c r="N863" s="6">
        <v>740</v>
      </c>
      <c r="O863" s="6">
        <v>87000</v>
      </c>
      <c r="P863" s="6" t="s">
        <v>36</v>
      </c>
      <c r="Q863" s="6" t="s">
        <v>27</v>
      </c>
      <c r="R863" s="6">
        <v>0</v>
      </c>
      <c r="S863" s="6" t="s">
        <v>28</v>
      </c>
      <c r="T863" s="7">
        <f t="shared" si="65"/>
        <v>0.17012528735632185</v>
      </c>
      <c r="U863" s="6">
        <f t="shared" si="66"/>
        <v>3</v>
      </c>
      <c r="V863" s="5" t="str">
        <f t="shared" si="67"/>
        <v>GOOD</v>
      </c>
      <c r="W863" s="6" t="str">
        <f t="shared" si="68"/>
        <v>45-54</v>
      </c>
      <c r="X863" s="6" t="str">
        <f t="shared" si="69"/>
        <v>Lower-Middle</v>
      </c>
    </row>
    <row r="864" spans="1:24">
      <c r="A864" s="6" t="s">
        <v>571</v>
      </c>
      <c r="B864" s="6" t="s">
        <v>2029</v>
      </c>
      <c r="C864" s="6" t="s">
        <v>21</v>
      </c>
      <c r="D864" s="6" t="s">
        <v>63</v>
      </c>
      <c r="E864" s="6" t="s">
        <v>106</v>
      </c>
      <c r="F864" s="6">
        <v>75</v>
      </c>
      <c r="G864" s="6" t="s">
        <v>34</v>
      </c>
      <c r="H864" s="6" t="s">
        <v>2030</v>
      </c>
      <c r="I864" s="6" t="s">
        <v>4114</v>
      </c>
      <c r="J864" s="8">
        <v>43273</v>
      </c>
      <c r="K864" s="8">
        <v>45299</v>
      </c>
      <c r="L864" s="6">
        <v>269700.90000000002</v>
      </c>
      <c r="M864" s="6">
        <v>91000.6</v>
      </c>
      <c r="N864" s="6">
        <v>830</v>
      </c>
      <c r="O864" s="6">
        <v>299000</v>
      </c>
      <c r="P864" s="6" t="s">
        <v>36</v>
      </c>
      <c r="Q864" s="6" t="s">
        <v>27</v>
      </c>
      <c r="R864" s="6">
        <v>0</v>
      </c>
      <c r="S864" s="6" t="s">
        <v>28</v>
      </c>
      <c r="T864" s="7">
        <f t="shared" si="65"/>
        <v>0.30434983277591976</v>
      </c>
      <c r="U864" s="6">
        <f t="shared" si="66"/>
        <v>7</v>
      </c>
      <c r="V864" s="5" t="str">
        <f t="shared" si="67"/>
        <v>EXCEPTIONAL</v>
      </c>
      <c r="W864" s="6" t="str">
        <f t="shared" si="68"/>
        <v>55+</v>
      </c>
      <c r="X864" s="6" t="str">
        <f t="shared" si="69"/>
        <v>High</v>
      </c>
    </row>
    <row r="865" spans="1:24">
      <c r="A865" s="6" t="s">
        <v>574</v>
      </c>
      <c r="B865" s="6" t="s">
        <v>2031</v>
      </c>
      <c r="C865" s="6" t="s">
        <v>39</v>
      </c>
      <c r="D865" s="6" t="s">
        <v>68</v>
      </c>
      <c r="E865" s="6" t="s">
        <v>114</v>
      </c>
      <c r="F865" s="6">
        <v>67</v>
      </c>
      <c r="G865" s="6" t="s">
        <v>24</v>
      </c>
      <c r="H865" s="6" t="s">
        <v>2032</v>
      </c>
      <c r="I865" s="6" t="s">
        <v>4115</v>
      </c>
      <c r="J865" s="8">
        <v>43873</v>
      </c>
      <c r="K865" s="8">
        <v>45300</v>
      </c>
      <c r="L865" s="6">
        <v>158600.25</v>
      </c>
      <c r="M865" s="6">
        <v>93000.4</v>
      </c>
      <c r="N865" s="6">
        <v>655</v>
      </c>
      <c r="O865" s="6">
        <v>189000</v>
      </c>
      <c r="P865" s="6" t="s">
        <v>76</v>
      </c>
      <c r="Q865" s="6" t="s">
        <v>27</v>
      </c>
      <c r="R865" s="6">
        <v>0</v>
      </c>
      <c r="S865" s="6" t="s">
        <v>28</v>
      </c>
      <c r="T865" s="7">
        <f t="shared" si="65"/>
        <v>0.49206560846560843</v>
      </c>
      <c r="U865" s="6">
        <f t="shared" si="66"/>
        <v>6</v>
      </c>
      <c r="V865" s="5" t="str">
        <f t="shared" si="67"/>
        <v>FAIR</v>
      </c>
      <c r="W865" s="6" t="str">
        <f t="shared" si="68"/>
        <v>55+</v>
      </c>
      <c r="X865" s="6" t="str">
        <f t="shared" si="69"/>
        <v>Upper-Middle</v>
      </c>
    </row>
    <row r="866" spans="1:24">
      <c r="A866" s="6" t="s">
        <v>577</v>
      </c>
      <c r="B866" s="6" t="s">
        <v>2033</v>
      </c>
      <c r="C866" s="6" t="s">
        <v>46</v>
      </c>
      <c r="D866" s="6" t="s">
        <v>85</v>
      </c>
      <c r="E866" s="6" t="s">
        <v>130</v>
      </c>
      <c r="F866" s="6">
        <v>56</v>
      </c>
      <c r="G866" s="6" t="s">
        <v>34</v>
      </c>
      <c r="H866" s="6" t="s">
        <v>2034</v>
      </c>
      <c r="I866" s="6" t="s">
        <v>3870</v>
      </c>
      <c r="J866" s="8">
        <v>44764</v>
      </c>
      <c r="K866" s="8">
        <v>45302</v>
      </c>
      <c r="L866" s="6">
        <v>102100.6</v>
      </c>
      <c r="M866" s="6">
        <v>53400.75</v>
      </c>
      <c r="N866" s="6">
        <v>760</v>
      </c>
      <c r="O866" s="6">
        <v>158000</v>
      </c>
      <c r="P866" s="6" t="s">
        <v>26</v>
      </c>
      <c r="Q866" s="6" t="s">
        <v>27</v>
      </c>
      <c r="R866" s="6">
        <v>0</v>
      </c>
      <c r="S866" s="6" t="s">
        <v>28</v>
      </c>
      <c r="T866" s="7">
        <f t="shared" si="65"/>
        <v>0.33797943037974681</v>
      </c>
      <c r="U866" s="6">
        <f t="shared" si="66"/>
        <v>4</v>
      </c>
      <c r="V866" s="5" t="str">
        <f t="shared" si="67"/>
        <v>VERY GOOD</v>
      </c>
      <c r="W866" s="6" t="str">
        <f t="shared" si="68"/>
        <v>55+</v>
      </c>
      <c r="X866" s="6" t="str">
        <f t="shared" si="69"/>
        <v>Upper-Middle</v>
      </c>
    </row>
    <row r="867" spans="1:24">
      <c r="A867" s="6" t="s">
        <v>458</v>
      </c>
      <c r="B867" s="6" t="s">
        <v>2035</v>
      </c>
      <c r="C867" s="6" t="s">
        <v>31</v>
      </c>
      <c r="D867" s="6" t="s">
        <v>460</v>
      </c>
      <c r="E867" s="6" t="s">
        <v>461</v>
      </c>
      <c r="F867" s="6">
        <v>47</v>
      </c>
      <c r="G867" s="6" t="s">
        <v>24</v>
      </c>
      <c r="H867" s="6" t="s">
        <v>2036</v>
      </c>
      <c r="I867" s="6" t="s">
        <v>4116</v>
      </c>
      <c r="J867" s="8">
        <v>45440</v>
      </c>
      <c r="K867" s="8">
        <v>45306</v>
      </c>
      <c r="L867" s="6">
        <v>17900.25</v>
      </c>
      <c r="M867" s="6">
        <v>10600.8</v>
      </c>
      <c r="N867" s="6">
        <v>695</v>
      </c>
      <c r="O867" s="6">
        <v>58000</v>
      </c>
      <c r="P867" s="6" t="s">
        <v>26</v>
      </c>
      <c r="Q867" s="6" t="s">
        <v>43</v>
      </c>
      <c r="R867" s="6">
        <v>0</v>
      </c>
      <c r="S867" s="6" t="s">
        <v>28</v>
      </c>
      <c r="T867" s="7">
        <f t="shared" si="65"/>
        <v>0.18277241379310344</v>
      </c>
      <c r="U867" s="6">
        <f t="shared" si="66"/>
        <v>0</v>
      </c>
      <c r="V867" s="5" t="str">
        <f t="shared" si="67"/>
        <v>GOOD</v>
      </c>
      <c r="W867" s="6" t="str">
        <f t="shared" si="68"/>
        <v>45-54</v>
      </c>
      <c r="X867" s="6" t="str">
        <f t="shared" si="69"/>
        <v>Low</v>
      </c>
    </row>
    <row r="868" spans="1:24">
      <c r="A868" s="6" t="s">
        <v>582</v>
      </c>
      <c r="B868" s="6" t="s">
        <v>2037</v>
      </c>
      <c r="C868" s="6" t="s">
        <v>57</v>
      </c>
      <c r="D868" s="6" t="s">
        <v>22</v>
      </c>
      <c r="E868" s="6" t="s">
        <v>53</v>
      </c>
      <c r="F868" s="6">
        <v>50</v>
      </c>
      <c r="G868" s="6" t="s">
        <v>34</v>
      </c>
      <c r="H868" s="6" t="s">
        <v>2038</v>
      </c>
      <c r="I868" s="6" t="s">
        <v>3605</v>
      </c>
      <c r="J868" s="8">
        <v>45038</v>
      </c>
      <c r="K868" s="8">
        <v>45303</v>
      </c>
      <c r="L868" s="6">
        <v>36500.9</v>
      </c>
      <c r="M868" s="6">
        <v>14400.25</v>
      </c>
      <c r="N868" s="6">
        <v>755</v>
      </c>
      <c r="O868" s="6">
        <v>80000</v>
      </c>
      <c r="P868" s="6" t="s">
        <v>36</v>
      </c>
      <c r="Q868" s="6" t="s">
        <v>27</v>
      </c>
      <c r="R868" s="6">
        <v>0</v>
      </c>
      <c r="S868" s="6" t="s">
        <v>28</v>
      </c>
      <c r="T868" s="7">
        <f t="shared" si="65"/>
        <v>0.18000312500000001</v>
      </c>
      <c r="U868" s="6">
        <f t="shared" si="66"/>
        <v>3</v>
      </c>
      <c r="V868" s="5" t="str">
        <f t="shared" si="67"/>
        <v>VERY GOOD</v>
      </c>
      <c r="W868" s="6" t="str">
        <f t="shared" si="68"/>
        <v>45-54</v>
      </c>
      <c r="X868" s="6" t="str">
        <f t="shared" si="69"/>
        <v>Lower-Middle</v>
      </c>
    </row>
    <row r="869" spans="1:24">
      <c r="A869" s="6" t="s">
        <v>55</v>
      </c>
      <c r="B869" s="6" t="s">
        <v>2039</v>
      </c>
      <c r="C869" s="6" t="s">
        <v>39</v>
      </c>
      <c r="D869" s="6" t="s">
        <v>58</v>
      </c>
      <c r="E869" s="6" t="s">
        <v>122</v>
      </c>
      <c r="F869" s="6">
        <v>68</v>
      </c>
      <c r="G869" s="6" t="s">
        <v>24</v>
      </c>
      <c r="H869" s="6" t="s">
        <v>2040</v>
      </c>
      <c r="I869" s="6" t="s">
        <v>3928</v>
      </c>
      <c r="J869" s="8">
        <v>43791</v>
      </c>
      <c r="K869" s="8">
        <v>45300</v>
      </c>
      <c r="L869" s="6">
        <v>191500.4</v>
      </c>
      <c r="M869" s="6">
        <v>106000.75</v>
      </c>
      <c r="N869" s="6">
        <v>685</v>
      </c>
      <c r="O869" s="6">
        <v>214000</v>
      </c>
      <c r="P869" s="6" t="s">
        <v>76</v>
      </c>
      <c r="Q869" s="6" t="s">
        <v>27</v>
      </c>
      <c r="R869" s="6">
        <v>0</v>
      </c>
      <c r="S869" s="6" t="s">
        <v>28</v>
      </c>
      <c r="T869" s="7">
        <f t="shared" si="65"/>
        <v>0.49533060747663549</v>
      </c>
      <c r="U869" s="6">
        <f t="shared" si="66"/>
        <v>6</v>
      </c>
      <c r="V869" s="5" t="str">
        <f t="shared" si="67"/>
        <v>GOOD</v>
      </c>
      <c r="W869" s="6" t="str">
        <f t="shared" si="68"/>
        <v>55+</v>
      </c>
      <c r="X869" s="6" t="str">
        <f t="shared" si="69"/>
        <v>High</v>
      </c>
    </row>
    <row r="870" spans="1:24">
      <c r="A870" s="6" t="s">
        <v>469</v>
      </c>
      <c r="B870" s="6" t="s">
        <v>2041</v>
      </c>
      <c r="C870" s="6" t="s">
        <v>52</v>
      </c>
      <c r="D870" s="6" t="s">
        <v>471</v>
      </c>
      <c r="E870" s="6" t="s">
        <v>472</v>
      </c>
      <c r="F870" s="6">
        <v>59</v>
      </c>
      <c r="G870" s="6" t="s">
        <v>34</v>
      </c>
      <c r="H870" s="6" t="s">
        <v>2042</v>
      </c>
      <c r="I870" s="6" t="s">
        <v>4117</v>
      </c>
      <c r="J870" s="8">
        <v>44430</v>
      </c>
      <c r="K870" s="8">
        <v>45301</v>
      </c>
      <c r="L870" s="6">
        <v>66500.800000000003</v>
      </c>
      <c r="M870" s="6">
        <v>39600.6</v>
      </c>
      <c r="N870" s="6">
        <v>715</v>
      </c>
      <c r="O870" s="6">
        <v>113000</v>
      </c>
      <c r="P870" s="6" t="s">
        <v>26</v>
      </c>
      <c r="Q870" s="6" t="s">
        <v>27</v>
      </c>
      <c r="R870" s="6">
        <v>0</v>
      </c>
      <c r="S870" s="6" t="s">
        <v>28</v>
      </c>
      <c r="T870" s="7">
        <f t="shared" si="65"/>
        <v>0.35044778761061945</v>
      </c>
      <c r="U870" s="6">
        <f t="shared" si="66"/>
        <v>5</v>
      </c>
      <c r="V870" s="5" t="str">
        <f t="shared" si="67"/>
        <v>GOOD</v>
      </c>
      <c r="W870" s="6" t="str">
        <f t="shared" si="68"/>
        <v>55+</v>
      </c>
      <c r="X870" s="6" t="str">
        <f t="shared" si="69"/>
        <v>Lower-Middle</v>
      </c>
    </row>
    <row r="871" spans="1:24">
      <c r="A871" s="6" t="s">
        <v>474</v>
      </c>
      <c r="B871" s="6" t="s">
        <v>2043</v>
      </c>
      <c r="C871" s="6" t="s">
        <v>46</v>
      </c>
      <c r="D871" s="6" t="s">
        <v>345</v>
      </c>
      <c r="E871" s="6" t="s">
        <v>476</v>
      </c>
      <c r="F871" s="6">
        <v>62</v>
      </c>
      <c r="G871" s="6" t="s">
        <v>24</v>
      </c>
      <c r="H871" s="6" t="s">
        <v>2044</v>
      </c>
      <c r="I871" s="6" t="s">
        <v>3619</v>
      </c>
      <c r="J871" s="8">
        <v>44338</v>
      </c>
      <c r="K871" s="8">
        <v>45302</v>
      </c>
      <c r="L871" s="6">
        <v>94300.25</v>
      </c>
      <c r="M871" s="6">
        <v>49600.4</v>
      </c>
      <c r="N871" s="6">
        <v>680</v>
      </c>
      <c r="O871" s="6">
        <v>142000</v>
      </c>
      <c r="P871" s="6" t="s">
        <v>26</v>
      </c>
      <c r="Q871" s="6" t="s">
        <v>27</v>
      </c>
      <c r="R871" s="6">
        <v>0</v>
      </c>
      <c r="S871" s="6" t="s">
        <v>28</v>
      </c>
      <c r="T871" s="7">
        <f t="shared" si="65"/>
        <v>0.34929859154929577</v>
      </c>
      <c r="U871" s="6">
        <f t="shared" si="66"/>
        <v>4</v>
      </c>
      <c r="V871" s="5" t="str">
        <f t="shared" si="67"/>
        <v>GOOD</v>
      </c>
      <c r="W871" s="6" t="str">
        <f t="shared" si="68"/>
        <v>55+</v>
      </c>
      <c r="X871" s="6" t="str">
        <f t="shared" si="69"/>
        <v>Upper-Middle</v>
      </c>
    </row>
    <row r="872" spans="1:24">
      <c r="A872" s="6" t="s">
        <v>592</v>
      </c>
      <c r="B872" s="6" t="s">
        <v>2045</v>
      </c>
      <c r="C872" s="6" t="s">
        <v>84</v>
      </c>
      <c r="D872" s="6" t="s">
        <v>32</v>
      </c>
      <c r="E872" s="6" t="s">
        <v>90</v>
      </c>
      <c r="F872" s="6">
        <v>42</v>
      </c>
      <c r="G872" s="6" t="s">
        <v>34</v>
      </c>
      <c r="H872" s="6" t="s">
        <v>2046</v>
      </c>
      <c r="I872" s="6" t="s">
        <v>3644</v>
      </c>
      <c r="J872" s="8">
        <v>45448</v>
      </c>
      <c r="K872" s="8">
        <v>45304</v>
      </c>
      <c r="L872" s="6">
        <v>3850.4</v>
      </c>
      <c r="M872" s="6">
        <v>13000.75</v>
      </c>
      <c r="N872" s="6">
        <v>610</v>
      </c>
      <c r="O872" s="6">
        <v>38000</v>
      </c>
      <c r="P872" s="6" t="s">
        <v>76</v>
      </c>
      <c r="Q872" s="6" t="s">
        <v>43</v>
      </c>
      <c r="R872" s="6">
        <v>0</v>
      </c>
      <c r="S872" s="6" t="s">
        <v>28</v>
      </c>
      <c r="T872" s="7">
        <f t="shared" si="65"/>
        <v>0.34212500000000001</v>
      </c>
      <c r="U872" s="6">
        <f t="shared" si="66"/>
        <v>2</v>
      </c>
      <c r="V872" s="5" t="str">
        <f t="shared" si="67"/>
        <v>FAIR</v>
      </c>
      <c r="W872" s="6" t="str">
        <f t="shared" si="68"/>
        <v>35-44</v>
      </c>
      <c r="X872" s="6" t="str">
        <f t="shared" si="69"/>
        <v>Low</v>
      </c>
    </row>
    <row r="873" spans="1:24">
      <c r="A873" s="6" t="s">
        <v>595</v>
      </c>
      <c r="B873" s="6" t="s">
        <v>2047</v>
      </c>
      <c r="C873" s="6" t="s">
        <v>21</v>
      </c>
      <c r="D873" s="6" t="s">
        <v>209</v>
      </c>
      <c r="E873" s="6" t="s">
        <v>210</v>
      </c>
      <c r="F873" s="6">
        <v>74</v>
      </c>
      <c r="G873" s="6" t="s">
        <v>24</v>
      </c>
      <c r="H873" s="6" t="s">
        <v>2048</v>
      </c>
      <c r="I873" s="6" t="s">
        <v>4118</v>
      </c>
      <c r="J873" s="8">
        <v>43487</v>
      </c>
      <c r="K873" s="8">
        <v>45299</v>
      </c>
      <c r="L873" s="6">
        <v>289500.79999999999</v>
      </c>
      <c r="M873" s="6">
        <v>97000.25</v>
      </c>
      <c r="N873" s="6">
        <v>825</v>
      </c>
      <c r="O873" s="6">
        <v>294000</v>
      </c>
      <c r="P873" s="6" t="s">
        <v>36</v>
      </c>
      <c r="Q873" s="6" t="s">
        <v>27</v>
      </c>
      <c r="R873" s="6">
        <v>0</v>
      </c>
      <c r="S873" s="6" t="s">
        <v>28</v>
      </c>
      <c r="T873" s="7">
        <f t="shared" si="65"/>
        <v>0.32993282312925171</v>
      </c>
      <c r="U873" s="6">
        <f t="shared" si="66"/>
        <v>7</v>
      </c>
      <c r="V873" s="5" t="str">
        <f t="shared" si="67"/>
        <v>EXCEPTIONAL</v>
      </c>
      <c r="W873" s="6" t="str">
        <f t="shared" si="68"/>
        <v>55+</v>
      </c>
      <c r="X873" s="6" t="str">
        <f t="shared" si="69"/>
        <v>High</v>
      </c>
    </row>
    <row r="874" spans="1:24">
      <c r="A874" s="6" t="s">
        <v>226</v>
      </c>
      <c r="B874" s="6" t="s">
        <v>2049</v>
      </c>
      <c r="C874" s="6" t="s">
        <v>57</v>
      </c>
      <c r="D874" s="6" t="s">
        <v>228</v>
      </c>
      <c r="E874" s="6" t="s">
        <v>678</v>
      </c>
      <c r="F874" s="6">
        <v>49</v>
      </c>
      <c r="G874" s="6" t="s">
        <v>34</v>
      </c>
      <c r="H874" s="6" t="s">
        <v>2050</v>
      </c>
      <c r="I874" s="6" t="s">
        <v>4119</v>
      </c>
      <c r="J874" s="8">
        <v>45221</v>
      </c>
      <c r="K874" s="8">
        <v>45305</v>
      </c>
      <c r="L874" s="6">
        <v>33200.75</v>
      </c>
      <c r="M874" s="6">
        <v>12800.4</v>
      </c>
      <c r="N874" s="6">
        <v>725</v>
      </c>
      <c r="O874" s="6">
        <v>70000</v>
      </c>
      <c r="P874" s="6" t="s">
        <v>36</v>
      </c>
      <c r="Q874" s="6" t="s">
        <v>27</v>
      </c>
      <c r="R874" s="6">
        <v>0</v>
      </c>
      <c r="S874" s="6" t="s">
        <v>28</v>
      </c>
      <c r="T874" s="7">
        <f t="shared" si="65"/>
        <v>0.18286285714285713</v>
      </c>
      <c r="U874" s="6">
        <f t="shared" si="66"/>
        <v>1</v>
      </c>
      <c r="V874" s="5" t="str">
        <f t="shared" si="67"/>
        <v>GOOD</v>
      </c>
      <c r="W874" s="6" t="str">
        <f t="shared" si="68"/>
        <v>45-54</v>
      </c>
      <c r="X874" s="6" t="str">
        <f t="shared" si="69"/>
        <v>Low</v>
      </c>
    </row>
    <row r="875" spans="1:24">
      <c r="A875" s="6" t="s">
        <v>488</v>
      </c>
      <c r="B875" s="6" t="s">
        <v>2051</v>
      </c>
      <c r="C875" s="6" t="s">
        <v>39</v>
      </c>
      <c r="D875" s="6" t="s">
        <v>304</v>
      </c>
      <c r="E875" s="6" t="s">
        <v>304</v>
      </c>
      <c r="F875" s="6">
        <v>66</v>
      </c>
      <c r="G875" s="6" t="s">
        <v>24</v>
      </c>
      <c r="H875" s="6" t="s">
        <v>2052</v>
      </c>
      <c r="I875" s="6" t="s">
        <v>4120</v>
      </c>
      <c r="J875" s="8">
        <v>43963</v>
      </c>
      <c r="K875" s="8">
        <v>45300</v>
      </c>
      <c r="L875" s="6">
        <v>169700.6</v>
      </c>
      <c r="M875" s="6">
        <v>97000.9</v>
      </c>
      <c r="N875" s="6">
        <v>675</v>
      </c>
      <c r="O875" s="6">
        <v>194000</v>
      </c>
      <c r="P875" s="6" t="s">
        <v>76</v>
      </c>
      <c r="Q875" s="6" t="s">
        <v>27</v>
      </c>
      <c r="R875" s="6">
        <v>0</v>
      </c>
      <c r="S875" s="6" t="s">
        <v>28</v>
      </c>
      <c r="T875" s="7">
        <f t="shared" si="65"/>
        <v>0.50000463917525773</v>
      </c>
      <c r="U875" s="6">
        <f t="shared" si="66"/>
        <v>6</v>
      </c>
      <c r="V875" s="5" t="str">
        <f t="shared" si="67"/>
        <v>GOOD</v>
      </c>
      <c r="W875" s="6" t="str">
        <f t="shared" si="68"/>
        <v>55+</v>
      </c>
      <c r="X875" s="6" t="str">
        <f t="shared" si="69"/>
        <v>High</v>
      </c>
    </row>
    <row r="876" spans="1:24">
      <c r="A876" s="6" t="s">
        <v>491</v>
      </c>
      <c r="B876" s="6" t="s">
        <v>2053</v>
      </c>
      <c r="C876" s="6" t="s">
        <v>52</v>
      </c>
      <c r="D876" s="6" t="s">
        <v>493</v>
      </c>
      <c r="E876" s="6" t="s">
        <v>494</v>
      </c>
      <c r="F876" s="6">
        <v>57</v>
      </c>
      <c r="G876" s="6" t="s">
        <v>34</v>
      </c>
      <c r="H876" s="6" t="s">
        <v>2054</v>
      </c>
      <c r="I876" s="6" t="s">
        <v>4121</v>
      </c>
      <c r="J876" s="8">
        <v>44734</v>
      </c>
      <c r="K876" s="8">
        <v>45302</v>
      </c>
      <c r="L876" s="6">
        <v>60700.4</v>
      </c>
      <c r="M876" s="6">
        <v>35400.25</v>
      </c>
      <c r="N876" s="6">
        <v>705</v>
      </c>
      <c r="O876" s="6">
        <v>102000</v>
      </c>
      <c r="P876" s="6" t="s">
        <v>26</v>
      </c>
      <c r="Q876" s="6" t="s">
        <v>27</v>
      </c>
      <c r="R876" s="6">
        <v>0</v>
      </c>
      <c r="S876" s="6" t="s">
        <v>28</v>
      </c>
      <c r="T876" s="7">
        <f t="shared" si="65"/>
        <v>0.3470612745098039</v>
      </c>
      <c r="U876" s="6">
        <f t="shared" si="66"/>
        <v>4</v>
      </c>
      <c r="V876" s="5" t="str">
        <f t="shared" si="67"/>
        <v>GOOD</v>
      </c>
      <c r="W876" s="6" t="str">
        <f t="shared" si="68"/>
        <v>55+</v>
      </c>
      <c r="X876" s="6" t="str">
        <f t="shared" si="69"/>
        <v>Lower-Middle</v>
      </c>
    </row>
    <row r="877" spans="1:24">
      <c r="A877" s="6" t="s">
        <v>496</v>
      </c>
      <c r="B877" s="6" t="s">
        <v>2055</v>
      </c>
      <c r="C877" s="6" t="s">
        <v>46</v>
      </c>
      <c r="D877" s="6" t="s">
        <v>321</v>
      </c>
      <c r="E877" s="6" t="s">
        <v>498</v>
      </c>
      <c r="F877" s="6">
        <v>60</v>
      </c>
      <c r="G877" s="6" t="s">
        <v>24</v>
      </c>
      <c r="H877" s="6" t="s">
        <v>2056</v>
      </c>
      <c r="I877" s="6" t="s">
        <v>4122</v>
      </c>
      <c r="J877" s="8">
        <v>44218</v>
      </c>
      <c r="K877" s="8">
        <v>45301</v>
      </c>
      <c r="L877" s="6">
        <v>107100.75</v>
      </c>
      <c r="M877" s="6">
        <v>56500.800000000003</v>
      </c>
      <c r="N877" s="6">
        <v>730</v>
      </c>
      <c r="O877" s="6">
        <v>168000</v>
      </c>
      <c r="P877" s="6" t="s">
        <v>26</v>
      </c>
      <c r="Q877" s="6" t="s">
        <v>27</v>
      </c>
      <c r="R877" s="6">
        <v>0</v>
      </c>
      <c r="S877" s="6" t="s">
        <v>28</v>
      </c>
      <c r="T877" s="7">
        <f t="shared" si="65"/>
        <v>0.33631428571428573</v>
      </c>
      <c r="U877" s="6">
        <f t="shared" si="66"/>
        <v>5</v>
      </c>
      <c r="V877" s="5" t="str">
        <f t="shared" si="67"/>
        <v>GOOD</v>
      </c>
      <c r="W877" s="6" t="str">
        <f t="shared" si="68"/>
        <v>55+</v>
      </c>
      <c r="X877" s="6" t="str">
        <f t="shared" si="69"/>
        <v>Upper-Middle</v>
      </c>
    </row>
    <row r="878" spans="1:24">
      <c r="A878" s="6" t="s">
        <v>324</v>
      </c>
      <c r="B878" s="6" t="s">
        <v>2057</v>
      </c>
      <c r="C878" s="6" t="s">
        <v>31</v>
      </c>
      <c r="D878" s="6" t="s">
        <v>313</v>
      </c>
      <c r="E878" s="6" t="s">
        <v>314</v>
      </c>
      <c r="F878" s="6">
        <v>45</v>
      </c>
      <c r="G878" s="6" t="s">
        <v>34</v>
      </c>
      <c r="H878" s="6" t="s">
        <v>2058</v>
      </c>
      <c r="I878" s="6" t="s">
        <v>4123</v>
      </c>
      <c r="J878" s="8">
        <v>45440</v>
      </c>
      <c r="K878" s="8">
        <v>45306</v>
      </c>
      <c r="L878" s="6">
        <v>15400.9</v>
      </c>
      <c r="M878" s="6">
        <v>9100.75</v>
      </c>
      <c r="N878" s="6">
        <v>685</v>
      </c>
      <c r="O878" s="6">
        <v>55000</v>
      </c>
      <c r="P878" s="6" t="s">
        <v>26</v>
      </c>
      <c r="Q878" s="6" t="s">
        <v>43</v>
      </c>
      <c r="R878" s="6">
        <v>0</v>
      </c>
      <c r="S878" s="6" t="s">
        <v>28</v>
      </c>
      <c r="T878" s="7">
        <f t="shared" si="65"/>
        <v>0.16546818181818182</v>
      </c>
      <c r="U878" s="6">
        <f t="shared" si="66"/>
        <v>0</v>
      </c>
      <c r="V878" s="5" t="str">
        <f t="shared" si="67"/>
        <v>GOOD</v>
      </c>
      <c r="W878" s="6" t="str">
        <f t="shared" si="68"/>
        <v>45-54</v>
      </c>
      <c r="X878" s="6" t="str">
        <f t="shared" si="69"/>
        <v>Low</v>
      </c>
    </row>
    <row r="879" spans="1:24">
      <c r="A879" s="6" t="s">
        <v>503</v>
      </c>
      <c r="B879" s="6" t="s">
        <v>2059</v>
      </c>
      <c r="C879" s="6" t="s">
        <v>21</v>
      </c>
      <c r="D879" s="6" t="s">
        <v>32</v>
      </c>
      <c r="E879" s="6" t="s">
        <v>33</v>
      </c>
      <c r="F879" s="6">
        <v>77</v>
      </c>
      <c r="G879" s="6" t="s">
        <v>24</v>
      </c>
      <c r="H879" s="6" t="s">
        <v>2060</v>
      </c>
      <c r="I879" s="6" t="s">
        <v>3627</v>
      </c>
      <c r="J879" s="8">
        <v>43212</v>
      </c>
      <c r="K879" s="8">
        <v>45299</v>
      </c>
      <c r="L879" s="6">
        <v>300400.25</v>
      </c>
      <c r="M879" s="6">
        <v>101000.4</v>
      </c>
      <c r="N879" s="6">
        <v>840</v>
      </c>
      <c r="O879" s="6">
        <v>309000</v>
      </c>
      <c r="P879" s="6" t="s">
        <v>36</v>
      </c>
      <c r="Q879" s="6" t="s">
        <v>27</v>
      </c>
      <c r="R879" s="6">
        <v>0</v>
      </c>
      <c r="S879" s="6" t="s">
        <v>28</v>
      </c>
      <c r="T879" s="7">
        <f t="shared" si="65"/>
        <v>0.3268621359223301</v>
      </c>
      <c r="U879" s="6">
        <f t="shared" si="66"/>
        <v>7</v>
      </c>
      <c r="V879" s="5" t="str">
        <f t="shared" si="67"/>
        <v>EXCEPTIONAL</v>
      </c>
      <c r="W879" s="6" t="str">
        <f t="shared" si="68"/>
        <v>55+</v>
      </c>
      <c r="X879" s="6" t="str">
        <f t="shared" si="69"/>
        <v>High</v>
      </c>
    </row>
    <row r="880" spans="1:24">
      <c r="A880" s="6" t="s">
        <v>506</v>
      </c>
      <c r="B880" s="6" t="s">
        <v>2061</v>
      </c>
      <c r="C880" s="6" t="s">
        <v>39</v>
      </c>
      <c r="D880" s="6" t="s">
        <v>68</v>
      </c>
      <c r="E880" s="6" t="s">
        <v>69</v>
      </c>
      <c r="F880" s="6">
        <v>69</v>
      </c>
      <c r="G880" s="6" t="s">
        <v>34</v>
      </c>
      <c r="H880" s="6" t="s">
        <v>2062</v>
      </c>
      <c r="I880" s="6" t="s">
        <v>4097</v>
      </c>
      <c r="J880" s="8">
        <v>43730</v>
      </c>
      <c r="K880" s="8">
        <v>45300</v>
      </c>
      <c r="L880" s="6">
        <v>180800.4</v>
      </c>
      <c r="M880" s="6">
        <v>101000.75</v>
      </c>
      <c r="N880" s="6">
        <v>650</v>
      </c>
      <c r="O880" s="6">
        <v>204000</v>
      </c>
      <c r="P880" s="6" t="s">
        <v>76</v>
      </c>
      <c r="Q880" s="6" t="s">
        <v>27</v>
      </c>
      <c r="R880" s="6">
        <v>0</v>
      </c>
      <c r="S880" s="6" t="s">
        <v>28</v>
      </c>
      <c r="T880" s="7">
        <f t="shared" si="65"/>
        <v>0.49510171568627453</v>
      </c>
      <c r="U880" s="6">
        <f t="shared" si="66"/>
        <v>6</v>
      </c>
      <c r="V880" s="5" t="str">
        <f t="shared" si="67"/>
        <v>FAIR</v>
      </c>
      <c r="W880" s="6" t="str">
        <f t="shared" si="68"/>
        <v>55+</v>
      </c>
      <c r="X880" s="6" t="str">
        <f t="shared" si="69"/>
        <v>High</v>
      </c>
    </row>
    <row r="881" spans="1:24">
      <c r="A881" s="6" t="s">
        <v>509</v>
      </c>
      <c r="B881" s="6" t="s">
        <v>2063</v>
      </c>
      <c r="C881" s="6" t="s">
        <v>46</v>
      </c>
      <c r="D881" s="6" t="s">
        <v>73</v>
      </c>
      <c r="E881" s="6" t="s">
        <v>126</v>
      </c>
      <c r="F881" s="6">
        <v>56</v>
      </c>
      <c r="G881" s="6" t="s">
        <v>24</v>
      </c>
      <c r="H881" s="6" t="s">
        <v>2064</v>
      </c>
      <c r="I881" s="6" t="s">
        <v>4124</v>
      </c>
      <c r="J881" s="8">
        <v>44948</v>
      </c>
      <c r="K881" s="8">
        <v>45303</v>
      </c>
      <c r="L881" s="6">
        <v>95400.4</v>
      </c>
      <c r="M881" s="6">
        <v>50700.25</v>
      </c>
      <c r="N881" s="6">
        <v>745</v>
      </c>
      <c r="O881" s="6">
        <v>148000</v>
      </c>
      <c r="P881" s="6" t="s">
        <v>26</v>
      </c>
      <c r="Q881" s="6" t="s">
        <v>27</v>
      </c>
      <c r="R881" s="6">
        <v>0</v>
      </c>
      <c r="S881" s="6" t="s">
        <v>28</v>
      </c>
      <c r="T881" s="7">
        <f t="shared" si="65"/>
        <v>0.34256925675675676</v>
      </c>
      <c r="U881" s="6">
        <f t="shared" si="66"/>
        <v>3</v>
      </c>
      <c r="V881" s="5" t="str">
        <f t="shared" si="67"/>
        <v>GOOD</v>
      </c>
      <c r="W881" s="6" t="str">
        <f t="shared" si="68"/>
        <v>55+</v>
      </c>
      <c r="X881" s="6" t="str">
        <f t="shared" si="69"/>
        <v>Upper-Middle</v>
      </c>
    </row>
    <row r="882" spans="1:24">
      <c r="A882" s="6" t="s">
        <v>513</v>
      </c>
      <c r="B882" s="6" t="s">
        <v>2065</v>
      </c>
      <c r="C882" s="6" t="s">
        <v>57</v>
      </c>
      <c r="D882" s="6" t="s">
        <v>58</v>
      </c>
      <c r="E882" s="6" t="s">
        <v>59</v>
      </c>
      <c r="F882" s="6">
        <v>51</v>
      </c>
      <c r="G882" s="6" t="s">
        <v>34</v>
      </c>
      <c r="H882" s="6" t="s">
        <v>2066</v>
      </c>
      <c r="I882" s="6" t="s">
        <v>3630</v>
      </c>
      <c r="J882" s="8">
        <v>45129</v>
      </c>
      <c r="K882" s="8">
        <v>45302</v>
      </c>
      <c r="L882" s="6">
        <v>35400.800000000003</v>
      </c>
      <c r="M882" s="6">
        <v>14000.9</v>
      </c>
      <c r="N882" s="6">
        <v>765</v>
      </c>
      <c r="O882" s="6">
        <v>80000</v>
      </c>
      <c r="P882" s="6" t="s">
        <v>36</v>
      </c>
      <c r="Q882" s="6" t="s">
        <v>27</v>
      </c>
      <c r="R882" s="6">
        <v>0</v>
      </c>
      <c r="S882" s="6" t="s">
        <v>28</v>
      </c>
      <c r="T882" s="7">
        <f t="shared" si="65"/>
        <v>0.17501125000000001</v>
      </c>
      <c r="U882" s="6">
        <f t="shared" si="66"/>
        <v>4</v>
      </c>
      <c r="V882" s="5" t="str">
        <f t="shared" si="67"/>
        <v>VERY GOOD</v>
      </c>
      <c r="W882" s="6" t="str">
        <f t="shared" si="68"/>
        <v>45-54</v>
      </c>
      <c r="X882" s="6" t="str">
        <f t="shared" si="69"/>
        <v>Lower-Middle</v>
      </c>
    </row>
    <row r="883" spans="1:24">
      <c r="A883" s="6" t="s">
        <v>516</v>
      </c>
      <c r="B883" s="6" t="s">
        <v>2067</v>
      </c>
      <c r="C883" s="6" t="s">
        <v>52</v>
      </c>
      <c r="D883" s="6" t="s">
        <v>277</v>
      </c>
      <c r="E883" s="6" t="s">
        <v>278</v>
      </c>
      <c r="F883" s="6">
        <v>64</v>
      </c>
      <c r="G883" s="6" t="s">
        <v>24</v>
      </c>
      <c r="H883" s="6" t="s">
        <v>2068</v>
      </c>
      <c r="I883" s="6" t="s">
        <v>3958</v>
      </c>
      <c r="J883" s="8">
        <v>44399</v>
      </c>
      <c r="K883" s="8">
        <v>45301</v>
      </c>
      <c r="L883" s="6">
        <v>68700.75</v>
      </c>
      <c r="M883" s="6">
        <v>41800.400000000001</v>
      </c>
      <c r="N883" s="6">
        <v>675</v>
      </c>
      <c r="O883" s="6">
        <v>120000</v>
      </c>
      <c r="P883" s="6" t="s">
        <v>26</v>
      </c>
      <c r="Q883" s="6" t="s">
        <v>27</v>
      </c>
      <c r="R883" s="6">
        <v>0</v>
      </c>
      <c r="S883" s="6" t="s">
        <v>28</v>
      </c>
      <c r="T883" s="7">
        <f t="shared" si="65"/>
        <v>0.34833666666666668</v>
      </c>
      <c r="U883" s="6">
        <f t="shared" si="66"/>
        <v>5</v>
      </c>
      <c r="V883" s="5" t="str">
        <f t="shared" si="67"/>
        <v>GOOD</v>
      </c>
      <c r="W883" s="6" t="str">
        <f t="shared" si="68"/>
        <v>55+</v>
      </c>
      <c r="X883" s="6" t="str">
        <f t="shared" si="69"/>
        <v>Lower-Middle</v>
      </c>
    </row>
    <row r="884" spans="1:24">
      <c r="A884" s="6" t="s">
        <v>519</v>
      </c>
      <c r="B884" s="6" t="s">
        <v>2069</v>
      </c>
      <c r="C884" s="6" t="s">
        <v>84</v>
      </c>
      <c r="D884" s="6" t="s">
        <v>183</v>
      </c>
      <c r="E884" s="6" t="s">
        <v>273</v>
      </c>
      <c r="F884" s="6">
        <v>43</v>
      </c>
      <c r="G884" s="6" t="s">
        <v>34</v>
      </c>
      <c r="H884" s="6" t="s">
        <v>2070</v>
      </c>
      <c r="I884" s="6" t="s">
        <v>3632</v>
      </c>
      <c r="J884" s="8">
        <v>45455</v>
      </c>
      <c r="K884" s="8">
        <v>45304</v>
      </c>
      <c r="L884" s="6">
        <v>4100.25</v>
      </c>
      <c r="M884" s="6">
        <v>14200.6</v>
      </c>
      <c r="N884" s="6">
        <v>615</v>
      </c>
      <c r="O884" s="6">
        <v>40000</v>
      </c>
      <c r="P884" s="6" t="s">
        <v>76</v>
      </c>
      <c r="Q884" s="6" t="s">
        <v>43</v>
      </c>
      <c r="R884" s="6">
        <v>0</v>
      </c>
      <c r="S884" s="6" t="s">
        <v>28</v>
      </c>
      <c r="T884" s="7">
        <f t="shared" si="65"/>
        <v>0.35501500000000002</v>
      </c>
      <c r="U884" s="6">
        <f t="shared" si="66"/>
        <v>2</v>
      </c>
      <c r="V884" s="5" t="str">
        <f t="shared" si="67"/>
        <v>FAIR</v>
      </c>
      <c r="W884" s="6" t="str">
        <f t="shared" si="68"/>
        <v>35-44</v>
      </c>
      <c r="X884" s="6" t="str">
        <f t="shared" si="69"/>
        <v>Low</v>
      </c>
    </row>
    <row r="885" spans="1:24">
      <c r="A885" s="6" t="s">
        <v>522</v>
      </c>
      <c r="B885" s="6" t="s">
        <v>2071</v>
      </c>
      <c r="C885" s="6" t="s">
        <v>39</v>
      </c>
      <c r="D885" s="6" t="s">
        <v>40</v>
      </c>
      <c r="E885" s="6" t="s">
        <v>94</v>
      </c>
      <c r="F885" s="6">
        <v>71</v>
      </c>
      <c r="G885" s="6" t="s">
        <v>24</v>
      </c>
      <c r="H885" s="6" t="s">
        <v>2072</v>
      </c>
      <c r="I885" s="6" t="s">
        <v>3510</v>
      </c>
      <c r="J885" s="8">
        <v>43699</v>
      </c>
      <c r="K885" s="8">
        <v>45299</v>
      </c>
      <c r="L885" s="6">
        <v>215400.8</v>
      </c>
      <c r="M885" s="6">
        <v>114000.25</v>
      </c>
      <c r="N885" s="6">
        <v>660</v>
      </c>
      <c r="O885" s="6">
        <v>239000</v>
      </c>
      <c r="P885" s="6" t="s">
        <v>76</v>
      </c>
      <c r="Q885" s="6" t="s">
        <v>27</v>
      </c>
      <c r="R885" s="6">
        <v>0</v>
      </c>
      <c r="S885" s="6" t="s">
        <v>28</v>
      </c>
      <c r="T885" s="7">
        <f t="shared" si="65"/>
        <v>0.47698849372384938</v>
      </c>
      <c r="U885" s="6">
        <f t="shared" si="66"/>
        <v>7</v>
      </c>
      <c r="V885" s="5" t="str">
        <f t="shared" si="67"/>
        <v>FAIR</v>
      </c>
      <c r="W885" s="6" t="str">
        <f t="shared" si="68"/>
        <v>55+</v>
      </c>
      <c r="X885" s="6" t="str">
        <f t="shared" si="69"/>
        <v>High</v>
      </c>
    </row>
    <row r="886" spans="1:24">
      <c r="A886" s="6" t="s">
        <v>306</v>
      </c>
      <c r="B886" s="6" t="s">
        <v>2073</v>
      </c>
      <c r="C886" s="6" t="s">
        <v>46</v>
      </c>
      <c r="D886" s="6" t="s">
        <v>209</v>
      </c>
      <c r="E886" s="6" t="s">
        <v>210</v>
      </c>
      <c r="F886" s="6">
        <v>58</v>
      </c>
      <c r="G886" s="6" t="s">
        <v>34</v>
      </c>
      <c r="H886" s="6" t="s">
        <v>2074</v>
      </c>
      <c r="I886" s="6" t="s">
        <v>4125</v>
      </c>
      <c r="J886" s="8">
        <v>44552</v>
      </c>
      <c r="K886" s="8">
        <v>45302</v>
      </c>
      <c r="L886" s="6">
        <v>89800.9</v>
      </c>
      <c r="M886" s="6">
        <v>47600.75</v>
      </c>
      <c r="N886" s="6">
        <v>730</v>
      </c>
      <c r="O886" s="6">
        <v>143000</v>
      </c>
      <c r="P886" s="6" t="s">
        <v>26</v>
      </c>
      <c r="Q886" s="6" t="s">
        <v>27</v>
      </c>
      <c r="R886" s="6">
        <v>0</v>
      </c>
      <c r="S886" s="6" t="s">
        <v>28</v>
      </c>
      <c r="T886" s="7">
        <f t="shared" si="65"/>
        <v>0.33287237762237765</v>
      </c>
      <c r="U886" s="6">
        <f t="shared" si="66"/>
        <v>4</v>
      </c>
      <c r="V886" s="5" t="str">
        <f t="shared" si="67"/>
        <v>GOOD</v>
      </c>
      <c r="W886" s="6" t="str">
        <f t="shared" si="68"/>
        <v>55+</v>
      </c>
      <c r="X886" s="6" t="str">
        <f t="shared" si="69"/>
        <v>Upper-Middle</v>
      </c>
    </row>
    <row r="887" spans="1:24">
      <c r="A887" s="6" t="s">
        <v>527</v>
      </c>
      <c r="B887" s="6" t="s">
        <v>2075</v>
      </c>
      <c r="C887" s="6" t="s">
        <v>31</v>
      </c>
      <c r="D887" s="6" t="s">
        <v>32</v>
      </c>
      <c r="E887" s="6" t="s">
        <v>90</v>
      </c>
      <c r="F887" s="6">
        <v>47</v>
      </c>
      <c r="G887" s="6" t="s">
        <v>34</v>
      </c>
      <c r="H887" s="6" t="s">
        <v>2076</v>
      </c>
      <c r="I887" s="6" t="s">
        <v>3634</v>
      </c>
      <c r="J887" s="8">
        <v>45451</v>
      </c>
      <c r="K887" s="8">
        <v>45305</v>
      </c>
      <c r="L887" s="6">
        <v>16500.400000000001</v>
      </c>
      <c r="M887" s="6">
        <v>9200.25</v>
      </c>
      <c r="N887" s="6">
        <v>705</v>
      </c>
      <c r="O887" s="6">
        <v>57000</v>
      </c>
      <c r="P887" s="6" t="s">
        <v>26</v>
      </c>
      <c r="Q887" s="6" t="s">
        <v>43</v>
      </c>
      <c r="R887" s="6">
        <v>0</v>
      </c>
      <c r="S887" s="6" t="s">
        <v>28</v>
      </c>
      <c r="T887" s="7">
        <f t="shared" si="65"/>
        <v>0.16140789473684211</v>
      </c>
      <c r="U887" s="6">
        <f t="shared" si="66"/>
        <v>1</v>
      </c>
      <c r="V887" s="5" t="str">
        <f t="shared" si="67"/>
        <v>GOOD</v>
      </c>
      <c r="W887" s="6" t="str">
        <f t="shared" si="68"/>
        <v>45-54</v>
      </c>
      <c r="X887" s="6" t="str">
        <f t="shared" si="69"/>
        <v>Low</v>
      </c>
    </row>
    <row r="888" spans="1:24">
      <c r="A888" s="6" t="s">
        <v>530</v>
      </c>
      <c r="B888" s="6" t="s">
        <v>2077</v>
      </c>
      <c r="C888" s="6" t="s">
        <v>57</v>
      </c>
      <c r="D888" s="6" t="s">
        <v>219</v>
      </c>
      <c r="E888" s="6" t="s">
        <v>220</v>
      </c>
      <c r="F888" s="6">
        <v>52</v>
      </c>
      <c r="G888" s="6" t="s">
        <v>24</v>
      </c>
      <c r="H888" s="6" t="s">
        <v>2078</v>
      </c>
      <c r="I888" s="6" t="s">
        <v>4126</v>
      </c>
      <c r="J888" s="8">
        <v>45099</v>
      </c>
      <c r="K888" s="8">
        <v>45303</v>
      </c>
      <c r="L888" s="6">
        <v>34300.6</v>
      </c>
      <c r="M888" s="6">
        <v>13400.8</v>
      </c>
      <c r="N888" s="6">
        <v>710</v>
      </c>
      <c r="O888" s="6">
        <v>73000</v>
      </c>
      <c r="P888" s="6" t="s">
        <v>36</v>
      </c>
      <c r="Q888" s="6" t="s">
        <v>27</v>
      </c>
      <c r="R888" s="6">
        <v>0</v>
      </c>
      <c r="S888" s="6" t="s">
        <v>28</v>
      </c>
      <c r="T888" s="7">
        <f t="shared" si="65"/>
        <v>0.183572602739726</v>
      </c>
      <c r="U888" s="6">
        <f t="shared" si="66"/>
        <v>3</v>
      </c>
      <c r="V888" s="5" t="str">
        <f t="shared" si="67"/>
        <v>GOOD</v>
      </c>
      <c r="W888" s="6" t="str">
        <f t="shared" si="68"/>
        <v>45-54</v>
      </c>
      <c r="X888" s="6" t="str">
        <f t="shared" si="69"/>
        <v>Low</v>
      </c>
    </row>
    <row r="889" spans="1:24">
      <c r="A889" s="6" t="s">
        <v>533</v>
      </c>
      <c r="B889" s="6" t="s">
        <v>2079</v>
      </c>
      <c r="C889" s="6" t="s">
        <v>52</v>
      </c>
      <c r="D889" s="6" t="s">
        <v>204</v>
      </c>
      <c r="E889" s="6" t="s">
        <v>205</v>
      </c>
      <c r="F889" s="6">
        <v>59</v>
      </c>
      <c r="G889" s="6" t="s">
        <v>34</v>
      </c>
      <c r="H889" s="6" t="s">
        <v>2080</v>
      </c>
      <c r="I889" s="6" t="s">
        <v>3669</v>
      </c>
      <c r="J889" s="8">
        <v>44399</v>
      </c>
      <c r="K889" s="8">
        <v>45301</v>
      </c>
      <c r="L889" s="6">
        <v>65600.25</v>
      </c>
      <c r="M889" s="6">
        <v>38700.9</v>
      </c>
      <c r="N889" s="6">
        <v>695</v>
      </c>
      <c r="O889" s="6">
        <v>108000</v>
      </c>
      <c r="P889" s="6" t="s">
        <v>26</v>
      </c>
      <c r="Q889" s="6" t="s">
        <v>27</v>
      </c>
      <c r="R889" s="6">
        <v>0</v>
      </c>
      <c r="S889" s="6" t="s">
        <v>28</v>
      </c>
      <c r="T889" s="7">
        <f t="shared" si="65"/>
        <v>0.35834166666666667</v>
      </c>
      <c r="U889" s="6">
        <f t="shared" si="66"/>
        <v>5</v>
      </c>
      <c r="V889" s="5" t="str">
        <f t="shared" si="67"/>
        <v>GOOD</v>
      </c>
      <c r="W889" s="6" t="str">
        <f t="shared" si="68"/>
        <v>55+</v>
      </c>
      <c r="X889" s="6" t="str">
        <f t="shared" si="69"/>
        <v>Lower-Middle</v>
      </c>
    </row>
    <row r="890" spans="1:24">
      <c r="A890" s="6" t="s">
        <v>536</v>
      </c>
      <c r="B890" s="6" t="s">
        <v>2081</v>
      </c>
      <c r="C890" s="6" t="s">
        <v>39</v>
      </c>
      <c r="D890" s="6" t="s">
        <v>195</v>
      </c>
      <c r="E890" s="6" t="s">
        <v>196</v>
      </c>
      <c r="F890" s="6">
        <v>67</v>
      </c>
      <c r="G890" s="6" t="s">
        <v>24</v>
      </c>
      <c r="H890" s="6" t="s">
        <v>2082</v>
      </c>
      <c r="I890" s="6" t="s">
        <v>4127</v>
      </c>
      <c r="J890" s="8">
        <v>43852</v>
      </c>
      <c r="K890" s="8">
        <v>45300</v>
      </c>
      <c r="L890" s="6">
        <v>147600.4</v>
      </c>
      <c r="M890" s="6">
        <v>88000.6</v>
      </c>
      <c r="N890" s="6">
        <v>670</v>
      </c>
      <c r="O890" s="6">
        <v>175000</v>
      </c>
      <c r="P890" s="6" t="s">
        <v>76</v>
      </c>
      <c r="Q890" s="6" t="s">
        <v>27</v>
      </c>
      <c r="R890" s="6">
        <v>0</v>
      </c>
      <c r="S890" s="6" t="s">
        <v>28</v>
      </c>
      <c r="T890" s="7">
        <f t="shared" si="65"/>
        <v>0.50286057142857143</v>
      </c>
      <c r="U890" s="6">
        <f t="shared" si="66"/>
        <v>6</v>
      </c>
      <c r="V890" s="5" t="str">
        <f t="shared" si="67"/>
        <v>GOOD</v>
      </c>
      <c r="W890" s="6" t="str">
        <f t="shared" si="68"/>
        <v>55+</v>
      </c>
      <c r="X890" s="6" t="str">
        <f t="shared" si="69"/>
        <v>Upper-Middle</v>
      </c>
    </row>
    <row r="891" spans="1:24">
      <c r="A891" s="6" t="s">
        <v>539</v>
      </c>
      <c r="B891" s="6" t="s">
        <v>2083</v>
      </c>
      <c r="C891" s="6" t="s">
        <v>21</v>
      </c>
      <c r="D891" s="6" t="s">
        <v>58</v>
      </c>
      <c r="E891" s="6" t="s">
        <v>122</v>
      </c>
      <c r="F891" s="6">
        <v>75</v>
      </c>
      <c r="G891" s="6" t="s">
        <v>34</v>
      </c>
      <c r="H891" s="6" t="s">
        <v>2084</v>
      </c>
      <c r="I891" s="6" t="s">
        <v>3638</v>
      </c>
      <c r="J891" s="8">
        <v>43426</v>
      </c>
      <c r="K891" s="8">
        <v>45299</v>
      </c>
      <c r="L891" s="6">
        <v>314500.75</v>
      </c>
      <c r="M891" s="6">
        <v>105000.8</v>
      </c>
      <c r="N891" s="6">
        <v>835</v>
      </c>
      <c r="O891" s="6">
        <v>320000</v>
      </c>
      <c r="P891" s="6" t="s">
        <v>36</v>
      </c>
      <c r="Q891" s="6" t="s">
        <v>27</v>
      </c>
      <c r="R891" s="6">
        <v>0</v>
      </c>
      <c r="S891" s="6" t="s">
        <v>28</v>
      </c>
      <c r="T891" s="7">
        <f t="shared" si="65"/>
        <v>0.32812750000000002</v>
      </c>
      <c r="U891" s="6">
        <f t="shared" si="66"/>
        <v>7</v>
      </c>
      <c r="V891" s="5" t="str">
        <f t="shared" si="67"/>
        <v>EXCEPTIONAL</v>
      </c>
      <c r="W891" s="6" t="str">
        <f t="shared" si="68"/>
        <v>55+</v>
      </c>
      <c r="X891" s="6" t="str">
        <f t="shared" si="69"/>
        <v>High</v>
      </c>
    </row>
    <row r="892" spans="1:24">
      <c r="A892" s="6" t="s">
        <v>542</v>
      </c>
      <c r="B892" s="6" t="s">
        <v>2085</v>
      </c>
      <c r="C892" s="6" t="s">
        <v>52</v>
      </c>
      <c r="D892" s="6" t="s">
        <v>68</v>
      </c>
      <c r="E892" s="6" t="s">
        <v>114</v>
      </c>
      <c r="F892" s="6">
        <v>62</v>
      </c>
      <c r="G892" s="6" t="s">
        <v>34</v>
      </c>
      <c r="H892" s="6" t="s">
        <v>2086</v>
      </c>
      <c r="I892" s="6" t="s">
        <v>4115</v>
      </c>
      <c r="J892" s="8">
        <v>44369</v>
      </c>
      <c r="K892" s="8">
        <v>45302</v>
      </c>
      <c r="L892" s="6">
        <v>74300.600000000006</v>
      </c>
      <c r="M892" s="6">
        <v>44300.25</v>
      </c>
      <c r="N892" s="6">
        <v>665</v>
      </c>
      <c r="O892" s="6">
        <v>128000</v>
      </c>
      <c r="P892" s="6" t="s">
        <v>26</v>
      </c>
      <c r="Q892" s="6" t="s">
        <v>27</v>
      </c>
      <c r="R892" s="6">
        <v>0</v>
      </c>
      <c r="S892" s="6" t="s">
        <v>28</v>
      </c>
      <c r="T892" s="7">
        <f t="shared" si="65"/>
        <v>0.34609570312499999</v>
      </c>
      <c r="U892" s="6">
        <f t="shared" si="66"/>
        <v>4</v>
      </c>
      <c r="V892" s="5" t="str">
        <f t="shared" si="67"/>
        <v>FAIR</v>
      </c>
      <c r="W892" s="6" t="str">
        <f t="shared" si="68"/>
        <v>55+</v>
      </c>
      <c r="X892" s="6" t="str">
        <f t="shared" si="69"/>
        <v>Upper-Middle</v>
      </c>
    </row>
    <row r="893" spans="1:24">
      <c r="A893" s="6" t="s">
        <v>545</v>
      </c>
      <c r="B893" s="6" t="s">
        <v>2087</v>
      </c>
      <c r="C893" s="6" t="s">
        <v>46</v>
      </c>
      <c r="D893" s="6" t="s">
        <v>241</v>
      </c>
      <c r="E893" s="6" t="s">
        <v>242</v>
      </c>
      <c r="F893" s="6">
        <v>54</v>
      </c>
      <c r="G893" s="6" t="s">
        <v>24</v>
      </c>
      <c r="H893" s="6" t="s">
        <v>2088</v>
      </c>
      <c r="I893" s="6" t="s">
        <v>4128</v>
      </c>
      <c r="J893" s="8">
        <v>45007</v>
      </c>
      <c r="K893" s="8">
        <v>45303</v>
      </c>
      <c r="L893" s="6">
        <v>97600.8</v>
      </c>
      <c r="M893" s="6">
        <v>51800.4</v>
      </c>
      <c r="N893" s="6">
        <v>750</v>
      </c>
      <c r="O893" s="6">
        <v>154000</v>
      </c>
      <c r="P893" s="6" t="s">
        <v>26</v>
      </c>
      <c r="Q893" s="6" t="s">
        <v>27</v>
      </c>
      <c r="R893" s="6">
        <v>0</v>
      </c>
      <c r="S893" s="6" t="s">
        <v>28</v>
      </c>
      <c r="T893" s="7">
        <f t="shared" si="65"/>
        <v>0.33636623376623376</v>
      </c>
      <c r="U893" s="6">
        <f t="shared" si="66"/>
        <v>3</v>
      </c>
      <c r="V893" s="5" t="str">
        <f t="shared" si="67"/>
        <v>VERY GOOD</v>
      </c>
      <c r="W893" s="6" t="str">
        <f t="shared" si="68"/>
        <v>45-54</v>
      </c>
      <c r="X893" s="6" t="str">
        <f t="shared" si="69"/>
        <v>Upper-Middle</v>
      </c>
    </row>
    <row r="894" spans="1:24">
      <c r="A894" s="6" t="s">
        <v>548</v>
      </c>
      <c r="B894" s="6" t="s">
        <v>2089</v>
      </c>
      <c r="C894" s="6" t="s">
        <v>57</v>
      </c>
      <c r="D894" s="6" t="s">
        <v>22</v>
      </c>
      <c r="E894" s="6" t="s">
        <v>282</v>
      </c>
      <c r="F894" s="6">
        <v>50</v>
      </c>
      <c r="G894" s="6" t="s">
        <v>34</v>
      </c>
      <c r="H894" s="6" t="s">
        <v>2090</v>
      </c>
      <c r="I894" s="6" t="s">
        <v>3890</v>
      </c>
      <c r="J894" s="8">
        <v>45191</v>
      </c>
      <c r="K894" s="8">
        <v>45305</v>
      </c>
      <c r="L894" s="6">
        <v>36500.9</v>
      </c>
      <c r="M894" s="6">
        <v>14400.75</v>
      </c>
      <c r="N894" s="6">
        <v>770</v>
      </c>
      <c r="O894" s="6">
        <v>85000</v>
      </c>
      <c r="P894" s="6" t="s">
        <v>36</v>
      </c>
      <c r="Q894" s="6" t="s">
        <v>27</v>
      </c>
      <c r="R894" s="6">
        <v>0</v>
      </c>
      <c r="S894" s="6" t="s">
        <v>28</v>
      </c>
      <c r="T894" s="7">
        <f t="shared" si="65"/>
        <v>0.16942058823529413</v>
      </c>
      <c r="U894" s="6">
        <f t="shared" si="66"/>
        <v>1</v>
      </c>
      <c r="V894" s="5" t="str">
        <f t="shared" si="67"/>
        <v>VERY GOOD</v>
      </c>
      <c r="W894" s="6" t="str">
        <f t="shared" si="68"/>
        <v>45-54</v>
      </c>
      <c r="X894" s="6" t="str">
        <f t="shared" si="69"/>
        <v>Lower-Middle</v>
      </c>
    </row>
    <row r="895" spans="1:24">
      <c r="A895" s="6" t="s">
        <v>551</v>
      </c>
      <c r="B895" s="6" t="s">
        <v>2091</v>
      </c>
      <c r="C895" s="6" t="s">
        <v>39</v>
      </c>
      <c r="D895" s="6" t="s">
        <v>313</v>
      </c>
      <c r="E895" s="6" t="s">
        <v>385</v>
      </c>
      <c r="F895" s="6">
        <v>73</v>
      </c>
      <c r="G895" s="6" t="s">
        <v>24</v>
      </c>
      <c r="H895" s="6" t="s">
        <v>2092</v>
      </c>
      <c r="I895" s="6" t="s">
        <v>4129</v>
      </c>
      <c r="J895" s="8">
        <v>43607</v>
      </c>
      <c r="K895" s="8">
        <v>45299</v>
      </c>
      <c r="L895" s="6">
        <v>200700.25</v>
      </c>
      <c r="M895" s="6">
        <v>109000.8</v>
      </c>
      <c r="N895" s="6">
        <v>645</v>
      </c>
      <c r="O895" s="6">
        <v>225000</v>
      </c>
      <c r="P895" s="6" t="s">
        <v>76</v>
      </c>
      <c r="Q895" s="6" t="s">
        <v>27</v>
      </c>
      <c r="R895" s="6">
        <v>0</v>
      </c>
      <c r="S895" s="6" t="s">
        <v>28</v>
      </c>
      <c r="T895" s="7">
        <f t="shared" si="65"/>
        <v>0.48444799999999999</v>
      </c>
      <c r="U895" s="6">
        <f t="shared" si="66"/>
        <v>7</v>
      </c>
      <c r="V895" s="5" t="str">
        <f t="shared" si="67"/>
        <v>FAIR</v>
      </c>
      <c r="W895" s="6" t="str">
        <f t="shared" si="68"/>
        <v>55+</v>
      </c>
      <c r="X895" s="6" t="str">
        <f t="shared" si="69"/>
        <v>High</v>
      </c>
    </row>
    <row r="896" spans="1:24">
      <c r="A896" s="6" t="s">
        <v>554</v>
      </c>
      <c r="B896" s="6" t="s">
        <v>2093</v>
      </c>
      <c r="C896" s="6" t="s">
        <v>31</v>
      </c>
      <c r="D896" s="6" t="s">
        <v>214</v>
      </c>
      <c r="E896" s="6" t="s">
        <v>215</v>
      </c>
      <c r="F896" s="6">
        <v>46</v>
      </c>
      <c r="G896" s="6" t="s">
        <v>34</v>
      </c>
      <c r="H896" s="6" t="s">
        <v>2094</v>
      </c>
      <c r="I896" s="6" t="s">
        <v>4130</v>
      </c>
      <c r="J896" s="8">
        <v>45455</v>
      </c>
      <c r="K896" s="8">
        <v>45306</v>
      </c>
      <c r="L896" s="6">
        <v>30200.5</v>
      </c>
      <c r="M896" s="6">
        <v>14000.4</v>
      </c>
      <c r="N896" s="6">
        <v>720</v>
      </c>
      <c r="O896" s="6">
        <v>62000</v>
      </c>
      <c r="P896" s="6" t="s">
        <v>36</v>
      </c>
      <c r="Q896" s="6" t="s">
        <v>27</v>
      </c>
      <c r="R896" s="6">
        <v>0</v>
      </c>
      <c r="S896" s="6" t="s">
        <v>28</v>
      </c>
      <c r="T896" s="7">
        <f t="shared" si="65"/>
        <v>0.22581290322580644</v>
      </c>
      <c r="U896" s="6">
        <f t="shared" si="66"/>
        <v>0</v>
      </c>
      <c r="V896" s="5" t="str">
        <f t="shared" si="67"/>
        <v>GOOD</v>
      </c>
      <c r="W896" s="6" t="str">
        <f t="shared" si="68"/>
        <v>45-54</v>
      </c>
      <c r="X896" s="6" t="str">
        <f t="shared" si="69"/>
        <v>Low</v>
      </c>
    </row>
    <row r="897" spans="1:24">
      <c r="A897" s="6" t="s">
        <v>108</v>
      </c>
      <c r="B897" s="6" t="s">
        <v>2095</v>
      </c>
      <c r="C897" s="6" t="s">
        <v>84</v>
      </c>
      <c r="D897" s="6" t="s">
        <v>32</v>
      </c>
      <c r="E897" s="6" t="s">
        <v>33</v>
      </c>
      <c r="F897" s="6">
        <v>42</v>
      </c>
      <c r="G897" s="6" t="s">
        <v>24</v>
      </c>
      <c r="H897" s="6" t="s">
        <v>2096</v>
      </c>
      <c r="I897" s="6" t="s">
        <v>3644</v>
      </c>
      <c r="J897" s="8">
        <v>45458</v>
      </c>
      <c r="K897" s="8">
        <v>45304</v>
      </c>
      <c r="L897" s="6">
        <v>3850.8</v>
      </c>
      <c r="M897" s="6">
        <v>12600.25</v>
      </c>
      <c r="N897" s="6">
        <v>605</v>
      </c>
      <c r="O897" s="6">
        <v>38000</v>
      </c>
      <c r="P897" s="6" t="s">
        <v>76</v>
      </c>
      <c r="Q897" s="6" t="s">
        <v>43</v>
      </c>
      <c r="R897" s="6">
        <v>0</v>
      </c>
      <c r="S897" s="6" t="s">
        <v>28</v>
      </c>
      <c r="T897" s="7">
        <f t="shared" si="65"/>
        <v>0.33158552631578947</v>
      </c>
      <c r="U897" s="6">
        <f t="shared" si="66"/>
        <v>2</v>
      </c>
      <c r="V897" s="5" t="str">
        <f t="shared" si="67"/>
        <v>FAIR</v>
      </c>
      <c r="W897" s="6" t="str">
        <f t="shared" si="68"/>
        <v>35-44</v>
      </c>
      <c r="X897" s="6" t="str">
        <f t="shared" si="69"/>
        <v>Low</v>
      </c>
    </row>
    <row r="898" spans="1:24">
      <c r="A898" s="6" t="s">
        <v>559</v>
      </c>
      <c r="B898" s="6" t="s">
        <v>2097</v>
      </c>
      <c r="C898" s="6" t="s">
        <v>46</v>
      </c>
      <c r="D898" s="6" t="s">
        <v>254</v>
      </c>
      <c r="E898" s="6" t="s">
        <v>255</v>
      </c>
      <c r="F898" s="6">
        <v>56</v>
      </c>
      <c r="G898" s="6" t="s">
        <v>34</v>
      </c>
      <c r="H898" s="6" t="s">
        <v>2098</v>
      </c>
      <c r="I898" s="6" t="s">
        <v>4131</v>
      </c>
      <c r="J898" s="8">
        <v>44887</v>
      </c>
      <c r="K898" s="8">
        <v>45302</v>
      </c>
      <c r="L898" s="6">
        <v>84300.4</v>
      </c>
      <c r="M898" s="6">
        <v>46500.75</v>
      </c>
      <c r="N898" s="6">
        <v>710</v>
      </c>
      <c r="O898" s="6">
        <v>136000</v>
      </c>
      <c r="P898" s="6" t="s">
        <v>26</v>
      </c>
      <c r="Q898" s="6" t="s">
        <v>27</v>
      </c>
      <c r="R898" s="6">
        <v>0</v>
      </c>
      <c r="S898" s="6" t="s">
        <v>28</v>
      </c>
      <c r="T898" s="7">
        <f t="shared" ref="T898:T961" si="70">IFERROR(M898/O898,"")</f>
        <v>0.3419172794117647</v>
      </c>
      <c r="U898" s="6">
        <f t="shared" ref="U898:U961" si="71">MAX($K$2:$K$1599)-K898</f>
        <v>4</v>
      </c>
      <c r="V898" s="5" t="str">
        <f t="shared" ref="V898:V961" si="72">IF(N898&lt;670,"FAIR", IF(N898&lt;750,"GOOD",IF(N898&lt;800,"VERY GOOD","EXCEPTIONAL")))</f>
        <v>GOOD</v>
      </c>
      <c r="W898" s="6" t="str">
        <f t="shared" ref="W898:W961" si="73">IF(F898&lt;25,"18-24",IF(F898&lt;35,"25-34",IF(F898&lt;45,"35-44",IF(F898&lt;55,"45-54","55+"))))</f>
        <v>55+</v>
      </c>
      <c r="X898" s="6" t="str">
        <f t="shared" ref="X898:X961" si="74">IF(O898&lt;=_xlfn.QUARTILE.INC($O$2:$O$1599,1),"Low",IF(O898&lt;=_xlfn.QUARTILE.INC($O$2:$O$1599,2),"Lower-Middle",IF(O898&lt;=_xlfn.QUARTILE.INC($O$2:$O$1599,3),"Upper-Middle","High")))</f>
        <v>Upper-Middle</v>
      </c>
    </row>
    <row r="899" spans="1:24">
      <c r="A899" s="6" t="s">
        <v>562</v>
      </c>
      <c r="B899" s="6" t="s">
        <v>2099</v>
      </c>
      <c r="C899" s="6" t="s">
        <v>39</v>
      </c>
      <c r="D899" s="6" t="s">
        <v>47</v>
      </c>
      <c r="E899" s="6" t="s">
        <v>98</v>
      </c>
      <c r="F899" s="6">
        <v>70</v>
      </c>
      <c r="G899" s="6" t="s">
        <v>24</v>
      </c>
      <c r="H899" s="6" t="s">
        <v>2100</v>
      </c>
      <c r="I899" s="6" t="s">
        <v>3646</v>
      </c>
      <c r="J899" s="8">
        <v>43760</v>
      </c>
      <c r="K899" s="8">
        <v>45300</v>
      </c>
      <c r="L899" s="6">
        <v>180900.6</v>
      </c>
      <c r="M899" s="6">
        <v>102000.25</v>
      </c>
      <c r="N899" s="6">
        <v>675</v>
      </c>
      <c r="O899" s="6">
        <v>205000</v>
      </c>
      <c r="P899" s="6" t="s">
        <v>76</v>
      </c>
      <c r="Q899" s="6" t="s">
        <v>27</v>
      </c>
      <c r="R899" s="6">
        <v>0</v>
      </c>
      <c r="S899" s="6" t="s">
        <v>28</v>
      </c>
      <c r="T899" s="7">
        <f t="shared" si="70"/>
        <v>0.49756219512195121</v>
      </c>
      <c r="U899" s="6">
        <f t="shared" si="71"/>
        <v>6</v>
      </c>
      <c r="V899" s="5" t="str">
        <f t="shared" si="72"/>
        <v>GOOD</v>
      </c>
      <c r="W899" s="6" t="str">
        <f t="shared" si="73"/>
        <v>55+</v>
      </c>
      <c r="X899" s="6" t="str">
        <f t="shared" si="74"/>
        <v>High</v>
      </c>
    </row>
    <row r="900" spans="1:24">
      <c r="A900" s="6" t="s">
        <v>565</v>
      </c>
      <c r="B900" s="6" t="s">
        <v>2101</v>
      </c>
      <c r="C900" s="6" t="s">
        <v>52</v>
      </c>
      <c r="D900" s="6" t="s">
        <v>233</v>
      </c>
      <c r="E900" s="6" t="s">
        <v>234</v>
      </c>
      <c r="F900" s="6">
        <v>55</v>
      </c>
      <c r="G900" s="6" t="s">
        <v>34</v>
      </c>
      <c r="H900" s="6" t="s">
        <v>2102</v>
      </c>
      <c r="I900" s="6" t="s">
        <v>3647</v>
      </c>
      <c r="J900" s="8">
        <v>44673</v>
      </c>
      <c r="K900" s="8">
        <v>45301</v>
      </c>
      <c r="L900" s="6">
        <v>60700.75</v>
      </c>
      <c r="M900" s="6">
        <v>37600.800000000003</v>
      </c>
      <c r="N900" s="6">
        <v>725</v>
      </c>
      <c r="O900" s="6">
        <v>102000</v>
      </c>
      <c r="P900" s="6" t="s">
        <v>26</v>
      </c>
      <c r="Q900" s="6" t="s">
        <v>27</v>
      </c>
      <c r="R900" s="6">
        <v>0</v>
      </c>
      <c r="S900" s="6" t="s">
        <v>28</v>
      </c>
      <c r="T900" s="7">
        <f t="shared" si="70"/>
        <v>0.36863529411764706</v>
      </c>
      <c r="U900" s="6">
        <f t="shared" si="71"/>
        <v>5</v>
      </c>
      <c r="V900" s="5" t="str">
        <f t="shared" si="72"/>
        <v>GOOD</v>
      </c>
      <c r="W900" s="6" t="str">
        <f t="shared" si="73"/>
        <v>55+</v>
      </c>
      <c r="X900" s="6" t="str">
        <f t="shared" si="74"/>
        <v>Lower-Middle</v>
      </c>
    </row>
    <row r="901" spans="1:24">
      <c r="A901" s="6" t="s">
        <v>568</v>
      </c>
      <c r="B901" s="6" t="s">
        <v>2103</v>
      </c>
      <c r="C901" s="6" t="s">
        <v>57</v>
      </c>
      <c r="D901" s="6" t="s">
        <v>79</v>
      </c>
      <c r="E901" s="6" t="s">
        <v>80</v>
      </c>
      <c r="F901" s="6">
        <v>53</v>
      </c>
      <c r="G901" s="6" t="s">
        <v>24</v>
      </c>
      <c r="H901" s="6" t="s">
        <v>2104</v>
      </c>
      <c r="I901" s="6" t="s">
        <v>3648</v>
      </c>
      <c r="J901" s="8">
        <v>45129</v>
      </c>
      <c r="K901" s="8">
        <v>45303</v>
      </c>
      <c r="L901" s="6">
        <v>38700.400000000001</v>
      </c>
      <c r="M901" s="6">
        <v>15200.9</v>
      </c>
      <c r="N901" s="6">
        <v>740</v>
      </c>
      <c r="O901" s="6">
        <v>88000</v>
      </c>
      <c r="P901" s="6" t="s">
        <v>36</v>
      </c>
      <c r="Q901" s="6" t="s">
        <v>27</v>
      </c>
      <c r="R901" s="6">
        <v>0</v>
      </c>
      <c r="S901" s="6" t="s">
        <v>28</v>
      </c>
      <c r="T901" s="7">
        <f t="shared" si="70"/>
        <v>0.17273749999999999</v>
      </c>
      <c r="U901" s="6">
        <f t="shared" si="71"/>
        <v>3</v>
      </c>
      <c r="V901" s="5" t="str">
        <f t="shared" si="72"/>
        <v>GOOD</v>
      </c>
      <c r="W901" s="6" t="str">
        <f t="shared" si="73"/>
        <v>45-54</v>
      </c>
      <c r="X901" s="6" t="str">
        <f t="shared" si="74"/>
        <v>Lower-Middle</v>
      </c>
    </row>
    <row r="902" spans="1:24">
      <c r="A902" s="6" t="s">
        <v>571</v>
      </c>
      <c r="B902" s="6" t="s">
        <v>2105</v>
      </c>
      <c r="C902" s="6" t="s">
        <v>21</v>
      </c>
      <c r="D902" s="6" t="s">
        <v>63</v>
      </c>
      <c r="E902" s="6" t="s">
        <v>3514</v>
      </c>
      <c r="F902" s="6">
        <v>76</v>
      </c>
      <c r="G902" s="6" t="s">
        <v>34</v>
      </c>
      <c r="H902" s="6" t="s">
        <v>2106</v>
      </c>
      <c r="I902" s="6" t="s">
        <v>4132</v>
      </c>
      <c r="J902" s="8">
        <v>43303</v>
      </c>
      <c r="K902" s="8">
        <v>45299</v>
      </c>
      <c r="L902" s="6">
        <v>269800.90000000002</v>
      </c>
      <c r="M902" s="6">
        <v>92000.6</v>
      </c>
      <c r="N902" s="6">
        <v>830</v>
      </c>
      <c r="O902" s="6">
        <v>300000</v>
      </c>
      <c r="P902" s="6" t="s">
        <v>36</v>
      </c>
      <c r="Q902" s="6" t="s">
        <v>27</v>
      </c>
      <c r="R902" s="6">
        <v>0</v>
      </c>
      <c r="S902" s="6" t="s">
        <v>28</v>
      </c>
      <c r="T902" s="7">
        <f t="shared" si="70"/>
        <v>0.3066686666666667</v>
      </c>
      <c r="U902" s="6">
        <f t="shared" si="71"/>
        <v>7</v>
      </c>
      <c r="V902" s="5" t="str">
        <f t="shared" si="72"/>
        <v>EXCEPTIONAL</v>
      </c>
      <c r="W902" s="6" t="str">
        <f t="shared" si="73"/>
        <v>55+</v>
      </c>
      <c r="X902" s="6" t="str">
        <f t="shared" si="74"/>
        <v>High</v>
      </c>
    </row>
    <row r="903" spans="1:24">
      <c r="A903" s="6" t="s">
        <v>574</v>
      </c>
      <c r="B903" s="6" t="s">
        <v>2107</v>
      </c>
      <c r="C903" s="6" t="s">
        <v>39</v>
      </c>
      <c r="D903" s="6" t="s">
        <v>68</v>
      </c>
      <c r="E903" s="6" t="s">
        <v>179</v>
      </c>
      <c r="F903" s="6">
        <v>68</v>
      </c>
      <c r="G903" s="6" t="s">
        <v>24</v>
      </c>
      <c r="H903" s="6" t="s">
        <v>2108</v>
      </c>
      <c r="I903" s="6" t="s">
        <v>4133</v>
      </c>
      <c r="J903" s="8">
        <v>43902</v>
      </c>
      <c r="K903" s="8">
        <v>45300</v>
      </c>
      <c r="L903" s="6">
        <v>158700.25</v>
      </c>
      <c r="M903" s="6">
        <v>94000.4</v>
      </c>
      <c r="N903" s="6">
        <v>655</v>
      </c>
      <c r="O903" s="6">
        <v>190000</v>
      </c>
      <c r="P903" s="6" t="s">
        <v>76</v>
      </c>
      <c r="Q903" s="6" t="s">
        <v>27</v>
      </c>
      <c r="R903" s="6">
        <v>0</v>
      </c>
      <c r="S903" s="6" t="s">
        <v>28</v>
      </c>
      <c r="T903" s="7">
        <f t="shared" si="70"/>
        <v>0.494738947368421</v>
      </c>
      <c r="U903" s="6">
        <f t="shared" si="71"/>
        <v>6</v>
      </c>
      <c r="V903" s="5" t="str">
        <f t="shared" si="72"/>
        <v>FAIR</v>
      </c>
      <c r="W903" s="6" t="str">
        <f t="shared" si="73"/>
        <v>55+</v>
      </c>
      <c r="X903" s="6" t="str">
        <f t="shared" si="74"/>
        <v>Upper-Middle</v>
      </c>
    </row>
    <row r="904" spans="1:24">
      <c r="A904" s="6" t="s">
        <v>577</v>
      </c>
      <c r="B904" s="6" t="s">
        <v>2109</v>
      </c>
      <c r="C904" s="6" t="s">
        <v>46</v>
      </c>
      <c r="D904" s="6" t="s">
        <v>85</v>
      </c>
      <c r="E904" s="6" t="s">
        <v>86</v>
      </c>
      <c r="F904" s="6">
        <v>57</v>
      </c>
      <c r="G904" s="6" t="s">
        <v>34</v>
      </c>
      <c r="H904" s="6" t="s">
        <v>2110</v>
      </c>
      <c r="I904" s="6" t="s">
        <v>3968</v>
      </c>
      <c r="J904" s="8">
        <v>44795</v>
      </c>
      <c r="K904" s="8">
        <v>45302</v>
      </c>
      <c r="L904" s="6">
        <v>103200.6</v>
      </c>
      <c r="M904" s="6">
        <v>54500.75</v>
      </c>
      <c r="N904" s="6">
        <v>760</v>
      </c>
      <c r="O904" s="6">
        <v>159000</v>
      </c>
      <c r="P904" s="6" t="s">
        <v>26</v>
      </c>
      <c r="Q904" s="6" t="s">
        <v>27</v>
      </c>
      <c r="R904" s="6">
        <v>0</v>
      </c>
      <c r="S904" s="6" t="s">
        <v>28</v>
      </c>
      <c r="T904" s="7">
        <f t="shared" si="70"/>
        <v>0.34277201257861634</v>
      </c>
      <c r="U904" s="6">
        <f t="shared" si="71"/>
        <v>4</v>
      </c>
      <c r="V904" s="5" t="str">
        <f t="shared" si="72"/>
        <v>VERY GOOD</v>
      </c>
      <c r="W904" s="6" t="str">
        <f t="shared" si="73"/>
        <v>55+</v>
      </c>
      <c r="X904" s="6" t="str">
        <f t="shared" si="74"/>
        <v>Upper-Middle</v>
      </c>
    </row>
    <row r="905" spans="1:24">
      <c r="A905" s="6" t="s">
        <v>458</v>
      </c>
      <c r="B905" s="6" t="s">
        <v>2111</v>
      </c>
      <c r="C905" s="6" t="s">
        <v>31</v>
      </c>
      <c r="D905" s="6" t="s">
        <v>460</v>
      </c>
      <c r="E905" s="6" t="s">
        <v>663</v>
      </c>
      <c r="F905" s="6">
        <v>48</v>
      </c>
      <c r="G905" s="6" t="s">
        <v>24</v>
      </c>
      <c r="H905" s="6" t="s">
        <v>2112</v>
      </c>
      <c r="I905" s="6" t="s">
        <v>4134</v>
      </c>
      <c r="J905" s="8">
        <v>45451</v>
      </c>
      <c r="K905" s="8">
        <v>45306</v>
      </c>
      <c r="L905" s="6">
        <v>18400.25</v>
      </c>
      <c r="M905" s="6">
        <v>10900.8</v>
      </c>
      <c r="N905" s="6">
        <v>695</v>
      </c>
      <c r="O905" s="6">
        <v>59000</v>
      </c>
      <c r="P905" s="6" t="s">
        <v>26</v>
      </c>
      <c r="Q905" s="6" t="s">
        <v>43</v>
      </c>
      <c r="R905" s="6">
        <v>0</v>
      </c>
      <c r="S905" s="6" t="s">
        <v>28</v>
      </c>
      <c r="T905" s="7">
        <f t="shared" si="70"/>
        <v>0.1847593220338983</v>
      </c>
      <c r="U905" s="6">
        <f t="shared" si="71"/>
        <v>0</v>
      </c>
      <c r="V905" s="5" t="str">
        <f t="shared" si="72"/>
        <v>GOOD</v>
      </c>
      <c r="W905" s="6" t="str">
        <f t="shared" si="73"/>
        <v>45-54</v>
      </c>
      <c r="X905" s="6" t="str">
        <f t="shared" si="74"/>
        <v>Low</v>
      </c>
    </row>
    <row r="906" spans="1:24">
      <c r="A906" s="6" t="s">
        <v>582</v>
      </c>
      <c r="B906" s="6" t="s">
        <v>2113</v>
      </c>
      <c r="C906" s="6" t="s">
        <v>57</v>
      </c>
      <c r="D906" s="6" t="s">
        <v>22</v>
      </c>
      <c r="E906" s="6" t="s">
        <v>23</v>
      </c>
      <c r="F906" s="6">
        <v>51</v>
      </c>
      <c r="G906" s="6" t="s">
        <v>34</v>
      </c>
      <c r="H906" s="6" t="s">
        <v>2114</v>
      </c>
      <c r="I906" s="6" t="s">
        <v>3990</v>
      </c>
      <c r="J906" s="8">
        <v>45068</v>
      </c>
      <c r="K906" s="8">
        <v>45303</v>
      </c>
      <c r="L906" s="6">
        <v>37600.9</v>
      </c>
      <c r="M906" s="6">
        <v>14800.25</v>
      </c>
      <c r="N906" s="6">
        <v>755</v>
      </c>
      <c r="O906" s="6">
        <v>81000</v>
      </c>
      <c r="P906" s="6" t="s">
        <v>36</v>
      </c>
      <c r="Q906" s="6" t="s">
        <v>27</v>
      </c>
      <c r="R906" s="6">
        <v>0</v>
      </c>
      <c r="S906" s="6" t="s">
        <v>28</v>
      </c>
      <c r="T906" s="7">
        <f t="shared" si="70"/>
        <v>0.18271913580246912</v>
      </c>
      <c r="U906" s="6">
        <f t="shared" si="71"/>
        <v>3</v>
      </c>
      <c r="V906" s="5" t="str">
        <f t="shared" si="72"/>
        <v>VERY GOOD</v>
      </c>
      <c r="W906" s="6" t="str">
        <f t="shared" si="73"/>
        <v>45-54</v>
      </c>
      <c r="X906" s="6" t="str">
        <f t="shared" si="74"/>
        <v>Lower-Middle</v>
      </c>
    </row>
    <row r="907" spans="1:24">
      <c r="A907" s="6" t="s">
        <v>55</v>
      </c>
      <c r="B907" s="6" t="s">
        <v>2115</v>
      </c>
      <c r="C907" s="6" t="s">
        <v>39</v>
      </c>
      <c r="D907" s="6" t="s">
        <v>58</v>
      </c>
      <c r="E907" s="6" t="s">
        <v>122</v>
      </c>
      <c r="F907" s="6">
        <v>69</v>
      </c>
      <c r="G907" s="6" t="s">
        <v>24</v>
      </c>
      <c r="H907" s="6" t="s">
        <v>2116</v>
      </c>
      <c r="I907" s="6" t="s">
        <v>3653</v>
      </c>
      <c r="J907" s="8">
        <v>43821</v>
      </c>
      <c r="K907" s="8">
        <v>45300</v>
      </c>
      <c r="L907" s="6">
        <v>191600.4</v>
      </c>
      <c r="M907" s="6">
        <v>107000.75</v>
      </c>
      <c r="N907" s="6">
        <v>685</v>
      </c>
      <c r="O907" s="6">
        <v>215000</v>
      </c>
      <c r="P907" s="6" t="s">
        <v>76</v>
      </c>
      <c r="Q907" s="6" t="s">
        <v>27</v>
      </c>
      <c r="R907" s="6">
        <v>0</v>
      </c>
      <c r="S907" s="6" t="s">
        <v>28</v>
      </c>
      <c r="T907" s="7">
        <f t="shared" si="70"/>
        <v>0.49767790697674419</v>
      </c>
      <c r="U907" s="6">
        <f t="shared" si="71"/>
        <v>6</v>
      </c>
      <c r="V907" s="5" t="str">
        <f t="shared" si="72"/>
        <v>GOOD</v>
      </c>
      <c r="W907" s="6" t="str">
        <f t="shared" si="73"/>
        <v>55+</v>
      </c>
      <c r="X907" s="6" t="str">
        <f t="shared" si="74"/>
        <v>High</v>
      </c>
    </row>
    <row r="908" spans="1:24">
      <c r="A908" s="6" t="s">
        <v>469</v>
      </c>
      <c r="B908" s="6" t="s">
        <v>2117</v>
      </c>
      <c r="C908" s="6" t="s">
        <v>52</v>
      </c>
      <c r="D908" s="6" t="s">
        <v>471</v>
      </c>
      <c r="E908" s="6" t="s">
        <v>472</v>
      </c>
      <c r="F908" s="6">
        <v>60</v>
      </c>
      <c r="G908" s="6" t="s">
        <v>34</v>
      </c>
      <c r="H908" s="6" t="s">
        <v>2118</v>
      </c>
      <c r="I908" s="6" t="s">
        <v>4135</v>
      </c>
      <c r="J908" s="8">
        <v>44461</v>
      </c>
      <c r="K908" s="8">
        <v>45301</v>
      </c>
      <c r="L908" s="6">
        <v>67600.800000000003</v>
      </c>
      <c r="M908" s="6">
        <v>40700.6</v>
      </c>
      <c r="N908" s="6">
        <v>715</v>
      </c>
      <c r="O908" s="6">
        <v>114000</v>
      </c>
      <c r="P908" s="6" t="s">
        <v>26</v>
      </c>
      <c r="Q908" s="6" t="s">
        <v>27</v>
      </c>
      <c r="R908" s="6">
        <v>0</v>
      </c>
      <c r="S908" s="6" t="s">
        <v>28</v>
      </c>
      <c r="T908" s="7">
        <f t="shared" si="70"/>
        <v>0.35702280701754385</v>
      </c>
      <c r="U908" s="6">
        <f t="shared" si="71"/>
        <v>5</v>
      </c>
      <c r="V908" s="5" t="str">
        <f t="shared" si="72"/>
        <v>GOOD</v>
      </c>
      <c r="W908" s="6" t="str">
        <f t="shared" si="73"/>
        <v>55+</v>
      </c>
      <c r="X908" s="6" t="str">
        <f t="shared" si="74"/>
        <v>Lower-Middle</v>
      </c>
    </row>
    <row r="909" spans="1:24">
      <c r="A909" s="6" t="s">
        <v>474</v>
      </c>
      <c r="B909" s="6" t="s">
        <v>2119</v>
      </c>
      <c r="C909" s="6" t="s">
        <v>46</v>
      </c>
      <c r="D909" s="6" t="s">
        <v>345</v>
      </c>
      <c r="E909" s="6" t="s">
        <v>476</v>
      </c>
      <c r="F909" s="6">
        <v>63</v>
      </c>
      <c r="G909" s="6" t="s">
        <v>24</v>
      </c>
      <c r="H909" s="6" t="s">
        <v>2120</v>
      </c>
      <c r="I909" s="6" t="s">
        <v>3951</v>
      </c>
      <c r="J909" s="8">
        <v>44369</v>
      </c>
      <c r="K909" s="8">
        <v>45302</v>
      </c>
      <c r="L909" s="6">
        <v>95400.25</v>
      </c>
      <c r="M909" s="6">
        <v>50700.4</v>
      </c>
      <c r="N909" s="6">
        <v>680</v>
      </c>
      <c r="O909" s="6">
        <v>143000</v>
      </c>
      <c r="P909" s="6" t="s">
        <v>26</v>
      </c>
      <c r="Q909" s="6" t="s">
        <v>27</v>
      </c>
      <c r="R909" s="6">
        <v>0</v>
      </c>
      <c r="S909" s="6" t="s">
        <v>28</v>
      </c>
      <c r="T909" s="7">
        <f t="shared" si="70"/>
        <v>0.35454825174825177</v>
      </c>
      <c r="U909" s="6">
        <f t="shared" si="71"/>
        <v>4</v>
      </c>
      <c r="V909" s="5" t="str">
        <f t="shared" si="72"/>
        <v>GOOD</v>
      </c>
      <c r="W909" s="6" t="str">
        <f t="shared" si="73"/>
        <v>55+</v>
      </c>
      <c r="X909" s="6" t="str">
        <f t="shared" si="74"/>
        <v>Upper-Middle</v>
      </c>
    </row>
    <row r="910" spans="1:24">
      <c r="A910" s="6" t="s">
        <v>592</v>
      </c>
      <c r="B910" s="6" t="s">
        <v>2121</v>
      </c>
      <c r="C910" s="6" t="s">
        <v>84</v>
      </c>
      <c r="D910" s="6" t="s">
        <v>32</v>
      </c>
      <c r="E910" s="6" t="s">
        <v>90</v>
      </c>
      <c r="F910" s="6">
        <v>43</v>
      </c>
      <c r="G910" s="6" t="s">
        <v>34</v>
      </c>
      <c r="H910" s="6" t="s">
        <v>2122</v>
      </c>
      <c r="I910" s="6" t="s">
        <v>3544</v>
      </c>
      <c r="J910" s="8">
        <v>45465</v>
      </c>
      <c r="K910" s="8">
        <v>45304</v>
      </c>
      <c r="L910" s="6">
        <v>3950.4</v>
      </c>
      <c r="M910" s="6">
        <v>13200.75</v>
      </c>
      <c r="N910" s="6">
        <v>610</v>
      </c>
      <c r="O910" s="6">
        <v>39000</v>
      </c>
      <c r="P910" s="6" t="s">
        <v>76</v>
      </c>
      <c r="Q910" s="6" t="s">
        <v>43</v>
      </c>
      <c r="R910" s="6">
        <v>0</v>
      </c>
      <c r="S910" s="6" t="s">
        <v>28</v>
      </c>
      <c r="T910" s="7">
        <f t="shared" si="70"/>
        <v>0.33848076923076925</v>
      </c>
      <c r="U910" s="6">
        <f t="shared" si="71"/>
        <v>2</v>
      </c>
      <c r="V910" s="5" t="str">
        <f t="shared" si="72"/>
        <v>FAIR</v>
      </c>
      <c r="W910" s="6" t="str">
        <f t="shared" si="73"/>
        <v>35-44</v>
      </c>
      <c r="X910" s="6" t="str">
        <f t="shared" si="74"/>
        <v>Low</v>
      </c>
    </row>
    <row r="911" spans="1:24">
      <c r="A911" s="6" t="s">
        <v>595</v>
      </c>
      <c r="B911" s="6" t="s">
        <v>2123</v>
      </c>
      <c r="C911" s="6" t="s">
        <v>21</v>
      </c>
      <c r="D911" s="6" t="s">
        <v>209</v>
      </c>
      <c r="E911" s="6" t="s">
        <v>210</v>
      </c>
      <c r="F911" s="6">
        <v>75</v>
      </c>
      <c r="G911" s="6" t="s">
        <v>24</v>
      </c>
      <c r="H911" s="6" t="s">
        <v>2124</v>
      </c>
      <c r="I911" s="6" t="s">
        <v>4125</v>
      </c>
      <c r="J911" s="8">
        <v>43518</v>
      </c>
      <c r="K911" s="8">
        <v>45299</v>
      </c>
      <c r="L911" s="6">
        <v>289600.8</v>
      </c>
      <c r="M911" s="6">
        <v>98000.25</v>
      </c>
      <c r="N911" s="6">
        <v>825</v>
      </c>
      <c r="O911" s="6">
        <v>295000</v>
      </c>
      <c r="P911" s="6" t="s">
        <v>36</v>
      </c>
      <c r="Q911" s="6" t="s">
        <v>27</v>
      </c>
      <c r="R911" s="6">
        <v>0</v>
      </c>
      <c r="S911" s="6" t="s">
        <v>28</v>
      </c>
      <c r="T911" s="7">
        <f t="shared" si="70"/>
        <v>0.33220423728813558</v>
      </c>
      <c r="U911" s="6">
        <f t="shared" si="71"/>
        <v>7</v>
      </c>
      <c r="V911" s="5" t="str">
        <f t="shared" si="72"/>
        <v>EXCEPTIONAL</v>
      </c>
      <c r="W911" s="6" t="str">
        <f t="shared" si="73"/>
        <v>55+</v>
      </c>
      <c r="X911" s="6" t="str">
        <f t="shared" si="74"/>
        <v>High</v>
      </c>
    </row>
    <row r="912" spans="1:24">
      <c r="A912" s="6" t="s">
        <v>226</v>
      </c>
      <c r="B912" s="6" t="s">
        <v>2125</v>
      </c>
      <c r="C912" s="6" t="s">
        <v>57</v>
      </c>
      <c r="D912" s="6" t="s">
        <v>228</v>
      </c>
      <c r="E912" s="6" t="s">
        <v>229</v>
      </c>
      <c r="F912" s="6">
        <v>50</v>
      </c>
      <c r="G912" s="6" t="s">
        <v>34</v>
      </c>
      <c r="H912" s="6" t="s">
        <v>2126</v>
      </c>
      <c r="I912" s="6" t="s">
        <v>4136</v>
      </c>
      <c r="J912" s="8">
        <v>45252</v>
      </c>
      <c r="K912" s="8">
        <v>45305</v>
      </c>
      <c r="L912" s="6">
        <v>34300.75</v>
      </c>
      <c r="M912" s="6">
        <v>13200.4</v>
      </c>
      <c r="N912" s="6">
        <v>725</v>
      </c>
      <c r="O912" s="6">
        <v>71000</v>
      </c>
      <c r="P912" s="6" t="s">
        <v>36</v>
      </c>
      <c r="Q912" s="6" t="s">
        <v>27</v>
      </c>
      <c r="R912" s="6">
        <v>0</v>
      </c>
      <c r="S912" s="6" t="s">
        <v>28</v>
      </c>
      <c r="T912" s="7">
        <f t="shared" si="70"/>
        <v>0.18592112676056338</v>
      </c>
      <c r="U912" s="6">
        <f t="shared" si="71"/>
        <v>1</v>
      </c>
      <c r="V912" s="5" t="str">
        <f t="shared" si="72"/>
        <v>GOOD</v>
      </c>
      <c r="W912" s="6" t="str">
        <f t="shared" si="73"/>
        <v>45-54</v>
      </c>
      <c r="X912" s="6" t="str">
        <f t="shared" si="74"/>
        <v>Low</v>
      </c>
    </row>
    <row r="913" spans="1:24">
      <c r="A913" s="6" t="s">
        <v>488</v>
      </c>
      <c r="B913" s="6" t="s">
        <v>2127</v>
      </c>
      <c r="C913" s="6" t="s">
        <v>39</v>
      </c>
      <c r="D913" s="6" t="s">
        <v>304</v>
      </c>
      <c r="E913" s="6" t="s">
        <v>304</v>
      </c>
      <c r="F913" s="6">
        <v>67</v>
      </c>
      <c r="G913" s="6" t="s">
        <v>24</v>
      </c>
      <c r="H913" s="6" t="s">
        <v>2128</v>
      </c>
      <c r="I913" s="6" t="s">
        <v>4137</v>
      </c>
      <c r="J913" s="8">
        <v>43994</v>
      </c>
      <c r="K913" s="8">
        <v>45300</v>
      </c>
      <c r="L913" s="6">
        <v>169800.6</v>
      </c>
      <c r="M913" s="6">
        <v>98000.9</v>
      </c>
      <c r="N913" s="6">
        <v>675</v>
      </c>
      <c r="O913" s="6">
        <v>195000</v>
      </c>
      <c r="P913" s="6" t="s">
        <v>76</v>
      </c>
      <c r="Q913" s="6" t="s">
        <v>27</v>
      </c>
      <c r="R913" s="6">
        <v>0</v>
      </c>
      <c r="S913" s="6" t="s">
        <v>28</v>
      </c>
      <c r="T913" s="7">
        <f t="shared" si="70"/>
        <v>0.50256871794871794</v>
      </c>
      <c r="U913" s="6">
        <f t="shared" si="71"/>
        <v>6</v>
      </c>
      <c r="V913" s="5" t="str">
        <f t="shared" si="72"/>
        <v>GOOD</v>
      </c>
      <c r="W913" s="6" t="str">
        <f t="shared" si="73"/>
        <v>55+</v>
      </c>
      <c r="X913" s="6" t="str">
        <f t="shared" si="74"/>
        <v>High</v>
      </c>
    </row>
    <row r="914" spans="1:24">
      <c r="A914" s="6" t="s">
        <v>491</v>
      </c>
      <c r="B914" s="6" t="s">
        <v>2129</v>
      </c>
      <c r="C914" s="6" t="s">
        <v>52</v>
      </c>
      <c r="D914" s="6" t="s">
        <v>493</v>
      </c>
      <c r="E914" s="6" t="s">
        <v>494</v>
      </c>
      <c r="F914" s="6">
        <v>58</v>
      </c>
      <c r="G914" s="6" t="s">
        <v>34</v>
      </c>
      <c r="H914" s="6" t="s">
        <v>2130</v>
      </c>
      <c r="I914" s="6" t="s">
        <v>4138</v>
      </c>
      <c r="J914" s="8">
        <v>44764</v>
      </c>
      <c r="K914" s="8">
        <v>45302</v>
      </c>
      <c r="L914" s="6">
        <v>61800.4</v>
      </c>
      <c r="M914" s="6">
        <v>36500.25</v>
      </c>
      <c r="N914" s="6">
        <v>705</v>
      </c>
      <c r="O914" s="6">
        <v>103000</v>
      </c>
      <c r="P914" s="6" t="s">
        <v>26</v>
      </c>
      <c r="Q914" s="6" t="s">
        <v>27</v>
      </c>
      <c r="R914" s="6">
        <v>0</v>
      </c>
      <c r="S914" s="6" t="s">
        <v>28</v>
      </c>
      <c r="T914" s="7">
        <f t="shared" si="70"/>
        <v>0.35437135922330099</v>
      </c>
      <c r="U914" s="6">
        <f t="shared" si="71"/>
        <v>4</v>
      </c>
      <c r="V914" s="5" t="str">
        <f t="shared" si="72"/>
        <v>GOOD</v>
      </c>
      <c r="W914" s="6" t="str">
        <f t="shared" si="73"/>
        <v>55+</v>
      </c>
      <c r="X914" s="6" t="str">
        <f t="shared" si="74"/>
        <v>Lower-Middle</v>
      </c>
    </row>
    <row r="915" spans="1:24">
      <c r="A915" s="6" t="s">
        <v>496</v>
      </c>
      <c r="B915" s="6" t="s">
        <v>2131</v>
      </c>
      <c r="C915" s="6" t="s">
        <v>46</v>
      </c>
      <c r="D915" s="6" t="s">
        <v>321</v>
      </c>
      <c r="E915" s="6" t="s">
        <v>322</v>
      </c>
      <c r="F915" s="6">
        <v>61</v>
      </c>
      <c r="G915" s="6" t="s">
        <v>24</v>
      </c>
      <c r="H915" s="6" t="s">
        <v>2132</v>
      </c>
      <c r="I915" s="6" t="s">
        <v>4139</v>
      </c>
      <c r="J915" s="8">
        <v>44249</v>
      </c>
      <c r="K915" s="8">
        <v>45301</v>
      </c>
      <c r="L915" s="6">
        <v>108100.75</v>
      </c>
      <c r="M915" s="6">
        <v>57600.800000000003</v>
      </c>
      <c r="N915" s="6">
        <v>730</v>
      </c>
      <c r="O915" s="6">
        <v>169000</v>
      </c>
      <c r="P915" s="6" t="s">
        <v>26</v>
      </c>
      <c r="Q915" s="6" t="s">
        <v>27</v>
      </c>
      <c r="R915" s="6">
        <v>0</v>
      </c>
      <c r="S915" s="6" t="s">
        <v>28</v>
      </c>
      <c r="T915" s="7">
        <f t="shared" si="70"/>
        <v>0.34083313609467458</v>
      </c>
      <c r="U915" s="6">
        <f t="shared" si="71"/>
        <v>5</v>
      </c>
      <c r="V915" s="5" t="str">
        <f t="shared" si="72"/>
        <v>GOOD</v>
      </c>
      <c r="W915" s="6" t="str">
        <f t="shared" si="73"/>
        <v>55+</v>
      </c>
      <c r="X915" s="6" t="str">
        <f t="shared" si="74"/>
        <v>Upper-Middle</v>
      </c>
    </row>
    <row r="916" spans="1:24">
      <c r="A916" s="6" t="s">
        <v>324</v>
      </c>
      <c r="B916" s="6" t="s">
        <v>2133</v>
      </c>
      <c r="C916" s="6" t="s">
        <v>31</v>
      </c>
      <c r="D916" s="6" t="s">
        <v>313</v>
      </c>
      <c r="E916" s="6" t="s">
        <v>501</v>
      </c>
      <c r="F916" s="6">
        <v>46</v>
      </c>
      <c r="G916" s="6" t="s">
        <v>34</v>
      </c>
      <c r="H916" s="6" t="s">
        <v>2134</v>
      </c>
      <c r="I916" s="6" t="s">
        <v>4140</v>
      </c>
      <c r="J916" s="8">
        <v>45458</v>
      </c>
      <c r="K916" s="8">
        <v>45306</v>
      </c>
      <c r="L916" s="6">
        <v>15800.9</v>
      </c>
      <c r="M916" s="6">
        <v>9300.75</v>
      </c>
      <c r="N916" s="6">
        <v>685</v>
      </c>
      <c r="O916" s="6">
        <v>56000</v>
      </c>
      <c r="P916" s="6" t="s">
        <v>26</v>
      </c>
      <c r="Q916" s="6" t="s">
        <v>43</v>
      </c>
      <c r="R916" s="6">
        <v>0</v>
      </c>
      <c r="S916" s="6" t="s">
        <v>28</v>
      </c>
      <c r="T916" s="7">
        <f t="shared" si="70"/>
        <v>0.16608482142857142</v>
      </c>
      <c r="U916" s="6">
        <f t="shared" si="71"/>
        <v>0</v>
      </c>
      <c r="V916" s="5" t="str">
        <f t="shared" si="72"/>
        <v>GOOD</v>
      </c>
      <c r="W916" s="6" t="str">
        <f t="shared" si="73"/>
        <v>45-54</v>
      </c>
      <c r="X916" s="6" t="str">
        <f t="shared" si="74"/>
        <v>Low</v>
      </c>
    </row>
    <row r="917" spans="1:24">
      <c r="A917" s="6" t="s">
        <v>503</v>
      </c>
      <c r="B917" s="6" t="s">
        <v>2135</v>
      </c>
      <c r="C917" s="6" t="s">
        <v>21</v>
      </c>
      <c r="D917" s="6" t="s">
        <v>32</v>
      </c>
      <c r="E917" s="6" t="s">
        <v>33</v>
      </c>
      <c r="F917" s="6">
        <v>78</v>
      </c>
      <c r="G917" s="6" t="s">
        <v>24</v>
      </c>
      <c r="H917" s="6" t="s">
        <v>2136</v>
      </c>
      <c r="I917" s="6" t="s">
        <v>3555</v>
      </c>
      <c r="J917" s="8">
        <v>43242</v>
      </c>
      <c r="K917" s="8">
        <v>45299</v>
      </c>
      <c r="L917" s="6">
        <v>300500.25</v>
      </c>
      <c r="M917" s="6">
        <v>102000.4</v>
      </c>
      <c r="N917" s="6">
        <v>840</v>
      </c>
      <c r="O917" s="6">
        <v>310000</v>
      </c>
      <c r="P917" s="6" t="s">
        <v>36</v>
      </c>
      <c r="Q917" s="6" t="s">
        <v>27</v>
      </c>
      <c r="R917" s="6">
        <v>0</v>
      </c>
      <c r="S917" s="6" t="s">
        <v>28</v>
      </c>
      <c r="T917" s="7">
        <f t="shared" si="70"/>
        <v>0.32903354838709675</v>
      </c>
      <c r="U917" s="6">
        <f t="shared" si="71"/>
        <v>7</v>
      </c>
      <c r="V917" s="5" t="str">
        <f t="shared" si="72"/>
        <v>EXCEPTIONAL</v>
      </c>
      <c r="W917" s="6" t="str">
        <f t="shared" si="73"/>
        <v>55+</v>
      </c>
      <c r="X917" s="6" t="str">
        <f t="shared" si="74"/>
        <v>High</v>
      </c>
    </row>
    <row r="918" spans="1:24">
      <c r="A918" s="6" t="s">
        <v>506</v>
      </c>
      <c r="B918" s="6" t="s">
        <v>2137</v>
      </c>
      <c r="C918" s="6" t="s">
        <v>39</v>
      </c>
      <c r="D918" s="6" t="s">
        <v>68</v>
      </c>
      <c r="E918" s="6" t="s">
        <v>69</v>
      </c>
      <c r="F918" s="6">
        <v>70</v>
      </c>
      <c r="G918" s="6" t="s">
        <v>34</v>
      </c>
      <c r="H918" s="6" t="s">
        <v>2138</v>
      </c>
      <c r="I918" s="6" t="s">
        <v>4115</v>
      </c>
      <c r="J918" s="8">
        <v>43760</v>
      </c>
      <c r="K918" s="8">
        <v>45300</v>
      </c>
      <c r="L918" s="6">
        <v>180900.4</v>
      </c>
      <c r="M918" s="6">
        <v>102000.75</v>
      </c>
      <c r="N918" s="6">
        <v>650</v>
      </c>
      <c r="O918" s="6">
        <v>205000</v>
      </c>
      <c r="P918" s="6" t="s">
        <v>76</v>
      </c>
      <c r="Q918" s="6" t="s">
        <v>27</v>
      </c>
      <c r="R918" s="6">
        <v>0</v>
      </c>
      <c r="S918" s="6" t="s">
        <v>28</v>
      </c>
      <c r="T918" s="7">
        <f t="shared" si="70"/>
        <v>0.49756463414634144</v>
      </c>
      <c r="U918" s="6">
        <f t="shared" si="71"/>
        <v>6</v>
      </c>
      <c r="V918" s="5" t="str">
        <f t="shared" si="72"/>
        <v>FAIR</v>
      </c>
      <c r="W918" s="6" t="str">
        <f t="shared" si="73"/>
        <v>55+</v>
      </c>
      <c r="X918" s="6" t="str">
        <f t="shared" si="74"/>
        <v>High</v>
      </c>
    </row>
    <row r="919" spans="1:24">
      <c r="A919" s="6" t="s">
        <v>509</v>
      </c>
      <c r="B919" s="6" t="s">
        <v>2139</v>
      </c>
      <c r="C919" s="6" t="s">
        <v>46</v>
      </c>
      <c r="D919" s="6" t="s">
        <v>73</v>
      </c>
      <c r="E919" s="6" t="s">
        <v>158</v>
      </c>
      <c r="F919" s="6">
        <v>57</v>
      </c>
      <c r="G919" s="6" t="s">
        <v>24</v>
      </c>
      <c r="H919" s="6" t="s">
        <v>2140</v>
      </c>
      <c r="I919" s="6" t="s">
        <v>4141</v>
      </c>
      <c r="J919" s="8">
        <v>44979</v>
      </c>
      <c r="K919" s="8">
        <v>45303</v>
      </c>
      <c r="L919" s="6">
        <v>96500.4</v>
      </c>
      <c r="M919" s="6">
        <v>51800.25</v>
      </c>
      <c r="N919" s="6">
        <v>745</v>
      </c>
      <c r="O919" s="6">
        <v>149000</v>
      </c>
      <c r="P919" s="6" t="s">
        <v>26</v>
      </c>
      <c r="Q919" s="6" t="s">
        <v>27</v>
      </c>
      <c r="R919" s="6">
        <v>0</v>
      </c>
      <c r="S919" s="6" t="s">
        <v>28</v>
      </c>
      <c r="T919" s="7">
        <f t="shared" si="70"/>
        <v>0.34765268456375836</v>
      </c>
      <c r="U919" s="6">
        <f t="shared" si="71"/>
        <v>3</v>
      </c>
      <c r="V919" s="5" t="str">
        <f t="shared" si="72"/>
        <v>GOOD</v>
      </c>
      <c r="W919" s="6" t="str">
        <f t="shared" si="73"/>
        <v>55+</v>
      </c>
      <c r="X919" s="6" t="str">
        <f t="shared" si="74"/>
        <v>Upper-Middle</v>
      </c>
    </row>
    <row r="920" spans="1:24">
      <c r="A920" s="6" t="s">
        <v>513</v>
      </c>
      <c r="B920" s="6" t="s">
        <v>2141</v>
      </c>
      <c r="C920" s="6" t="s">
        <v>57</v>
      </c>
      <c r="D920" s="6" t="s">
        <v>58</v>
      </c>
      <c r="E920" s="6" t="s">
        <v>122</v>
      </c>
      <c r="F920" s="6">
        <v>52</v>
      </c>
      <c r="G920" s="6" t="s">
        <v>34</v>
      </c>
      <c r="H920" s="6" t="s">
        <v>2142</v>
      </c>
      <c r="I920" s="6" t="s">
        <v>3663</v>
      </c>
      <c r="J920" s="8">
        <v>45160</v>
      </c>
      <c r="K920" s="8">
        <v>45302</v>
      </c>
      <c r="L920" s="6">
        <v>36500.800000000003</v>
      </c>
      <c r="M920" s="6">
        <v>14400.9</v>
      </c>
      <c r="N920" s="6">
        <v>765</v>
      </c>
      <c r="O920" s="6">
        <v>81000</v>
      </c>
      <c r="P920" s="6" t="s">
        <v>36</v>
      </c>
      <c r="Q920" s="6" t="s">
        <v>27</v>
      </c>
      <c r="R920" s="6">
        <v>0</v>
      </c>
      <c r="S920" s="6" t="s">
        <v>28</v>
      </c>
      <c r="T920" s="7">
        <f t="shared" si="70"/>
        <v>0.17778888888888889</v>
      </c>
      <c r="U920" s="6">
        <f t="shared" si="71"/>
        <v>4</v>
      </c>
      <c r="V920" s="5" t="str">
        <f t="shared" si="72"/>
        <v>VERY GOOD</v>
      </c>
      <c r="W920" s="6" t="str">
        <f t="shared" si="73"/>
        <v>45-54</v>
      </c>
      <c r="X920" s="6" t="str">
        <f t="shared" si="74"/>
        <v>Lower-Middle</v>
      </c>
    </row>
    <row r="921" spans="1:24">
      <c r="A921" s="6" t="s">
        <v>516</v>
      </c>
      <c r="B921" s="6" t="s">
        <v>2143</v>
      </c>
      <c r="C921" s="6" t="s">
        <v>52</v>
      </c>
      <c r="D921" s="6" t="s">
        <v>277</v>
      </c>
      <c r="E921" s="6" t="s">
        <v>404</v>
      </c>
      <c r="F921" s="6">
        <v>65</v>
      </c>
      <c r="G921" s="6" t="s">
        <v>24</v>
      </c>
      <c r="H921" s="6" t="s">
        <v>2144</v>
      </c>
      <c r="I921" s="6" t="s">
        <v>3977</v>
      </c>
      <c r="J921" s="8">
        <v>44430</v>
      </c>
      <c r="K921" s="8">
        <v>45301</v>
      </c>
      <c r="L921" s="6">
        <v>69800.75</v>
      </c>
      <c r="M921" s="6">
        <v>42900.4</v>
      </c>
      <c r="N921" s="6">
        <v>675</v>
      </c>
      <c r="O921" s="6">
        <v>121000</v>
      </c>
      <c r="P921" s="6" t="s">
        <v>26</v>
      </c>
      <c r="Q921" s="6" t="s">
        <v>27</v>
      </c>
      <c r="R921" s="6">
        <v>0</v>
      </c>
      <c r="S921" s="6" t="s">
        <v>28</v>
      </c>
      <c r="T921" s="7">
        <f t="shared" si="70"/>
        <v>0.35454876033057853</v>
      </c>
      <c r="U921" s="6">
        <f t="shared" si="71"/>
        <v>5</v>
      </c>
      <c r="V921" s="5" t="str">
        <f t="shared" si="72"/>
        <v>GOOD</v>
      </c>
      <c r="W921" s="6" t="str">
        <f t="shared" si="73"/>
        <v>55+</v>
      </c>
      <c r="X921" s="6" t="str">
        <f t="shared" si="74"/>
        <v>Lower-Middle</v>
      </c>
    </row>
    <row r="922" spans="1:24">
      <c r="A922" s="6" t="s">
        <v>519</v>
      </c>
      <c r="B922" s="6" t="s">
        <v>2145</v>
      </c>
      <c r="C922" s="6" t="s">
        <v>84</v>
      </c>
      <c r="D922" s="6" t="s">
        <v>183</v>
      </c>
      <c r="E922" s="6" t="s">
        <v>184</v>
      </c>
      <c r="F922" s="6">
        <v>44</v>
      </c>
      <c r="G922" s="6" t="s">
        <v>34</v>
      </c>
      <c r="H922" s="6" t="s">
        <v>2146</v>
      </c>
      <c r="I922" s="6" t="s">
        <v>3665</v>
      </c>
      <c r="J922" s="8">
        <v>45471</v>
      </c>
      <c r="K922" s="8">
        <v>45304</v>
      </c>
      <c r="L922" s="6">
        <v>4200.25</v>
      </c>
      <c r="M922" s="6">
        <v>14400.6</v>
      </c>
      <c r="N922" s="6">
        <v>615</v>
      </c>
      <c r="O922" s="6">
        <v>41000</v>
      </c>
      <c r="P922" s="6" t="s">
        <v>76</v>
      </c>
      <c r="Q922" s="6" t="s">
        <v>43</v>
      </c>
      <c r="R922" s="6">
        <v>0</v>
      </c>
      <c r="S922" s="6" t="s">
        <v>28</v>
      </c>
      <c r="T922" s="7">
        <f t="shared" si="70"/>
        <v>0.35123414634146344</v>
      </c>
      <c r="U922" s="6">
        <f t="shared" si="71"/>
        <v>2</v>
      </c>
      <c r="V922" s="5" t="str">
        <f t="shared" si="72"/>
        <v>FAIR</v>
      </c>
      <c r="W922" s="6" t="str">
        <f t="shared" si="73"/>
        <v>35-44</v>
      </c>
      <c r="X922" s="6" t="str">
        <f t="shared" si="74"/>
        <v>Low</v>
      </c>
    </row>
    <row r="923" spans="1:24">
      <c r="A923" s="6" t="s">
        <v>522</v>
      </c>
      <c r="B923" s="6" t="s">
        <v>2147</v>
      </c>
      <c r="C923" s="6" t="s">
        <v>39</v>
      </c>
      <c r="D923" s="6" t="s">
        <v>40</v>
      </c>
      <c r="E923" s="6" t="s">
        <v>94</v>
      </c>
      <c r="F923" s="6">
        <v>72</v>
      </c>
      <c r="G923" s="6" t="s">
        <v>24</v>
      </c>
      <c r="H923" s="6" t="s">
        <v>2148</v>
      </c>
      <c r="I923" s="6" t="s">
        <v>3510</v>
      </c>
      <c r="J923" s="8">
        <v>43730</v>
      </c>
      <c r="K923" s="8">
        <v>45299</v>
      </c>
      <c r="L923" s="6">
        <v>215500.79999999999</v>
      </c>
      <c r="M923" s="6">
        <v>115000.25</v>
      </c>
      <c r="N923" s="6">
        <v>660</v>
      </c>
      <c r="O923" s="6">
        <v>240000</v>
      </c>
      <c r="P923" s="6" t="s">
        <v>76</v>
      </c>
      <c r="Q923" s="6" t="s">
        <v>27</v>
      </c>
      <c r="R923" s="6">
        <v>0</v>
      </c>
      <c r="S923" s="6" t="s">
        <v>28</v>
      </c>
      <c r="T923" s="7">
        <f t="shared" si="70"/>
        <v>0.47916770833333333</v>
      </c>
      <c r="U923" s="6">
        <f t="shared" si="71"/>
        <v>7</v>
      </c>
      <c r="V923" s="5" t="str">
        <f t="shared" si="72"/>
        <v>FAIR</v>
      </c>
      <c r="W923" s="6" t="str">
        <f t="shared" si="73"/>
        <v>55+</v>
      </c>
      <c r="X923" s="6" t="str">
        <f t="shared" si="74"/>
        <v>High</v>
      </c>
    </row>
    <row r="924" spans="1:24">
      <c r="A924" s="6" t="s">
        <v>306</v>
      </c>
      <c r="B924" s="6" t="s">
        <v>2149</v>
      </c>
      <c r="C924" s="6" t="s">
        <v>46</v>
      </c>
      <c r="D924" s="6" t="s">
        <v>209</v>
      </c>
      <c r="E924" s="6" t="s">
        <v>703</v>
      </c>
      <c r="F924" s="6">
        <v>59</v>
      </c>
      <c r="G924" s="6" t="s">
        <v>34</v>
      </c>
      <c r="H924" s="6" t="s">
        <v>2150</v>
      </c>
      <c r="I924" s="6" t="s">
        <v>4142</v>
      </c>
      <c r="J924" s="8">
        <v>44583</v>
      </c>
      <c r="K924" s="8">
        <v>45302</v>
      </c>
      <c r="L924" s="6">
        <v>90900.9</v>
      </c>
      <c r="M924" s="6">
        <v>48700.75</v>
      </c>
      <c r="N924" s="6">
        <v>730</v>
      </c>
      <c r="O924" s="6">
        <v>144000</v>
      </c>
      <c r="P924" s="6" t="s">
        <v>26</v>
      </c>
      <c r="Q924" s="6" t="s">
        <v>27</v>
      </c>
      <c r="R924" s="6">
        <v>0</v>
      </c>
      <c r="S924" s="6" t="s">
        <v>28</v>
      </c>
      <c r="T924" s="7">
        <f t="shared" si="70"/>
        <v>0.3381996527777778</v>
      </c>
      <c r="U924" s="6">
        <f t="shared" si="71"/>
        <v>4</v>
      </c>
      <c r="V924" s="5" t="str">
        <f t="shared" si="72"/>
        <v>GOOD</v>
      </c>
      <c r="W924" s="6" t="str">
        <f t="shared" si="73"/>
        <v>55+</v>
      </c>
      <c r="X924" s="6" t="str">
        <f t="shared" si="74"/>
        <v>Upper-Middle</v>
      </c>
    </row>
    <row r="925" spans="1:24">
      <c r="A925" s="6" t="s">
        <v>527</v>
      </c>
      <c r="B925" s="6" t="s">
        <v>2151</v>
      </c>
      <c r="C925" s="6" t="s">
        <v>31</v>
      </c>
      <c r="D925" s="6" t="s">
        <v>32</v>
      </c>
      <c r="E925" s="6" t="s">
        <v>90</v>
      </c>
      <c r="F925" s="6">
        <v>48</v>
      </c>
      <c r="G925" s="6" t="s">
        <v>34</v>
      </c>
      <c r="H925" s="6" t="s">
        <v>2152</v>
      </c>
      <c r="I925" s="6" t="s">
        <v>3667</v>
      </c>
      <c r="J925" s="8">
        <v>45465</v>
      </c>
      <c r="K925" s="8">
        <v>45305</v>
      </c>
      <c r="L925" s="6">
        <v>16900.400000000001</v>
      </c>
      <c r="M925" s="6">
        <v>9400.25</v>
      </c>
      <c r="N925" s="6">
        <v>705</v>
      </c>
      <c r="O925" s="6">
        <v>58000</v>
      </c>
      <c r="P925" s="6" t="s">
        <v>26</v>
      </c>
      <c r="Q925" s="6" t="s">
        <v>43</v>
      </c>
      <c r="R925" s="6">
        <v>0</v>
      </c>
      <c r="S925" s="6" t="s">
        <v>28</v>
      </c>
      <c r="T925" s="7">
        <f t="shared" si="70"/>
        <v>0.16207327586206896</v>
      </c>
      <c r="U925" s="6">
        <f t="shared" si="71"/>
        <v>1</v>
      </c>
      <c r="V925" s="5" t="str">
        <f t="shared" si="72"/>
        <v>GOOD</v>
      </c>
      <c r="W925" s="6" t="str">
        <f t="shared" si="73"/>
        <v>45-54</v>
      </c>
      <c r="X925" s="6" t="str">
        <f t="shared" si="74"/>
        <v>Low</v>
      </c>
    </row>
    <row r="926" spans="1:24">
      <c r="A926" s="6" t="s">
        <v>530</v>
      </c>
      <c r="B926" s="6" t="s">
        <v>2153</v>
      </c>
      <c r="C926" s="6" t="s">
        <v>57</v>
      </c>
      <c r="D926" s="6" t="s">
        <v>219</v>
      </c>
      <c r="E926" s="6" t="s">
        <v>220</v>
      </c>
      <c r="F926" s="6">
        <v>53</v>
      </c>
      <c r="G926" s="6" t="s">
        <v>24</v>
      </c>
      <c r="H926" s="6" t="s">
        <v>2154</v>
      </c>
      <c r="I926" s="6" t="s">
        <v>4143</v>
      </c>
      <c r="J926" s="8">
        <v>45129</v>
      </c>
      <c r="K926" s="8">
        <v>45303</v>
      </c>
      <c r="L926" s="6">
        <v>35400.6</v>
      </c>
      <c r="M926" s="6">
        <v>13800.8</v>
      </c>
      <c r="N926" s="6">
        <v>710</v>
      </c>
      <c r="O926" s="6">
        <v>74000</v>
      </c>
      <c r="P926" s="6" t="s">
        <v>36</v>
      </c>
      <c r="Q926" s="6" t="s">
        <v>27</v>
      </c>
      <c r="R926" s="6">
        <v>0</v>
      </c>
      <c r="S926" s="6" t="s">
        <v>28</v>
      </c>
      <c r="T926" s="7">
        <f t="shared" si="70"/>
        <v>0.18649729729729728</v>
      </c>
      <c r="U926" s="6">
        <f t="shared" si="71"/>
        <v>3</v>
      </c>
      <c r="V926" s="5" t="str">
        <f t="shared" si="72"/>
        <v>GOOD</v>
      </c>
      <c r="W926" s="6" t="str">
        <f t="shared" si="73"/>
        <v>45-54</v>
      </c>
      <c r="X926" s="6" t="str">
        <f t="shared" si="74"/>
        <v>Low</v>
      </c>
    </row>
    <row r="927" spans="1:24">
      <c r="A927" s="6" t="s">
        <v>533</v>
      </c>
      <c r="B927" s="6" t="s">
        <v>2155</v>
      </c>
      <c r="C927" s="6" t="s">
        <v>52</v>
      </c>
      <c r="D927" s="6" t="s">
        <v>204</v>
      </c>
      <c r="E927" s="6" t="s">
        <v>259</v>
      </c>
      <c r="F927" s="6">
        <v>60</v>
      </c>
      <c r="G927" s="6" t="s">
        <v>34</v>
      </c>
      <c r="H927" s="6" t="s">
        <v>2156</v>
      </c>
      <c r="I927" s="6" t="s">
        <v>3980</v>
      </c>
      <c r="J927" s="8">
        <v>44430</v>
      </c>
      <c r="K927" s="8">
        <v>45301</v>
      </c>
      <c r="L927" s="6">
        <v>66700.25</v>
      </c>
      <c r="M927" s="6">
        <v>39800.9</v>
      </c>
      <c r="N927" s="6">
        <v>695</v>
      </c>
      <c r="O927" s="6">
        <v>109000</v>
      </c>
      <c r="P927" s="6" t="s">
        <v>26</v>
      </c>
      <c r="Q927" s="6" t="s">
        <v>27</v>
      </c>
      <c r="R927" s="6">
        <v>0</v>
      </c>
      <c r="S927" s="6" t="s">
        <v>28</v>
      </c>
      <c r="T927" s="7">
        <f t="shared" si="70"/>
        <v>0.36514587155963302</v>
      </c>
      <c r="U927" s="6">
        <f t="shared" si="71"/>
        <v>5</v>
      </c>
      <c r="V927" s="5" t="str">
        <f t="shared" si="72"/>
        <v>GOOD</v>
      </c>
      <c r="W927" s="6" t="str">
        <f t="shared" si="73"/>
        <v>55+</v>
      </c>
      <c r="X927" s="6" t="str">
        <f t="shared" si="74"/>
        <v>Lower-Middle</v>
      </c>
    </row>
    <row r="928" spans="1:24">
      <c r="A928" s="6" t="s">
        <v>536</v>
      </c>
      <c r="B928" s="6" t="s">
        <v>2157</v>
      </c>
      <c r="C928" s="6" t="s">
        <v>39</v>
      </c>
      <c r="D928" s="6" t="s">
        <v>195</v>
      </c>
      <c r="E928" s="6" t="s">
        <v>196</v>
      </c>
      <c r="F928" s="6">
        <v>68</v>
      </c>
      <c r="G928" s="6" t="s">
        <v>24</v>
      </c>
      <c r="H928" s="6" t="s">
        <v>2158</v>
      </c>
      <c r="I928" s="6" t="s">
        <v>4144</v>
      </c>
      <c r="J928" s="8">
        <v>43883</v>
      </c>
      <c r="K928" s="8">
        <v>45300</v>
      </c>
      <c r="L928" s="6">
        <v>147700.4</v>
      </c>
      <c r="M928" s="6">
        <v>89000.6</v>
      </c>
      <c r="N928" s="6">
        <v>670</v>
      </c>
      <c r="O928" s="6">
        <v>176000</v>
      </c>
      <c r="P928" s="6" t="s">
        <v>76</v>
      </c>
      <c r="Q928" s="6" t="s">
        <v>27</v>
      </c>
      <c r="R928" s="6">
        <v>0</v>
      </c>
      <c r="S928" s="6" t="s">
        <v>28</v>
      </c>
      <c r="T928" s="7">
        <f t="shared" si="70"/>
        <v>0.50568522727272736</v>
      </c>
      <c r="U928" s="6">
        <f t="shared" si="71"/>
        <v>6</v>
      </c>
      <c r="V928" s="5" t="str">
        <f t="shared" si="72"/>
        <v>GOOD</v>
      </c>
      <c r="W928" s="6" t="str">
        <f t="shared" si="73"/>
        <v>55+</v>
      </c>
      <c r="X928" s="6" t="str">
        <f t="shared" si="74"/>
        <v>Upper-Middle</v>
      </c>
    </row>
    <row r="929" spans="1:24">
      <c r="A929" s="6" t="s">
        <v>539</v>
      </c>
      <c r="B929" s="6" t="s">
        <v>2159</v>
      </c>
      <c r="C929" s="6" t="s">
        <v>21</v>
      </c>
      <c r="D929" s="6" t="s">
        <v>58</v>
      </c>
      <c r="E929" s="6" t="s">
        <v>59</v>
      </c>
      <c r="F929" s="6">
        <v>76</v>
      </c>
      <c r="G929" s="6" t="s">
        <v>34</v>
      </c>
      <c r="H929" s="6" t="s">
        <v>2160</v>
      </c>
      <c r="I929" s="6" t="s">
        <v>3671</v>
      </c>
      <c r="J929" s="8">
        <v>43456</v>
      </c>
      <c r="K929" s="8">
        <v>45299</v>
      </c>
      <c r="L929" s="6">
        <v>314600.75</v>
      </c>
      <c r="M929" s="6">
        <v>106000.8</v>
      </c>
      <c r="N929" s="6">
        <v>835</v>
      </c>
      <c r="O929" s="6">
        <v>321000</v>
      </c>
      <c r="P929" s="6" t="s">
        <v>36</v>
      </c>
      <c r="Q929" s="6" t="s">
        <v>27</v>
      </c>
      <c r="R929" s="6">
        <v>0</v>
      </c>
      <c r="S929" s="6" t="s">
        <v>28</v>
      </c>
      <c r="T929" s="7">
        <f t="shared" si="70"/>
        <v>0.33022056074766354</v>
      </c>
      <c r="U929" s="6">
        <f t="shared" si="71"/>
        <v>7</v>
      </c>
      <c r="V929" s="5" t="str">
        <f t="shared" si="72"/>
        <v>EXCEPTIONAL</v>
      </c>
      <c r="W929" s="6" t="str">
        <f t="shared" si="73"/>
        <v>55+</v>
      </c>
      <c r="X929" s="6" t="str">
        <f t="shared" si="74"/>
        <v>High</v>
      </c>
    </row>
    <row r="930" spans="1:24">
      <c r="A930" s="6" t="s">
        <v>542</v>
      </c>
      <c r="B930" s="6" t="s">
        <v>2161</v>
      </c>
      <c r="C930" s="6" t="s">
        <v>52</v>
      </c>
      <c r="D930" s="6" t="s">
        <v>68</v>
      </c>
      <c r="E930" s="6" t="s">
        <v>69</v>
      </c>
      <c r="F930" s="6">
        <v>63</v>
      </c>
      <c r="G930" s="6" t="s">
        <v>34</v>
      </c>
      <c r="H930" s="6" t="s">
        <v>2162</v>
      </c>
      <c r="I930" s="6" t="s">
        <v>4133</v>
      </c>
      <c r="J930" s="8">
        <v>44399</v>
      </c>
      <c r="K930" s="8">
        <v>45302</v>
      </c>
      <c r="L930" s="6">
        <v>75400.600000000006</v>
      </c>
      <c r="M930" s="6">
        <v>45400.25</v>
      </c>
      <c r="N930" s="6">
        <v>665</v>
      </c>
      <c r="O930" s="6">
        <v>129000</v>
      </c>
      <c r="P930" s="6" t="s">
        <v>26</v>
      </c>
      <c r="Q930" s="6" t="s">
        <v>27</v>
      </c>
      <c r="R930" s="6">
        <v>0</v>
      </c>
      <c r="S930" s="6" t="s">
        <v>28</v>
      </c>
      <c r="T930" s="7">
        <f t="shared" si="70"/>
        <v>0.35193992248062017</v>
      </c>
      <c r="U930" s="6">
        <f t="shared" si="71"/>
        <v>4</v>
      </c>
      <c r="V930" s="5" t="str">
        <f t="shared" si="72"/>
        <v>FAIR</v>
      </c>
      <c r="W930" s="6" t="str">
        <f t="shared" si="73"/>
        <v>55+</v>
      </c>
      <c r="X930" s="6" t="str">
        <f t="shared" si="74"/>
        <v>Upper-Middle</v>
      </c>
    </row>
    <row r="931" spans="1:24">
      <c r="A931" s="6" t="s">
        <v>545</v>
      </c>
      <c r="B931" s="6" t="s">
        <v>2163</v>
      </c>
      <c r="C931" s="6" t="s">
        <v>46</v>
      </c>
      <c r="D931" s="6" t="s">
        <v>241</v>
      </c>
      <c r="E931" s="6" t="s">
        <v>389</v>
      </c>
      <c r="F931" s="6">
        <v>55</v>
      </c>
      <c r="G931" s="6" t="s">
        <v>24</v>
      </c>
      <c r="H931" s="6" t="s">
        <v>2164</v>
      </c>
      <c r="I931" s="6" t="s">
        <v>4145</v>
      </c>
      <c r="J931" s="8">
        <v>45038</v>
      </c>
      <c r="K931" s="8">
        <v>45303</v>
      </c>
      <c r="L931" s="6">
        <v>98700.800000000003</v>
      </c>
      <c r="M931" s="6">
        <v>52900.4</v>
      </c>
      <c r="N931" s="6">
        <v>750</v>
      </c>
      <c r="O931" s="6">
        <v>155000</v>
      </c>
      <c r="P931" s="6" t="s">
        <v>26</v>
      </c>
      <c r="Q931" s="6" t="s">
        <v>27</v>
      </c>
      <c r="R931" s="6">
        <v>0</v>
      </c>
      <c r="S931" s="6" t="s">
        <v>28</v>
      </c>
      <c r="T931" s="7">
        <f t="shared" si="70"/>
        <v>0.34129290322580647</v>
      </c>
      <c r="U931" s="6">
        <f t="shared" si="71"/>
        <v>3</v>
      </c>
      <c r="V931" s="5" t="str">
        <f t="shared" si="72"/>
        <v>VERY GOOD</v>
      </c>
      <c r="W931" s="6" t="str">
        <f t="shared" si="73"/>
        <v>55+</v>
      </c>
      <c r="X931" s="6" t="str">
        <f t="shared" si="74"/>
        <v>Upper-Middle</v>
      </c>
    </row>
    <row r="932" spans="1:24">
      <c r="A932" s="6" t="s">
        <v>548</v>
      </c>
      <c r="B932" s="6" t="s">
        <v>2165</v>
      </c>
      <c r="C932" s="6" t="s">
        <v>57</v>
      </c>
      <c r="D932" s="6" t="s">
        <v>22</v>
      </c>
      <c r="E932" s="6" t="s">
        <v>118</v>
      </c>
      <c r="F932" s="6">
        <v>51</v>
      </c>
      <c r="G932" s="6" t="s">
        <v>34</v>
      </c>
      <c r="H932" s="6" t="s">
        <v>2166</v>
      </c>
      <c r="I932" s="6" t="s">
        <v>3831</v>
      </c>
      <c r="J932" s="8">
        <v>45221</v>
      </c>
      <c r="K932" s="8">
        <v>45305</v>
      </c>
      <c r="L932" s="6">
        <v>37600.9</v>
      </c>
      <c r="M932" s="6">
        <v>14800.75</v>
      </c>
      <c r="N932" s="6">
        <v>770</v>
      </c>
      <c r="O932" s="6">
        <v>86000</v>
      </c>
      <c r="P932" s="6" t="s">
        <v>36</v>
      </c>
      <c r="Q932" s="6" t="s">
        <v>27</v>
      </c>
      <c r="R932" s="6">
        <v>0</v>
      </c>
      <c r="S932" s="6" t="s">
        <v>28</v>
      </c>
      <c r="T932" s="7">
        <f t="shared" si="70"/>
        <v>0.17210174418604651</v>
      </c>
      <c r="U932" s="6">
        <f t="shared" si="71"/>
        <v>1</v>
      </c>
      <c r="V932" s="5" t="str">
        <f t="shared" si="72"/>
        <v>VERY GOOD</v>
      </c>
      <c r="W932" s="6" t="str">
        <f t="shared" si="73"/>
        <v>45-54</v>
      </c>
      <c r="X932" s="6" t="str">
        <f t="shared" si="74"/>
        <v>Lower-Middle</v>
      </c>
    </row>
    <row r="933" spans="1:24">
      <c r="A933" s="6" t="s">
        <v>551</v>
      </c>
      <c r="B933" s="6" t="s">
        <v>2167</v>
      </c>
      <c r="C933" s="6" t="s">
        <v>39</v>
      </c>
      <c r="D933" s="6" t="s">
        <v>313</v>
      </c>
      <c r="E933" s="6" t="s">
        <v>314</v>
      </c>
      <c r="F933" s="6">
        <v>74</v>
      </c>
      <c r="G933" s="6" t="s">
        <v>24</v>
      </c>
      <c r="H933" s="6" t="s">
        <v>2168</v>
      </c>
      <c r="I933" s="6" t="s">
        <v>4146</v>
      </c>
      <c r="J933" s="8">
        <v>43638</v>
      </c>
      <c r="K933" s="8">
        <v>45299</v>
      </c>
      <c r="L933" s="6">
        <v>200800.25</v>
      </c>
      <c r="M933" s="6">
        <v>110000.8</v>
      </c>
      <c r="N933" s="6">
        <v>645</v>
      </c>
      <c r="O933" s="6">
        <v>226000</v>
      </c>
      <c r="P933" s="6" t="s">
        <v>76</v>
      </c>
      <c r="Q933" s="6" t="s">
        <v>27</v>
      </c>
      <c r="R933" s="6">
        <v>0</v>
      </c>
      <c r="S933" s="6" t="s">
        <v>28</v>
      </c>
      <c r="T933" s="7">
        <f t="shared" si="70"/>
        <v>0.48672920353982302</v>
      </c>
      <c r="U933" s="6">
        <f t="shared" si="71"/>
        <v>7</v>
      </c>
      <c r="V933" s="5" t="str">
        <f t="shared" si="72"/>
        <v>FAIR</v>
      </c>
      <c r="W933" s="6" t="str">
        <f t="shared" si="73"/>
        <v>55+</v>
      </c>
      <c r="X933" s="6" t="str">
        <f t="shared" si="74"/>
        <v>High</v>
      </c>
    </row>
    <row r="934" spans="1:24">
      <c r="A934" s="6" t="s">
        <v>554</v>
      </c>
      <c r="B934" s="6" t="s">
        <v>2169</v>
      </c>
      <c r="C934" s="6" t="s">
        <v>31</v>
      </c>
      <c r="D934" s="6" t="s">
        <v>214</v>
      </c>
      <c r="E934" s="6" t="s">
        <v>724</v>
      </c>
      <c r="F934" s="6">
        <v>47</v>
      </c>
      <c r="G934" s="6" t="s">
        <v>34</v>
      </c>
      <c r="H934" s="6" t="s">
        <v>2170</v>
      </c>
      <c r="I934" s="6" t="s">
        <v>4147</v>
      </c>
      <c r="J934" s="8">
        <v>45471</v>
      </c>
      <c r="K934" s="8">
        <v>45306</v>
      </c>
      <c r="L934" s="6">
        <v>31200.5</v>
      </c>
      <c r="M934" s="6">
        <v>14400.4</v>
      </c>
      <c r="N934" s="6">
        <v>720</v>
      </c>
      <c r="O934" s="6">
        <v>63000</v>
      </c>
      <c r="P934" s="6" t="s">
        <v>36</v>
      </c>
      <c r="Q934" s="6" t="s">
        <v>27</v>
      </c>
      <c r="R934" s="6">
        <v>0</v>
      </c>
      <c r="S934" s="6" t="s">
        <v>28</v>
      </c>
      <c r="T934" s="7">
        <f t="shared" si="70"/>
        <v>0.22857777777777777</v>
      </c>
      <c r="U934" s="6">
        <f t="shared" si="71"/>
        <v>0</v>
      </c>
      <c r="V934" s="5" t="str">
        <f t="shared" si="72"/>
        <v>GOOD</v>
      </c>
      <c r="W934" s="6" t="str">
        <f t="shared" si="73"/>
        <v>45-54</v>
      </c>
      <c r="X934" s="6" t="str">
        <f t="shared" si="74"/>
        <v>Low</v>
      </c>
    </row>
    <row r="935" spans="1:24">
      <c r="A935" s="6" t="s">
        <v>108</v>
      </c>
      <c r="B935" s="6" t="s">
        <v>2171</v>
      </c>
      <c r="C935" s="6" t="s">
        <v>84</v>
      </c>
      <c r="D935" s="6" t="s">
        <v>32</v>
      </c>
      <c r="E935" s="6" t="s">
        <v>33</v>
      </c>
      <c r="F935" s="6">
        <v>43</v>
      </c>
      <c r="G935" s="6" t="s">
        <v>24</v>
      </c>
      <c r="H935" s="6" t="s">
        <v>2172</v>
      </c>
      <c r="I935" s="6" t="s">
        <v>3544</v>
      </c>
      <c r="J935" s="8">
        <v>45471</v>
      </c>
      <c r="K935" s="8">
        <v>45304</v>
      </c>
      <c r="L935" s="6">
        <v>3950.8</v>
      </c>
      <c r="M935" s="6">
        <v>12800.25</v>
      </c>
      <c r="N935" s="6">
        <v>605</v>
      </c>
      <c r="O935" s="6">
        <v>39000</v>
      </c>
      <c r="P935" s="6" t="s">
        <v>76</v>
      </c>
      <c r="Q935" s="6" t="s">
        <v>43</v>
      </c>
      <c r="R935" s="6">
        <v>0</v>
      </c>
      <c r="S935" s="6" t="s">
        <v>28</v>
      </c>
      <c r="T935" s="7">
        <f t="shared" si="70"/>
        <v>0.32821153846153844</v>
      </c>
      <c r="U935" s="6">
        <f t="shared" si="71"/>
        <v>2</v>
      </c>
      <c r="V935" s="5" t="str">
        <f t="shared" si="72"/>
        <v>FAIR</v>
      </c>
      <c r="W935" s="6" t="str">
        <f t="shared" si="73"/>
        <v>35-44</v>
      </c>
      <c r="X935" s="6" t="str">
        <f t="shared" si="74"/>
        <v>Low</v>
      </c>
    </row>
    <row r="936" spans="1:24">
      <c r="A936" s="6" t="s">
        <v>559</v>
      </c>
      <c r="B936" s="6" t="s">
        <v>2173</v>
      </c>
      <c r="C936" s="6" t="s">
        <v>46</v>
      </c>
      <c r="D936" s="6" t="s">
        <v>254</v>
      </c>
      <c r="E936" s="6" t="s">
        <v>255</v>
      </c>
      <c r="F936" s="6">
        <v>57</v>
      </c>
      <c r="G936" s="6" t="s">
        <v>34</v>
      </c>
      <c r="H936" s="6" t="s">
        <v>2174</v>
      </c>
      <c r="I936" s="6" t="s">
        <v>4148</v>
      </c>
      <c r="J936" s="8">
        <v>44917</v>
      </c>
      <c r="K936" s="8">
        <v>45302</v>
      </c>
      <c r="L936" s="6">
        <v>85400.4</v>
      </c>
      <c r="M936" s="6">
        <v>47600.75</v>
      </c>
      <c r="N936" s="6">
        <v>710</v>
      </c>
      <c r="O936" s="6">
        <v>137000</v>
      </c>
      <c r="P936" s="6" t="s">
        <v>26</v>
      </c>
      <c r="Q936" s="6" t="s">
        <v>27</v>
      </c>
      <c r="R936" s="6">
        <v>0</v>
      </c>
      <c r="S936" s="6" t="s">
        <v>28</v>
      </c>
      <c r="T936" s="7">
        <f t="shared" si="70"/>
        <v>0.34745072992700732</v>
      </c>
      <c r="U936" s="6">
        <f t="shared" si="71"/>
        <v>4</v>
      </c>
      <c r="V936" s="5" t="str">
        <f t="shared" si="72"/>
        <v>GOOD</v>
      </c>
      <c r="W936" s="6" t="str">
        <f t="shared" si="73"/>
        <v>55+</v>
      </c>
      <c r="X936" s="6" t="str">
        <f t="shared" si="74"/>
        <v>Upper-Middle</v>
      </c>
    </row>
    <row r="937" spans="1:24">
      <c r="A937" s="6" t="s">
        <v>562</v>
      </c>
      <c r="B937" s="6" t="s">
        <v>2175</v>
      </c>
      <c r="C937" s="6" t="s">
        <v>39</v>
      </c>
      <c r="D937" s="6" t="s">
        <v>47</v>
      </c>
      <c r="E937" s="6" t="s">
        <v>48</v>
      </c>
      <c r="F937" s="6">
        <v>71</v>
      </c>
      <c r="G937" s="6" t="s">
        <v>24</v>
      </c>
      <c r="H937" s="6" t="s">
        <v>2176</v>
      </c>
      <c r="I937" s="6" t="s">
        <v>3965</v>
      </c>
      <c r="J937" s="8">
        <v>43791</v>
      </c>
      <c r="K937" s="8">
        <v>45300</v>
      </c>
      <c r="L937" s="6">
        <v>181000.6</v>
      </c>
      <c r="M937" s="6">
        <v>103000.25</v>
      </c>
      <c r="N937" s="6">
        <v>675</v>
      </c>
      <c r="O937" s="6">
        <v>206000</v>
      </c>
      <c r="P937" s="6" t="s">
        <v>76</v>
      </c>
      <c r="Q937" s="6" t="s">
        <v>27</v>
      </c>
      <c r="R937" s="6">
        <v>0</v>
      </c>
      <c r="S937" s="6" t="s">
        <v>28</v>
      </c>
      <c r="T937" s="7">
        <f t="shared" si="70"/>
        <v>0.50000121359223304</v>
      </c>
      <c r="U937" s="6">
        <f t="shared" si="71"/>
        <v>6</v>
      </c>
      <c r="V937" s="5" t="str">
        <f t="shared" si="72"/>
        <v>GOOD</v>
      </c>
      <c r="W937" s="6" t="str">
        <f t="shared" si="73"/>
        <v>55+</v>
      </c>
      <c r="X937" s="6" t="str">
        <f t="shared" si="74"/>
        <v>High</v>
      </c>
    </row>
    <row r="938" spans="1:24">
      <c r="A938" s="6" t="s">
        <v>565</v>
      </c>
      <c r="B938" s="6" t="s">
        <v>2177</v>
      </c>
      <c r="C938" s="6" t="s">
        <v>52</v>
      </c>
      <c r="D938" s="6" t="s">
        <v>233</v>
      </c>
      <c r="E938" s="6" t="s">
        <v>234</v>
      </c>
      <c r="F938" s="6">
        <v>56</v>
      </c>
      <c r="G938" s="6" t="s">
        <v>34</v>
      </c>
      <c r="H938" s="6" t="s">
        <v>2178</v>
      </c>
      <c r="I938" s="6" t="s">
        <v>3678</v>
      </c>
      <c r="J938" s="8">
        <v>44703</v>
      </c>
      <c r="K938" s="8">
        <v>45301</v>
      </c>
      <c r="L938" s="6">
        <v>61800.75</v>
      </c>
      <c r="M938" s="6">
        <v>38700.800000000003</v>
      </c>
      <c r="N938" s="6">
        <v>725</v>
      </c>
      <c r="O938" s="6">
        <v>103000</v>
      </c>
      <c r="P938" s="6" t="s">
        <v>26</v>
      </c>
      <c r="Q938" s="6" t="s">
        <v>27</v>
      </c>
      <c r="R938" s="6">
        <v>0</v>
      </c>
      <c r="S938" s="6" t="s">
        <v>28</v>
      </c>
      <c r="T938" s="7">
        <f t="shared" si="70"/>
        <v>0.37573592233009712</v>
      </c>
      <c r="U938" s="6">
        <f t="shared" si="71"/>
        <v>5</v>
      </c>
      <c r="V938" s="5" t="str">
        <f t="shared" si="72"/>
        <v>GOOD</v>
      </c>
      <c r="W938" s="6" t="str">
        <f t="shared" si="73"/>
        <v>55+</v>
      </c>
      <c r="X938" s="6" t="str">
        <f t="shared" si="74"/>
        <v>Lower-Middle</v>
      </c>
    </row>
    <row r="939" spans="1:24">
      <c r="A939" s="6" t="s">
        <v>568</v>
      </c>
      <c r="B939" s="6" t="s">
        <v>2179</v>
      </c>
      <c r="C939" s="6" t="s">
        <v>57</v>
      </c>
      <c r="D939" s="6" t="s">
        <v>79</v>
      </c>
      <c r="E939" s="6" t="s">
        <v>80</v>
      </c>
      <c r="F939" s="6">
        <v>54</v>
      </c>
      <c r="G939" s="6" t="s">
        <v>24</v>
      </c>
      <c r="H939" s="6" t="s">
        <v>2180</v>
      </c>
      <c r="I939" s="6" t="s">
        <v>3679</v>
      </c>
      <c r="J939" s="8">
        <v>45160</v>
      </c>
      <c r="K939" s="8">
        <v>45303</v>
      </c>
      <c r="L939" s="6">
        <v>39800.400000000001</v>
      </c>
      <c r="M939" s="6">
        <v>15600.9</v>
      </c>
      <c r="N939" s="6">
        <v>740</v>
      </c>
      <c r="O939" s="6">
        <v>89000</v>
      </c>
      <c r="P939" s="6" t="s">
        <v>36</v>
      </c>
      <c r="Q939" s="6" t="s">
        <v>27</v>
      </c>
      <c r="R939" s="6">
        <v>0</v>
      </c>
      <c r="S939" s="6" t="s">
        <v>28</v>
      </c>
      <c r="T939" s="7">
        <f t="shared" si="70"/>
        <v>0.17529101123595506</v>
      </c>
      <c r="U939" s="6">
        <f t="shared" si="71"/>
        <v>3</v>
      </c>
      <c r="V939" s="5" t="str">
        <f t="shared" si="72"/>
        <v>GOOD</v>
      </c>
      <c r="W939" s="6" t="str">
        <f t="shared" si="73"/>
        <v>45-54</v>
      </c>
      <c r="X939" s="6" t="str">
        <f t="shared" si="74"/>
        <v>Lower-Middle</v>
      </c>
    </row>
    <row r="940" spans="1:24">
      <c r="A940" s="6" t="s">
        <v>571</v>
      </c>
      <c r="B940" s="6" t="s">
        <v>2181</v>
      </c>
      <c r="C940" s="6" t="s">
        <v>21</v>
      </c>
      <c r="D940" s="6" t="s">
        <v>63</v>
      </c>
      <c r="E940" s="6" t="s">
        <v>3514</v>
      </c>
      <c r="F940" s="6">
        <v>77</v>
      </c>
      <c r="G940" s="6" t="s">
        <v>34</v>
      </c>
      <c r="H940" s="6" t="s">
        <v>2182</v>
      </c>
      <c r="I940" s="6" t="s">
        <v>4149</v>
      </c>
      <c r="J940" s="8">
        <v>43334</v>
      </c>
      <c r="K940" s="8">
        <v>45299</v>
      </c>
      <c r="L940" s="6">
        <v>269900.90000000002</v>
      </c>
      <c r="M940" s="6">
        <v>93000.6</v>
      </c>
      <c r="N940" s="6">
        <v>830</v>
      </c>
      <c r="O940" s="6">
        <v>301000</v>
      </c>
      <c r="P940" s="6" t="s">
        <v>36</v>
      </c>
      <c r="Q940" s="6" t="s">
        <v>27</v>
      </c>
      <c r="R940" s="6">
        <v>0</v>
      </c>
      <c r="S940" s="6" t="s">
        <v>28</v>
      </c>
      <c r="T940" s="7">
        <f t="shared" si="70"/>
        <v>0.30897209302325584</v>
      </c>
      <c r="U940" s="6">
        <f t="shared" si="71"/>
        <v>7</v>
      </c>
      <c r="V940" s="5" t="str">
        <f t="shared" si="72"/>
        <v>EXCEPTIONAL</v>
      </c>
      <c r="W940" s="6" t="str">
        <f t="shared" si="73"/>
        <v>55+</v>
      </c>
      <c r="X940" s="6" t="str">
        <f t="shared" si="74"/>
        <v>High</v>
      </c>
    </row>
    <row r="941" spans="1:24">
      <c r="A941" s="6" t="s">
        <v>574</v>
      </c>
      <c r="B941" s="6" t="s">
        <v>2183</v>
      </c>
      <c r="C941" s="6" t="s">
        <v>39</v>
      </c>
      <c r="D941" s="6" t="s">
        <v>68</v>
      </c>
      <c r="E941" s="6" t="s">
        <v>114</v>
      </c>
      <c r="F941" s="6">
        <v>69</v>
      </c>
      <c r="G941" s="6" t="s">
        <v>24</v>
      </c>
      <c r="H941" s="6" t="s">
        <v>2184</v>
      </c>
      <c r="I941" s="6" t="s">
        <v>4150</v>
      </c>
      <c r="J941" s="8">
        <v>43933</v>
      </c>
      <c r="K941" s="8">
        <v>45300</v>
      </c>
      <c r="L941" s="6">
        <v>158800.25</v>
      </c>
      <c r="M941" s="6">
        <v>95000.4</v>
      </c>
      <c r="N941" s="6">
        <v>655</v>
      </c>
      <c r="O941" s="6">
        <v>191000</v>
      </c>
      <c r="P941" s="6" t="s">
        <v>76</v>
      </c>
      <c r="Q941" s="6" t="s">
        <v>27</v>
      </c>
      <c r="R941" s="6">
        <v>0</v>
      </c>
      <c r="S941" s="6" t="s">
        <v>28</v>
      </c>
      <c r="T941" s="7">
        <f t="shared" si="70"/>
        <v>0.49738429319371724</v>
      </c>
      <c r="U941" s="6">
        <f t="shared" si="71"/>
        <v>6</v>
      </c>
      <c r="V941" s="5" t="str">
        <f t="shared" si="72"/>
        <v>FAIR</v>
      </c>
      <c r="W941" s="6" t="str">
        <f t="shared" si="73"/>
        <v>55+</v>
      </c>
      <c r="X941" s="6" t="str">
        <f t="shared" si="74"/>
        <v>High</v>
      </c>
    </row>
    <row r="942" spans="1:24">
      <c r="A942" s="6" t="s">
        <v>577</v>
      </c>
      <c r="B942" s="6" t="s">
        <v>2185</v>
      </c>
      <c r="C942" s="6" t="s">
        <v>46</v>
      </c>
      <c r="D942" s="6" t="s">
        <v>85</v>
      </c>
      <c r="E942" s="6" t="s">
        <v>162</v>
      </c>
      <c r="F942" s="6">
        <v>58</v>
      </c>
      <c r="G942" s="6" t="s">
        <v>34</v>
      </c>
      <c r="H942" s="6" t="s">
        <v>2186</v>
      </c>
      <c r="I942" s="6" t="s">
        <v>3840</v>
      </c>
      <c r="J942" s="8">
        <v>44826</v>
      </c>
      <c r="K942" s="8">
        <v>45302</v>
      </c>
      <c r="L942" s="6">
        <v>104300.6</v>
      </c>
      <c r="M942" s="6">
        <v>55600.75</v>
      </c>
      <c r="N942" s="6">
        <v>760</v>
      </c>
      <c r="O942" s="6">
        <v>160000</v>
      </c>
      <c r="P942" s="6" t="s">
        <v>26</v>
      </c>
      <c r="Q942" s="6" t="s">
        <v>27</v>
      </c>
      <c r="R942" s="6">
        <v>0</v>
      </c>
      <c r="S942" s="6" t="s">
        <v>28</v>
      </c>
      <c r="T942" s="7">
        <f t="shared" si="70"/>
        <v>0.34750468750000002</v>
      </c>
      <c r="U942" s="6">
        <f t="shared" si="71"/>
        <v>4</v>
      </c>
      <c r="V942" s="5" t="str">
        <f t="shared" si="72"/>
        <v>VERY GOOD</v>
      </c>
      <c r="W942" s="6" t="str">
        <f t="shared" si="73"/>
        <v>55+</v>
      </c>
      <c r="X942" s="6" t="str">
        <f t="shared" si="74"/>
        <v>Upper-Middle</v>
      </c>
    </row>
    <row r="943" spans="1:24">
      <c r="A943" s="6" t="s">
        <v>458</v>
      </c>
      <c r="B943" s="6" t="s">
        <v>2187</v>
      </c>
      <c r="C943" s="6" t="s">
        <v>31</v>
      </c>
      <c r="D943" s="6" t="s">
        <v>460</v>
      </c>
      <c r="E943" s="6" t="s">
        <v>461</v>
      </c>
      <c r="F943" s="6">
        <v>49</v>
      </c>
      <c r="G943" s="6" t="s">
        <v>24</v>
      </c>
      <c r="H943" s="6" t="s">
        <v>2188</v>
      </c>
      <c r="I943" s="6" t="s">
        <v>4151</v>
      </c>
      <c r="J943" s="8">
        <v>45471</v>
      </c>
      <c r="K943" s="8">
        <v>45306</v>
      </c>
      <c r="L943" s="6">
        <v>18900.25</v>
      </c>
      <c r="M943" s="6">
        <v>11200.8</v>
      </c>
      <c r="N943" s="6">
        <v>695</v>
      </c>
      <c r="O943" s="6">
        <v>60000</v>
      </c>
      <c r="P943" s="6" t="s">
        <v>26</v>
      </c>
      <c r="Q943" s="6" t="s">
        <v>43</v>
      </c>
      <c r="R943" s="6">
        <v>0</v>
      </c>
      <c r="S943" s="6" t="s">
        <v>28</v>
      </c>
      <c r="T943" s="7">
        <f t="shared" si="70"/>
        <v>0.18667999999999998</v>
      </c>
      <c r="U943" s="6">
        <f t="shared" si="71"/>
        <v>0</v>
      </c>
      <c r="V943" s="5" t="str">
        <f t="shared" si="72"/>
        <v>GOOD</v>
      </c>
      <c r="W943" s="6" t="str">
        <f t="shared" si="73"/>
        <v>45-54</v>
      </c>
      <c r="X943" s="6" t="str">
        <f t="shared" si="74"/>
        <v>Low</v>
      </c>
    </row>
    <row r="944" spans="1:24">
      <c r="A944" s="6" t="s">
        <v>582</v>
      </c>
      <c r="B944" s="6" t="s">
        <v>2189</v>
      </c>
      <c r="C944" s="6" t="s">
        <v>57</v>
      </c>
      <c r="D944" s="6" t="s">
        <v>22</v>
      </c>
      <c r="E944" s="6" t="s">
        <v>53</v>
      </c>
      <c r="F944" s="6">
        <v>52</v>
      </c>
      <c r="G944" s="6" t="s">
        <v>34</v>
      </c>
      <c r="H944" s="6" t="s">
        <v>2190</v>
      </c>
      <c r="I944" s="6" t="s">
        <v>4008</v>
      </c>
      <c r="J944" s="8">
        <v>45099</v>
      </c>
      <c r="K944" s="8">
        <v>45303</v>
      </c>
      <c r="L944" s="6">
        <v>38700.9</v>
      </c>
      <c r="M944" s="6">
        <v>15200.25</v>
      </c>
      <c r="N944" s="6">
        <v>755</v>
      </c>
      <c r="O944" s="6">
        <v>82000</v>
      </c>
      <c r="P944" s="6" t="s">
        <v>36</v>
      </c>
      <c r="Q944" s="6" t="s">
        <v>27</v>
      </c>
      <c r="R944" s="6">
        <v>0</v>
      </c>
      <c r="S944" s="6" t="s">
        <v>28</v>
      </c>
      <c r="T944" s="7">
        <f t="shared" si="70"/>
        <v>0.1853689024390244</v>
      </c>
      <c r="U944" s="6">
        <f t="shared" si="71"/>
        <v>3</v>
      </c>
      <c r="V944" s="5" t="str">
        <f t="shared" si="72"/>
        <v>VERY GOOD</v>
      </c>
      <c r="W944" s="6" t="str">
        <f t="shared" si="73"/>
        <v>45-54</v>
      </c>
      <c r="X944" s="6" t="str">
        <f t="shared" si="74"/>
        <v>Lower-Middle</v>
      </c>
    </row>
    <row r="945" spans="1:24">
      <c r="A945" s="6" t="s">
        <v>55</v>
      </c>
      <c r="B945" s="6" t="s">
        <v>2191</v>
      </c>
      <c r="C945" s="6" t="s">
        <v>39</v>
      </c>
      <c r="D945" s="6" t="s">
        <v>58</v>
      </c>
      <c r="E945" s="6" t="s">
        <v>122</v>
      </c>
      <c r="F945" s="6">
        <v>70</v>
      </c>
      <c r="G945" s="6" t="s">
        <v>24</v>
      </c>
      <c r="H945" s="6" t="s">
        <v>2192</v>
      </c>
      <c r="I945" s="6" t="s">
        <v>3685</v>
      </c>
      <c r="J945" s="8">
        <v>43852</v>
      </c>
      <c r="K945" s="8">
        <v>45300</v>
      </c>
      <c r="L945" s="6">
        <v>191700.4</v>
      </c>
      <c r="M945" s="6">
        <v>108000.75</v>
      </c>
      <c r="N945" s="6">
        <v>685</v>
      </c>
      <c r="O945" s="6">
        <v>216000</v>
      </c>
      <c r="P945" s="6" t="s">
        <v>76</v>
      </c>
      <c r="Q945" s="6" t="s">
        <v>27</v>
      </c>
      <c r="R945" s="6">
        <v>0</v>
      </c>
      <c r="S945" s="6" t="s">
        <v>28</v>
      </c>
      <c r="T945" s="7">
        <f t="shared" si="70"/>
        <v>0.50000347222222219</v>
      </c>
      <c r="U945" s="6">
        <f t="shared" si="71"/>
        <v>6</v>
      </c>
      <c r="V945" s="5" t="str">
        <f t="shared" si="72"/>
        <v>GOOD</v>
      </c>
      <c r="W945" s="6" t="str">
        <f t="shared" si="73"/>
        <v>55+</v>
      </c>
      <c r="X945" s="6" t="str">
        <f t="shared" si="74"/>
        <v>High</v>
      </c>
    </row>
    <row r="946" spans="1:24">
      <c r="A946" s="6" t="s">
        <v>469</v>
      </c>
      <c r="B946" s="6" t="s">
        <v>2193</v>
      </c>
      <c r="C946" s="6" t="s">
        <v>52</v>
      </c>
      <c r="D946" s="6" t="s">
        <v>471</v>
      </c>
      <c r="E946" s="6" t="s">
        <v>472</v>
      </c>
      <c r="F946" s="6">
        <v>61</v>
      </c>
      <c r="G946" s="6" t="s">
        <v>34</v>
      </c>
      <c r="H946" s="6" t="s">
        <v>2194</v>
      </c>
      <c r="I946" s="6" t="s">
        <v>4152</v>
      </c>
      <c r="J946" s="8">
        <v>44491</v>
      </c>
      <c r="K946" s="8">
        <v>45301</v>
      </c>
      <c r="L946" s="6">
        <v>68700.800000000003</v>
      </c>
      <c r="M946" s="6">
        <v>41800.6</v>
      </c>
      <c r="N946" s="6">
        <v>715</v>
      </c>
      <c r="O946" s="6">
        <v>115000</v>
      </c>
      <c r="P946" s="6" t="s">
        <v>26</v>
      </c>
      <c r="Q946" s="6" t="s">
        <v>27</v>
      </c>
      <c r="R946" s="6">
        <v>0</v>
      </c>
      <c r="S946" s="6" t="s">
        <v>28</v>
      </c>
      <c r="T946" s="7">
        <f t="shared" si="70"/>
        <v>0.36348347826086957</v>
      </c>
      <c r="U946" s="6">
        <f t="shared" si="71"/>
        <v>5</v>
      </c>
      <c r="V946" s="5" t="str">
        <f t="shared" si="72"/>
        <v>GOOD</v>
      </c>
      <c r="W946" s="6" t="str">
        <f t="shared" si="73"/>
        <v>55+</v>
      </c>
      <c r="X946" s="6" t="str">
        <f t="shared" si="74"/>
        <v>Lower-Middle</v>
      </c>
    </row>
    <row r="947" spans="1:24">
      <c r="A947" s="6" t="s">
        <v>474</v>
      </c>
      <c r="B947" s="6" t="s">
        <v>2195</v>
      </c>
      <c r="C947" s="6" t="s">
        <v>46</v>
      </c>
      <c r="D947" s="6" t="s">
        <v>345</v>
      </c>
      <c r="E947" s="6" t="s">
        <v>346</v>
      </c>
      <c r="F947" s="6">
        <v>64</v>
      </c>
      <c r="G947" s="6" t="s">
        <v>24</v>
      </c>
      <c r="H947" s="6" t="s">
        <v>2196</v>
      </c>
      <c r="I947" s="6" t="s">
        <v>3687</v>
      </c>
      <c r="J947" s="8">
        <v>44399</v>
      </c>
      <c r="K947" s="8">
        <v>45302</v>
      </c>
      <c r="L947" s="6">
        <v>96500.25</v>
      </c>
      <c r="M947" s="6">
        <v>51800.4</v>
      </c>
      <c r="N947" s="6">
        <v>680</v>
      </c>
      <c r="O947" s="6">
        <v>144000</v>
      </c>
      <c r="P947" s="6" t="s">
        <v>26</v>
      </c>
      <c r="Q947" s="6" t="s">
        <v>27</v>
      </c>
      <c r="R947" s="6">
        <v>0</v>
      </c>
      <c r="S947" s="6" t="s">
        <v>28</v>
      </c>
      <c r="T947" s="7">
        <f t="shared" si="70"/>
        <v>0.35972500000000002</v>
      </c>
      <c r="U947" s="6">
        <f t="shared" si="71"/>
        <v>4</v>
      </c>
      <c r="V947" s="5" t="str">
        <f t="shared" si="72"/>
        <v>GOOD</v>
      </c>
      <c r="W947" s="6" t="str">
        <f t="shared" si="73"/>
        <v>55+</v>
      </c>
      <c r="X947" s="6" t="str">
        <f t="shared" si="74"/>
        <v>Upper-Middle</v>
      </c>
    </row>
    <row r="948" spans="1:24">
      <c r="A948" s="6" t="s">
        <v>592</v>
      </c>
      <c r="B948" s="6" t="s">
        <v>2197</v>
      </c>
      <c r="C948" s="6" t="s">
        <v>84</v>
      </c>
      <c r="D948" s="6" t="s">
        <v>32</v>
      </c>
      <c r="E948" s="6" t="s">
        <v>90</v>
      </c>
      <c r="F948" s="6">
        <v>44</v>
      </c>
      <c r="G948" s="6" t="s">
        <v>34</v>
      </c>
      <c r="H948" s="6" t="s">
        <v>2198</v>
      </c>
      <c r="I948" s="6" t="s">
        <v>3688</v>
      </c>
      <c r="J948" s="8">
        <v>45478</v>
      </c>
      <c r="K948" s="8">
        <v>45304</v>
      </c>
      <c r="L948" s="6">
        <v>4050.4</v>
      </c>
      <c r="M948" s="6">
        <v>13400.75</v>
      </c>
      <c r="N948" s="6">
        <v>610</v>
      </c>
      <c r="O948" s="6">
        <v>40000</v>
      </c>
      <c r="P948" s="6" t="s">
        <v>76</v>
      </c>
      <c r="Q948" s="6" t="s">
        <v>43</v>
      </c>
      <c r="R948" s="6">
        <v>0</v>
      </c>
      <c r="S948" s="6" t="s">
        <v>28</v>
      </c>
      <c r="T948" s="7">
        <f t="shared" si="70"/>
        <v>0.33501874999999998</v>
      </c>
      <c r="U948" s="6">
        <f t="shared" si="71"/>
        <v>2</v>
      </c>
      <c r="V948" s="5" t="str">
        <f t="shared" si="72"/>
        <v>FAIR</v>
      </c>
      <c r="W948" s="6" t="str">
        <f t="shared" si="73"/>
        <v>35-44</v>
      </c>
      <c r="X948" s="6" t="str">
        <f t="shared" si="74"/>
        <v>Low</v>
      </c>
    </row>
    <row r="949" spans="1:24">
      <c r="A949" s="6" t="s">
        <v>595</v>
      </c>
      <c r="B949" s="6" t="s">
        <v>2199</v>
      </c>
      <c r="C949" s="6" t="s">
        <v>21</v>
      </c>
      <c r="D949" s="6" t="s">
        <v>209</v>
      </c>
      <c r="E949" s="6" t="s">
        <v>210</v>
      </c>
      <c r="F949" s="6">
        <v>76</v>
      </c>
      <c r="G949" s="6" t="s">
        <v>24</v>
      </c>
      <c r="H949" s="6" t="s">
        <v>2200</v>
      </c>
      <c r="I949" s="6" t="s">
        <v>4153</v>
      </c>
      <c r="J949" s="8">
        <v>43546</v>
      </c>
      <c r="K949" s="8">
        <v>45299</v>
      </c>
      <c r="L949" s="6">
        <v>289700.8</v>
      </c>
      <c r="M949" s="6">
        <v>99000.25</v>
      </c>
      <c r="N949" s="6">
        <v>825</v>
      </c>
      <c r="O949" s="6">
        <v>296000</v>
      </c>
      <c r="P949" s="6" t="s">
        <v>36</v>
      </c>
      <c r="Q949" s="6" t="s">
        <v>27</v>
      </c>
      <c r="R949" s="6">
        <v>0</v>
      </c>
      <c r="S949" s="6" t="s">
        <v>28</v>
      </c>
      <c r="T949" s="7">
        <f t="shared" si="70"/>
        <v>0.33446030405405408</v>
      </c>
      <c r="U949" s="6">
        <f t="shared" si="71"/>
        <v>7</v>
      </c>
      <c r="V949" s="5" t="str">
        <f t="shared" si="72"/>
        <v>EXCEPTIONAL</v>
      </c>
      <c r="W949" s="6" t="str">
        <f t="shared" si="73"/>
        <v>55+</v>
      </c>
      <c r="X949" s="6" t="str">
        <f t="shared" si="74"/>
        <v>High</v>
      </c>
    </row>
    <row r="950" spans="1:24">
      <c r="A950" s="6" t="s">
        <v>226</v>
      </c>
      <c r="B950" s="6" t="s">
        <v>2201</v>
      </c>
      <c r="C950" s="6" t="s">
        <v>57</v>
      </c>
      <c r="D950" s="6" t="s">
        <v>228</v>
      </c>
      <c r="E950" s="6" t="s">
        <v>229</v>
      </c>
      <c r="F950" s="6">
        <v>51</v>
      </c>
      <c r="G950" s="6" t="s">
        <v>34</v>
      </c>
      <c r="H950" s="6" t="s">
        <v>2202</v>
      </c>
      <c r="I950" s="6" t="s">
        <v>4154</v>
      </c>
      <c r="J950" s="8">
        <v>45282</v>
      </c>
      <c r="K950" s="8">
        <v>45305</v>
      </c>
      <c r="L950" s="6">
        <v>35400.75</v>
      </c>
      <c r="M950" s="6">
        <v>13600.4</v>
      </c>
      <c r="N950" s="6">
        <v>725</v>
      </c>
      <c r="O950" s="6">
        <v>72000</v>
      </c>
      <c r="P950" s="6" t="s">
        <v>36</v>
      </c>
      <c r="Q950" s="6" t="s">
        <v>27</v>
      </c>
      <c r="R950" s="6">
        <v>0</v>
      </c>
      <c r="S950" s="6" t="s">
        <v>28</v>
      </c>
      <c r="T950" s="7">
        <f t="shared" si="70"/>
        <v>0.18889444444444445</v>
      </c>
      <c r="U950" s="6">
        <f t="shared" si="71"/>
        <v>1</v>
      </c>
      <c r="V950" s="5" t="str">
        <f t="shared" si="72"/>
        <v>GOOD</v>
      </c>
      <c r="W950" s="6" t="str">
        <f t="shared" si="73"/>
        <v>45-54</v>
      </c>
      <c r="X950" s="6" t="str">
        <f t="shared" si="74"/>
        <v>Low</v>
      </c>
    </row>
    <row r="951" spans="1:24">
      <c r="A951" s="6" t="s">
        <v>488</v>
      </c>
      <c r="B951" s="6" t="s">
        <v>2203</v>
      </c>
      <c r="C951" s="6" t="s">
        <v>39</v>
      </c>
      <c r="D951" s="6" t="s">
        <v>304</v>
      </c>
      <c r="E951" s="6" t="s">
        <v>304</v>
      </c>
      <c r="F951" s="6">
        <v>68</v>
      </c>
      <c r="G951" s="6" t="s">
        <v>24</v>
      </c>
      <c r="H951" s="6" t="s">
        <v>2204</v>
      </c>
      <c r="I951" s="6" t="s">
        <v>4155</v>
      </c>
      <c r="J951" s="8">
        <v>44024</v>
      </c>
      <c r="K951" s="8">
        <v>45300</v>
      </c>
      <c r="L951" s="6">
        <v>169900.6</v>
      </c>
      <c r="M951" s="6">
        <v>99000.9</v>
      </c>
      <c r="N951" s="6">
        <v>675</v>
      </c>
      <c r="O951" s="6">
        <v>196000</v>
      </c>
      <c r="P951" s="6" t="s">
        <v>76</v>
      </c>
      <c r="Q951" s="6" t="s">
        <v>27</v>
      </c>
      <c r="R951" s="6">
        <v>0</v>
      </c>
      <c r="S951" s="6" t="s">
        <v>28</v>
      </c>
      <c r="T951" s="7">
        <f t="shared" si="70"/>
        <v>0.50510663265306122</v>
      </c>
      <c r="U951" s="6">
        <f t="shared" si="71"/>
        <v>6</v>
      </c>
      <c r="V951" s="5" t="str">
        <f t="shared" si="72"/>
        <v>GOOD</v>
      </c>
      <c r="W951" s="6" t="str">
        <f t="shared" si="73"/>
        <v>55+</v>
      </c>
      <c r="X951" s="6" t="str">
        <f t="shared" si="74"/>
        <v>High</v>
      </c>
    </row>
    <row r="952" spans="1:24">
      <c r="A952" s="6" t="s">
        <v>491</v>
      </c>
      <c r="B952" s="6" t="s">
        <v>2205</v>
      </c>
      <c r="C952" s="6" t="s">
        <v>52</v>
      </c>
      <c r="D952" s="6" t="s">
        <v>493</v>
      </c>
      <c r="E952" s="6" t="s">
        <v>494</v>
      </c>
      <c r="F952" s="6">
        <v>59</v>
      </c>
      <c r="G952" s="6" t="s">
        <v>34</v>
      </c>
      <c r="H952" s="6" t="s">
        <v>2206</v>
      </c>
      <c r="I952" s="6" t="s">
        <v>4156</v>
      </c>
      <c r="J952" s="8">
        <v>44795</v>
      </c>
      <c r="K952" s="8">
        <v>45302</v>
      </c>
      <c r="L952" s="6">
        <v>62900.4</v>
      </c>
      <c r="M952" s="6">
        <v>37600.25</v>
      </c>
      <c r="N952" s="6">
        <v>705</v>
      </c>
      <c r="O952" s="6">
        <v>104000</v>
      </c>
      <c r="P952" s="6" t="s">
        <v>26</v>
      </c>
      <c r="Q952" s="6" t="s">
        <v>27</v>
      </c>
      <c r="R952" s="6">
        <v>0</v>
      </c>
      <c r="S952" s="6" t="s">
        <v>28</v>
      </c>
      <c r="T952" s="7">
        <f t="shared" si="70"/>
        <v>0.36154086538461538</v>
      </c>
      <c r="U952" s="6">
        <f t="shared" si="71"/>
        <v>4</v>
      </c>
      <c r="V952" s="5" t="str">
        <f t="shared" si="72"/>
        <v>GOOD</v>
      </c>
      <c r="W952" s="6" t="str">
        <f t="shared" si="73"/>
        <v>55+</v>
      </c>
      <c r="X952" s="6" t="str">
        <f t="shared" si="74"/>
        <v>Lower-Middle</v>
      </c>
    </row>
    <row r="953" spans="1:24">
      <c r="A953" s="6" t="s">
        <v>496</v>
      </c>
      <c r="B953" s="6" t="s">
        <v>2207</v>
      </c>
      <c r="C953" s="6" t="s">
        <v>46</v>
      </c>
      <c r="D953" s="6" t="s">
        <v>321</v>
      </c>
      <c r="E953" s="6" t="s">
        <v>498</v>
      </c>
      <c r="F953" s="6">
        <v>62</v>
      </c>
      <c r="G953" s="6" t="s">
        <v>24</v>
      </c>
      <c r="H953" s="6" t="s">
        <v>2208</v>
      </c>
      <c r="I953" s="6" t="s">
        <v>4157</v>
      </c>
      <c r="J953" s="8">
        <v>44277</v>
      </c>
      <c r="K953" s="8">
        <v>45301</v>
      </c>
      <c r="L953" s="6">
        <v>109100.75</v>
      </c>
      <c r="M953" s="6">
        <v>58700.800000000003</v>
      </c>
      <c r="N953" s="6">
        <v>730</v>
      </c>
      <c r="O953" s="6">
        <v>170000</v>
      </c>
      <c r="P953" s="6" t="s">
        <v>26</v>
      </c>
      <c r="Q953" s="6" t="s">
        <v>27</v>
      </c>
      <c r="R953" s="6">
        <v>0</v>
      </c>
      <c r="S953" s="6" t="s">
        <v>28</v>
      </c>
      <c r="T953" s="7">
        <f t="shared" si="70"/>
        <v>0.34529882352941177</v>
      </c>
      <c r="U953" s="6">
        <f t="shared" si="71"/>
        <v>5</v>
      </c>
      <c r="V953" s="5" t="str">
        <f t="shared" si="72"/>
        <v>GOOD</v>
      </c>
      <c r="W953" s="6" t="str">
        <f t="shared" si="73"/>
        <v>55+</v>
      </c>
      <c r="X953" s="6" t="str">
        <f t="shared" si="74"/>
        <v>Upper-Middle</v>
      </c>
    </row>
    <row r="954" spans="1:24">
      <c r="A954" s="6" t="s">
        <v>324</v>
      </c>
      <c r="B954" s="6" t="s">
        <v>2209</v>
      </c>
      <c r="C954" s="6" t="s">
        <v>31</v>
      </c>
      <c r="D954" s="6" t="s">
        <v>313</v>
      </c>
      <c r="E954" s="6" t="s">
        <v>385</v>
      </c>
      <c r="F954" s="6">
        <v>47</v>
      </c>
      <c r="G954" s="6" t="s">
        <v>34</v>
      </c>
      <c r="H954" s="6" t="s">
        <v>2210</v>
      </c>
      <c r="I954" s="6" t="s">
        <v>4158</v>
      </c>
      <c r="J954" s="8">
        <v>45471</v>
      </c>
      <c r="K954" s="8">
        <v>45306</v>
      </c>
      <c r="L954" s="6">
        <v>16200.9</v>
      </c>
      <c r="M954" s="6">
        <v>9500.75</v>
      </c>
      <c r="N954" s="6">
        <v>685</v>
      </c>
      <c r="O954" s="6">
        <v>57000</v>
      </c>
      <c r="P954" s="6" t="s">
        <v>26</v>
      </c>
      <c r="Q954" s="6" t="s">
        <v>43</v>
      </c>
      <c r="R954" s="6">
        <v>0</v>
      </c>
      <c r="S954" s="6" t="s">
        <v>28</v>
      </c>
      <c r="T954" s="7">
        <f t="shared" si="70"/>
        <v>0.16667982456140351</v>
      </c>
      <c r="U954" s="6">
        <f t="shared" si="71"/>
        <v>0</v>
      </c>
      <c r="V954" s="5" t="str">
        <f t="shared" si="72"/>
        <v>GOOD</v>
      </c>
      <c r="W954" s="6" t="str">
        <f t="shared" si="73"/>
        <v>45-54</v>
      </c>
      <c r="X954" s="6" t="str">
        <f t="shared" si="74"/>
        <v>Low</v>
      </c>
    </row>
    <row r="955" spans="1:24">
      <c r="A955" s="6" t="s">
        <v>503</v>
      </c>
      <c r="B955" s="6" t="s">
        <v>2211</v>
      </c>
      <c r="C955" s="6" t="s">
        <v>21</v>
      </c>
      <c r="D955" s="6" t="s">
        <v>32</v>
      </c>
      <c r="E955" s="6" t="s">
        <v>33</v>
      </c>
      <c r="F955" s="6">
        <v>79</v>
      </c>
      <c r="G955" s="6" t="s">
        <v>24</v>
      </c>
      <c r="H955" s="6" t="s">
        <v>2212</v>
      </c>
      <c r="I955" s="6" t="s">
        <v>3695</v>
      </c>
      <c r="J955" s="8">
        <v>43273</v>
      </c>
      <c r="K955" s="8">
        <v>45299</v>
      </c>
      <c r="L955" s="6">
        <v>300600.25</v>
      </c>
      <c r="M955" s="6">
        <v>103000.4</v>
      </c>
      <c r="N955" s="6">
        <v>840</v>
      </c>
      <c r="O955" s="6">
        <v>311000</v>
      </c>
      <c r="P955" s="6" t="s">
        <v>36</v>
      </c>
      <c r="Q955" s="6" t="s">
        <v>27</v>
      </c>
      <c r="R955" s="6">
        <v>0</v>
      </c>
      <c r="S955" s="6" t="s">
        <v>28</v>
      </c>
      <c r="T955" s="7">
        <f t="shared" si="70"/>
        <v>0.33119099678456587</v>
      </c>
      <c r="U955" s="6">
        <f t="shared" si="71"/>
        <v>7</v>
      </c>
      <c r="V955" s="5" t="str">
        <f t="shared" si="72"/>
        <v>EXCEPTIONAL</v>
      </c>
      <c r="W955" s="6" t="str">
        <f t="shared" si="73"/>
        <v>55+</v>
      </c>
      <c r="X955" s="6" t="str">
        <f t="shared" si="74"/>
        <v>High</v>
      </c>
    </row>
    <row r="956" spans="1:24">
      <c r="A956" s="6" t="s">
        <v>506</v>
      </c>
      <c r="B956" s="6" t="s">
        <v>2213</v>
      </c>
      <c r="C956" s="6" t="s">
        <v>39</v>
      </c>
      <c r="D956" s="6" t="s">
        <v>68</v>
      </c>
      <c r="E956" s="6" t="s">
        <v>69</v>
      </c>
      <c r="F956" s="6">
        <v>71</v>
      </c>
      <c r="G956" s="6" t="s">
        <v>34</v>
      </c>
      <c r="H956" s="6" t="s">
        <v>2214</v>
      </c>
      <c r="I956" s="6" t="s">
        <v>4133</v>
      </c>
      <c r="J956" s="8">
        <v>43791</v>
      </c>
      <c r="K956" s="8">
        <v>45300</v>
      </c>
      <c r="L956" s="6">
        <v>181000.4</v>
      </c>
      <c r="M956" s="6">
        <v>103000.75</v>
      </c>
      <c r="N956" s="6">
        <v>650</v>
      </c>
      <c r="O956" s="6">
        <v>206000</v>
      </c>
      <c r="P956" s="6" t="s">
        <v>76</v>
      </c>
      <c r="Q956" s="6" t="s">
        <v>27</v>
      </c>
      <c r="R956" s="6">
        <v>0</v>
      </c>
      <c r="S956" s="6" t="s">
        <v>28</v>
      </c>
      <c r="T956" s="7">
        <f t="shared" si="70"/>
        <v>0.50000364077669901</v>
      </c>
      <c r="U956" s="6">
        <f t="shared" si="71"/>
        <v>6</v>
      </c>
      <c r="V956" s="5" t="str">
        <f t="shared" si="72"/>
        <v>FAIR</v>
      </c>
      <c r="W956" s="6" t="str">
        <f t="shared" si="73"/>
        <v>55+</v>
      </c>
      <c r="X956" s="6" t="str">
        <f t="shared" si="74"/>
        <v>High</v>
      </c>
    </row>
    <row r="957" spans="1:24">
      <c r="A957" s="6" t="s">
        <v>509</v>
      </c>
      <c r="B957" s="6" t="s">
        <v>2215</v>
      </c>
      <c r="C957" s="6" t="s">
        <v>46</v>
      </c>
      <c r="D957" s="6" t="s">
        <v>73</v>
      </c>
      <c r="E957" s="6" t="s">
        <v>74</v>
      </c>
      <c r="F957" s="6">
        <v>58</v>
      </c>
      <c r="G957" s="6" t="s">
        <v>24</v>
      </c>
      <c r="H957" s="6" t="s">
        <v>2216</v>
      </c>
      <c r="I957" s="6" t="s">
        <v>4159</v>
      </c>
      <c r="J957" s="8">
        <v>45007</v>
      </c>
      <c r="K957" s="8">
        <v>45303</v>
      </c>
      <c r="L957" s="6">
        <v>97600.4</v>
      </c>
      <c r="M957" s="6">
        <v>52900.25</v>
      </c>
      <c r="N957" s="6">
        <v>745</v>
      </c>
      <c r="O957" s="6">
        <v>150000</v>
      </c>
      <c r="P957" s="6" t="s">
        <v>26</v>
      </c>
      <c r="Q957" s="6" t="s">
        <v>27</v>
      </c>
      <c r="R957" s="6">
        <v>0</v>
      </c>
      <c r="S957" s="6" t="s">
        <v>28</v>
      </c>
      <c r="T957" s="7">
        <f t="shared" si="70"/>
        <v>0.35266833333333331</v>
      </c>
      <c r="U957" s="6">
        <f t="shared" si="71"/>
        <v>3</v>
      </c>
      <c r="V957" s="5" t="str">
        <f t="shared" si="72"/>
        <v>GOOD</v>
      </c>
      <c r="W957" s="6" t="str">
        <f t="shared" si="73"/>
        <v>55+</v>
      </c>
      <c r="X957" s="6" t="str">
        <f t="shared" si="74"/>
        <v>Upper-Middle</v>
      </c>
    </row>
    <row r="958" spans="1:24">
      <c r="A958" s="6" t="s">
        <v>513</v>
      </c>
      <c r="B958" s="6" t="s">
        <v>2217</v>
      </c>
      <c r="C958" s="6" t="s">
        <v>57</v>
      </c>
      <c r="D958" s="6" t="s">
        <v>58</v>
      </c>
      <c r="E958" s="6" t="s">
        <v>122</v>
      </c>
      <c r="F958" s="6">
        <v>53</v>
      </c>
      <c r="G958" s="6" t="s">
        <v>34</v>
      </c>
      <c r="H958" s="6" t="s">
        <v>2218</v>
      </c>
      <c r="I958" s="6" t="s">
        <v>3697</v>
      </c>
      <c r="J958" s="8">
        <v>45191</v>
      </c>
      <c r="K958" s="8">
        <v>45302</v>
      </c>
      <c r="L958" s="6">
        <v>37600.800000000003</v>
      </c>
      <c r="M958" s="6">
        <v>14800.9</v>
      </c>
      <c r="N958" s="6">
        <v>765</v>
      </c>
      <c r="O958" s="6">
        <v>82000</v>
      </c>
      <c r="P958" s="6" t="s">
        <v>36</v>
      </c>
      <c r="Q958" s="6" t="s">
        <v>27</v>
      </c>
      <c r="R958" s="6">
        <v>0</v>
      </c>
      <c r="S958" s="6" t="s">
        <v>28</v>
      </c>
      <c r="T958" s="7">
        <f t="shared" si="70"/>
        <v>0.18049878048780488</v>
      </c>
      <c r="U958" s="6">
        <f t="shared" si="71"/>
        <v>4</v>
      </c>
      <c r="V958" s="5" t="str">
        <f t="shared" si="72"/>
        <v>VERY GOOD</v>
      </c>
      <c r="W958" s="6" t="str">
        <f t="shared" si="73"/>
        <v>45-54</v>
      </c>
      <c r="X958" s="6" t="str">
        <f t="shared" si="74"/>
        <v>Lower-Middle</v>
      </c>
    </row>
    <row r="959" spans="1:24">
      <c r="A959" s="6" t="s">
        <v>516</v>
      </c>
      <c r="B959" s="6" t="s">
        <v>2219</v>
      </c>
      <c r="C959" s="6" t="s">
        <v>52</v>
      </c>
      <c r="D959" s="6" t="s">
        <v>277</v>
      </c>
      <c r="E959" s="6" t="s">
        <v>404</v>
      </c>
      <c r="F959" s="6">
        <v>66</v>
      </c>
      <c r="G959" s="6" t="s">
        <v>24</v>
      </c>
      <c r="H959" s="6" t="s">
        <v>2220</v>
      </c>
      <c r="I959" s="6" t="s">
        <v>3664</v>
      </c>
      <c r="J959" s="8">
        <v>44461</v>
      </c>
      <c r="K959" s="8">
        <v>45301</v>
      </c>
      <c r="L959" s="6">
        <v>70900.75</v>
      </c>
      <c r="M959" s="6">
        <v>44000.4</v>
      </c>
      <c r="N959" s="6">
        <v>675</v>
      </c>
      <c r="O959" s="6">
        <v>122000</v>
      </c>
      <c r="P959" s="6" t="s">
        <v>26</v>
      </c>
      <c r="Q959" s="6" t="s">
        <v>27</v>
      </c>
      <c r="R959" s="6">
        <v>0</v>
      </c>
      <c r="S959" s="6" t="s">
        <v>28</v>
      </c>
      <c r="T959" s="7">
        <f t="shared" si="70"/>
        <v>0.36065901639344261</v>
      </c>
      <c r="U959" s="6">
        <f t="shared" si="71"/>
        <v>5</v>
      </c>
      <c r="V959" s="5" t="str">
        <f t="shared" si="72"/>
        <v>GOOD</v>
      </c>
      <c r="W959" s="6" t="str">
        <f t="shared" si="73"/>
        <v>55+</v>
      </c>
      <c r="X959" s="6" t="str">
        <f t="shared" si="74"/>
        <v>Lower-Middle</v>
      </c>
    </row>
    <row r="960" spans="1:24">
      <c r="A960" s="6" t="s">
        <v>519</v>
      </c>
      <c r="B960" s="6" t="s">
        <v>2221</v>
      </c>
      <c r="C960" s="6" t="s">
        <v>84</v>
      </c>
      <c r="D960" s="6" t="s">
        <v>183</v>
      </c>
      <c r="E960" s="6" t="s">
        <v>184</v>
      </c>
      <c r="F960" s="6">
        <v>45</v>
      </c>
      <c r="G960" s="6" t="s">
        <v>34</v>
      </c>
      <c r="H960" s="6" t="s">
        <v>2222</v>
      </c>
      <c r="I960" s="6" t="s">
        <v>3699</v>
      </c>
      <c r="J960" s="8">
        <v>45485</v>
      </c>
      <c r="K960" s="8">
        <v>45304</v>
      </c>
      <c r="L960" s="6">
        <v>4300.25</v>
      </c>
      <c r="M960" s="6">
        <v>14600.6</v>
      </c>
      <c r="N960" s="6">
        <v>615</v>
      </c>
      <c r="O960" s="6">
        <v>42000</v>
      </c>
      <c r="P960" s="6" t="s">
        <v>76</v>
      </c>
      <c r="Q960" s="6" t="s">
        <v>43</v>
      </c>
      <c r="R960" s="6">
        <v>0</v>
      </c>
      <c r="S960" s="6" t="s">
        <v>28</v>
      </c>
      <c r="T960" s="7">
        <f t="shared" si="70"/>
        <v>0.34763333333333335</v>
      </c>
      <c r="U960" s="6">
        <f t="shared" si="71"/>
        <v>2</v>
      </c>
      <c r="V960" s="5" t="str">
        <f t="shared" si="72"/>
        <v>FAIR</v>
      </c>
      <c r="W960" s="6" t="str">
        <f t="shared" si="73"/>
        <v>45-54</v>
      </c>
      <c r="X960" s="6" t="str">
        <f t="shared" si="74"/>
        <v>Low</v>
      </c>
    </row>
    <row r="961" spans="1:24">
      <c r="A961" s="6" t="s">
        <v>522</v>
      </c>
      <c r="B961" s="6" t="s">
        <v>2223</v>
      </c>
      <c r="C961" s="6" t="s">
        <v>39</v>
      </c>
      <c r="D961" s="6" t="s">
        <v>40</v>
      </c>
      <c r="E961" s="6" t="s">
        <v>41</v>
      </c>
      <c r="F961" s="6">
        <v>73</v>
      </c>
      <c r="G961" s="6" t="s">
        <v>24</v>
      </c>
      <c r="H961" s="6" t="s">
        <v>2224</v>
      </c>
      <c r="I961" s="6" t="s">
        <v>3510</v>
      </c>
      <c r="J961" s="8">
        <v>43760</v>
      </c>
      <c r="K961" s="8">
        <v>45299</v>
      </c>
      <c r="L961" s="6">
        <v>215600.8</v>
      </c>
      <c r="M961" s="6">
        <v>116000.25</v>
      </c>
      <c r="N961" s="6">
        <v>660</v>
      </c>
      <c r="O961" s="6">
        <v>241000</v>
      </c>
      <c r="P961" s="6" t="s">
        <v>76</v>
      </c>
      <c r="Q961" s="6" t="s">
        <v>27</v>
      </c>
      <c r="R961" s="6">
        <v>0</v>
      </c>
      <c r="S961" s="6" t="s">
        <v>28</v>
      </c>
      <c r="T961" s="7">
        <f t="shared" si="70"/>
        <v>0.48132883817427385</v>
      </c>
      <c r="U961" s="6">
        <f t="shared" si="71"/>
        <v>7</v>
      </c>
      <c r="V961" s="5" t="str">
        <f t="shared" si="72"/>
        <v>FAIR</v>
      </c>
      <c r="W961" s="6" t="str">
        <f t="shared" si="73"/>
        <v>55+</v>
      </c>
      <c r="X961" s="6" t="str">
        <f t="shared" si="74"/>
        <v>High</v>
      </c>
    </row>
    <row r="962" spans="1:24">
      <c r="A962" s="6" t="s">
        <v>306</v>
      </c>
      <c r="B962" s="6" t="s">
        <v>2225</v>
      </c>
      <c r="C962" s="6" t="s">
        <v>46</v>
      </c>
      <c r="D962" s="6" t="s">
        <v>209</v>
      </c>
      <c r="E962" s="6" t="s">
        <v>447</v>
      </c>
      <c r="F962" s="6">
        <v>60</v>
      </c>
      <c r="G962" s="6" t="s">
        <v>34</v>
      </c>
      <c r="H962" s="6" t="s">
        <v>2226</v>
      </c>
      <c r="I962" s="6" t="s">
        <v>4160</v>
      </c>
      <c r="J962" s="8">
        <v>44614</v>
      </c>
      <c r="K962" s="8">
        <v>45302</v>
      </c>
      <c r="L962" s="6">
        <v>92000.9</v>
      </c>
      <c r="M962" s="6">
        <v>49800.75</v>
      </c>
      <c r="N962" s="6">
        <v>730</v>
      </c>
      <c r="O962" s="6">
        <v>145000</v>
      </c>
      <c r="P962" s="6" t="s">
        <v>26</v>
      </c>
      <c r="Q962" s="6" t="s">
        <v>27</v>
      </c>
      <c r="R962" s="6">
        <v>0</v>
      </c>
      <c r="S962" s="6" t="s">
        <v>28</v>
      </c>
      <c r="T962" s="7">
        <f t="shared" ref="T962:T1025" si="75">IFERROR(M962/O962,"")</f>
        <v>0.34345344827586205</v>
      </c>
      <c r="U962" s="6">
        <f t="shared" ref="U962:U1025" si="76">MAX($K$2:$K$1599)-K962</f>
        <v>4</v>
      </c>
      <c r="V962" s="5" t="str">
        <f t="shared" ref="V962:V1025" si="77">IF(N962&lt;670,"FAIR", IF(N962&lt;750,"GOOD",IF(N962&lt;800,"VERY GOOD","EXCEPTIONAL")))</f>
        <v>GOOD</v>
      </c>
      <c r="W962" s="6" t="str">
        <f t="shared" ref="W962:W1025" si="78">IF(F962&lt;25,"18-24",IF(F962&lt;35,"25-34",IF(F962&lt;45,"35-44",IF(F962&lt;55,"45-54","55+"))))</f>
        <v>55+</v>
      </c>
      <c r="X962" s="6" t="str">
        <f t="shared" ref="X962:X1025" si="79">IF(O962&lt;=_xlfn.QUARTILE.INC($O$2:$O$1599,1),"Low",IF(O962&lt;=_xlfn.QUARTILE.INC($O$2:$O$1599,2),"Lower-Middle",IF(O962&lt;=_xlfn.QUARTILE.INC($O$2:$O$1599,3),"Upper-Middle","High")))</f>
        <v>Upper-Middle</v>
      </c>
    </row>
    <row r="963" spans="1:24">
      <c r="A963" s="6" t="s">
        <v>527</v>
      </c>
      <c r="B963" s="6" t="s">
        <v>2227</v>
      </c>
      <c r="C963" s="6" t="s">
        <v>31</v>
      </c>
      <c r="D963" s="6" t="s">
        <v>32</v>
      </c>
      <c r="E963" s="6" t="s">
        <v>90</v>
      </c>
      <c r="F963" s="6">
        <v>49</v>
      </c>
      <c r="G963" s="6" t="s">
        <v>34</v>
      </c>
      <c r="H963" s="6" t="s">
        <v>2228</v>
      </c>
      <c r="I963" s="6" t="s">
        <v>3578</v>
      </c>
      <c r="J963" s="8">
        <v>45481</v>
      </c>
      <c r="K963" s="8">
        <v>45305</v>
      </c>
      <c r="L963" s="6">
        <v>17300.400000000001</v>
      </c>
      <c r="M963" s="6">
        <v>9600.25</v>
      </c>
      <c r="N963" s="6">
        <v>705</v>
      </c>
      <c r="O963" s="6">
        <v>59000</v>
      </c>
      <c r="P963" s="6" t="s">
        <v>26</v>
      </c>
      <c r="Q963" s="6" t="s">
        <v>43</v>
      </c>
      <c r="R963" s="6">
        <v>0</v>
      </c>
      <c r="S963" s="6" t="s">
        <v>28</v>
      </c>
      <c r="T963" s="7">
        <f t="shared" si="75"/>
        <v>0.16271610169491527</v>
      </c>
      <c r="U963" s="6">
        <f t="shared" si="76"/>
        <v>1</v>
      </c>
      <c r="V963" s="5" t="str">
        <f t="shared" si="77"/>
        <v>GOOD</v>
      </c>
      <c r="W963" s="6" t="str">
        <f t="shared" si="78"/>
        <v>45-54</v>
      </c>
      <c r="X963" s="6" t="str">
        <f t="shared" si="79"/>
        <v>Low</v>
      </c>
    </row>
    <row r="964" spans="1:24">
      <c r="A964" s="6" t="s">
        <v>530</v>
      </c>
      <c r="B964" s="6" t="s">
        <v>2229</v>
      </c>
      <c r="C964" s="6" t="s">
        <v>57</v>
      </c>
      <c r="D964" s="6" t="s">
        <v>219</v>
      </c>
      <c r="E964" s="6" t="s">
        <v>220</v>
      </c>
      <c r="F964" s="6">
        <v>54</v>
      </c>
      <c r="G964" s="6" t="s">
        <v>24</v>
      </c>
      <c r="H964" s="6" t="s">
        <v>2230</v>
      </c>
      <c r="I964" s="6" t="s">
        <v>4161</v>
      </c>
      <c r="J964" s="8">
        <v>45160</v>
      </c>
      <c r="K964" s="8">
        <v>45303</v>
      </c>
      <c r="L964" s="6">
        <v>36500.6</v>
      </c>
      <c r="M964" s="6">
        <v>14200.8</v>
      </c>
      <c r="N964" s="6">
        <v>710</v>
      </c>
      <c r="O964" s="6">
        <v>75000</v>
      </c>
      <c r="P964" s="6" t="s">
        <v>36</v>
      </c>
      <c r="Q964" s="6" t="s">
        <v>27</v>
      </c>
      <c r="R964" s="6">
        <v>0</v>
      </c>
      <c r="S964" s="6" t="s">
        <v>28</v>
      </c>
      <c r="T964" s="7">
        <f t="shared" si="75"/>
        <v>0.18934399999999998</v>
      </c>
      <c r="U964" s="6">
        <f t="shared" si="76"/>
        <v>3</v>
      </c>
      <c r="V964" s="5" t="str">
        <f t="shared" si="77"/>
        <v>GOOD</v>
      </c>
      <c r="W964" s="6" t="str">
        <f t="shared" si="78"/>
        <v>45-54</v>
      </c>
      <c r="X964" s="6" t="str">
        <f t="shared" si="79"/>
        <v>Lower-Middle</v>
      </c>
    </row>
    <row r="965" spans="1:24">
      <c r="A965" s="6" t="s">
        <v>533</v>
      </c>
      <c r="B965" s="6" t="s">
        <v>2231</v>
      </c>
      <c r="C965" s="6" t="s">
        <v>52</v>
      </c>
      <c r="D965" s="6" t="s">
        <v>204</v>
      </c>
      <c r="E965" s="6" t="s">
        <v>259</v>
      </c>
      <c r="F965" s="6">
        <v>61</v>
      </c>
      <c r="G965" s="6" t="s">
        <v>34</v>
      </c>
      <c r="H965" s="6" t="s">
        <v>2232</v>
      </c>
      <c r="I965" s="6" t="s">
        <v>3735</v>
      </c>
      <c r="J965" s="8">
        <v>44461</v>
      </c>
      <c r="K965" s="8">
        <v>45301</v>
      </c>
      <c r="L965" s="6">
        <v>67800.25</v>
      </c>
      <c r="M965" s="6">
        <v>40900.9</v>
      </c>
      <c r="N965" s="6">
        <v>695</v>
      </c>
      <c r="O965" s="6">
        <v>110000</v>
      </c>
      <c r="P965" s="6" t="s">
        <v>26</v>
      </c>
      <c r="Q965" s="6" t="s">
        <v>27</v>
      </c>
      <c r="R965" s="6">
        <v>0</v>
      </c>
      <c r="S965" s="6" t="s">
        <v>28</v>
      </c>
      <c r="T965" s="7">
        <f t="shared" si="75"/>
        <v>0.37182636363636368</v>
      </c>
      <c r="U965" s="6">
        <f t="shared" si="76"/>
        <v>5</v>
      </c>
      <c r="V965" s="5" t="str">
        <f t="shared" si="77"/>
        <v>GOOD</v>
      </c>
      <c r="W965" s="6" t="str">
        <f t="shared" si="78"/>
        <v>55+</v>
      </c>
      <c r="X965" s="6" t="str">
        <f t="shared" si="79"/>
        <v>Lower-Middle</v>
      </c>
    </row>
    <row r="966" spans="1:24">
      <c r="A966" s="6" t="s">
        <v>536</v>
      </c>
      <c r="B966" s="6" t="s">
        <v>2233</v>
      </c>
      <c r="C966" s="6" t="s">
        <v>39</v>
      </c>
      <c r="D966" s="6" t="s">
        <v>195</v>
      </c>
      <c r="E966" s="6" t="s">
        <v>300</v>
      </c>
      <c r="F966" s="6">
        <v>69</v>
      </c>
      <c r="G966" s="6" t="s">
        <v>24</v>
      </c>
      <c r="H966" s="6" t="s">
        <v>2234</v>
      </c>
      <c r="I966" s="6" t="s">
        <v>4162</v>
      </c>
      <c r="J966" s="8">
        <v>43912</v>
      </c>
      <c r="K966" s="8">
        <v>45300</v>
      </c>
      <c r="L966" s="6">
        <v>147800.4</v>
      </c>
      <c r="M966" s="6">
        <v>90000.6</v>
      </c>
      <c r="N966" s="6">
        <v>670</v>
      </c>
      <c r="O966" s="6">
        <v>177000</v>
      </c>
      <c r="P966" s="6" t="s">
        <v>76</v>
      </c>
      <c r="Q966" s="6" t="s">
        <v>27</v>
      </c>
      <c r="R966" s="6">
        <v>0</v>
      </c>
      <c r="S966" s="6" t="s">
        <v>28</v>
      </c>
      <c r="T966" s="7">
        <f t="shared" si="75"/>
        <v>0.50847796610169493</v>
      </c>
      <c r="U966" s="6">
        <f t="shared" si="76"/>
        <v>6</v>
      </c>
      <c r="V966" s="5" t="str">
        <f t="shared" si="77"/>
        <v>GOOD</v>
      </c>
      <c r="W966" s="6" t="str">
        <f t="shared" si="78"/>
        <v>55+</v>
      </c>
      <c r="X966" s="6" t="str">
        <f t="shared" si="79"/>
        <v>Upper-Middle</v>
      </c>
    </row>
    <row r="967" spans="1:24">
      <c r="A967" s="6" t="s">
        <v>539</v>
      </c>
      <c r="B967" s="6" t="s">
        <v>2235</v>
      </c>
      <c r="C967" s="6" t="s">
        <v>21</v>
      </c>
      <c r="D967" s="6" t="s">
        <v>58</v>
      </c>
      <c r="E967" s="6" t="s">
        <v>59</v>
      </c>
      <c r="F967" s="6">
        <v>77</v>
      </c>
      <c r="G967" s="6" t="s">
        <v>34</v>
      </c>
      <c r="H967" s="6" t="s">
        <v>2236</v>
      </c>
      <c r="I967" s="6" t="s">
        <v>3704</v>
      </c>
      <c r="J967" s="8">
        <v>43487</v>
      </c>
      <c r="K967" s="8">
        <v>45299</v>
      </c>
      <c r="L967" s="6">
        <v>314700.75</v>
      </c>
      <c r="M967" s="6">
        <v>107000.8</v>
      </c>
      <c r="N967" s="6">
        <v>835</v>
      </c>
      <c r="O967" s="6">
        <v>322000</v>
      </c>
      <c r="P967" s="6" t="s">
        <v>36</v>
      </c>
      <c r="Q967" s="6" t="s">
        <v>27</v>
      </c>
      <c r="R967" s="6">
        <v>0</v>
      </c>
      <c r="S967" s="6" t="s">
        <v>28</v>
      </c>
      <c r="T967" s="7">
        <f t="shared" si="75"/>
        <v>0.33230062111801245</v>
      </c>
      <c r="U967" s="6">
        <f t="shared" si="76"/>
        <v>7</v>
      </c>
      <c r="V967" s="5" t="str">
        <f t="shared" si="77"/>
        <v>EXCEPTIONAL</v>
      </c>
      <c r="W967" s="6" t="str">
        <f t="shared" si="78"/>
        <v>55+</v>
      </c>
      <c r="X967" s="6" t="str">
        <f t="shared" si="79"/>
        <v>High</v>
      </c>
    </row>
    <row r="968" spans="1:24">
      <c r="A968" s="6" t="s">
        <v>542</v>
      </c>
      <c r="B968" s="6" t="s">
        <v>2237</v>
      </c>
      <c r="C968" s="6" t="s">
        <v>52</v>
      </c>
      <c r="D968" s="6" t="s">
        <v>68</v>
      </c>
      <c r="E968" s="6" t="s">
        <v>179</v>
      </c>
      <c r="F968" s="6">
        <v>64</v>
      </c>
      <c r="G968" s="6" t="s">
        <v>34</v>
      </c>
      <c r="H968" s="6" t="s">
        <v>2238</v>
      </c>
      <c r="I968" s="6" t="s">
        <v>4150</v>
      </c>
      <c r="J968" s="8">
        <v>44430</v>
      </c>
      <c r="K968" s="8">
        <v>45302</v>
      </c>
      <c r="L968" s="6">
        <v>76500.600000000006</v>
      </c>
      <c r="M968" s="6">
        <v>46500.25</v>
      </c>
      <c r="N968" s="6">
        <v>665</v>
      </c>
      <c r="O968" s="6">
        <v>130000</v>
      </c>
      <c r="P968" s="6" t="s">
        <v>26</v>
      </c>
      <c r="Q968" s="6" t="s">
        <v>27</v>
      </c>
      <c r="R968" s="6">
        <v>0</v>
      </c>
      <c r="S968" s="6" t="s">
        <v>28</v>
      </c>
      <c r="T968" s="7">
        <f t="shared" si="75"/>
        <v>0.35769423076923079</v>
      </c>
      <c r="U968" s="6">
        <f t="shared" si="76"/>
        <v>4</v>
      </c>
      <c r="V968" s="5" t="str">
        <f t="shared" si="77"/>
        <v>FAIR</v>
      </c>
      <c r="W968" s="6" t="str">
        <f t="shared" si="78"/>
        <v>55+</v>
      </c>
      <c r="X968" s="6" t="str">
        <f t="shared" si="79"/>
        <v>Upper-Middle</v>
      </c>
    </row>
    <row r="969" spans="1:24">
      <c r="A969" s="6" t="s">
        <v>545</v>
      </c>
      <c r="B969" s="6" t="s">
        <v>2239</v>
      </c>
      <c r="C969" s="6" t="s">
        <v>46</v>
      </c>
      <c r="D969" s="6" t="s">
        <v>241</v>
      </c>
      <c r="E969" s="6" t="s">
        <v>242</v>
      </c>
      <c r="F969" s="6">
        <v>56</v>
      </c>
      <c r="G969" s="6" t="s">
        <v>24</v>
      </c>
      <c r="H969" s="6" t="s">
        <v>2240</v>
      </c>
      <c r="I969" s="6" t="s">
        <v>4163</v>
      </c>
      <c r="J969" s="8">
        <v>45068</v>
      </c>
      <c r="K969" s="8">
        <v>45303</v>
      </c>
      <c r="L969" s="6">
        <v>99800.8</v>
      </c>
      <c r="M969" s="6">
        <v>54000.4</v>
      </c>
      <c r="N969" s="6">
        <v>750</v>
      </c>
      <c r="O969" s="6">
        <v>156000</v>
      </c>
      <c r="P969" s="6" t="s">
        <v>26</v>
      </c>
      <c r="Q969" s="6" t="s">
        <v>27</v>
      </c>
      <c r="R969" s="6">
        <v>0</v>
      </c>
      <c r="S969" s="6" t="s">
        <v>28</v>
      </c>
      <c r="T969" s="7">
        <f t="shared" si="75"/>
        <v>0.34615641025641025</v>
      </c>
      <c r="U969" s="6">
        <f t="shared" si="76"/>
        <v>3</v>
      </c>
      <c r="V969" s="5" t="str">
        <f t="shared" si="77"/>
        <v>VERY GOOD</v>
      </c>
      <c r="W969" s="6" t="str">
        <f t="shared" si="78"/>
        <v>55+</v>
      </c>
      <c r="X969" s="6" t="str">
        <f t="shared" si="79"/>
        <v>Upper-Middle</v>
      </c>
    </row>
    <row r="970" spans="1:24">
      <c r="A970" s="6" t="s">
        <v>548</v>
      </c>
      <c r="B970" s="6" t="s">
        <v>2241</v>
      </c>
      <c r="C970" s="6" t="s">
        <v>57</v>
      </c>
      <c r="D970" s="6" t="s">
        <v>22</v>
      </c>
      <c r="E970" s="6" t="s">
        <v>381</v>
      </c>
      <c r="F970" s="6">
        <v>52</v>
      </c>
      <c r="G970" s="6" t="s">
        <v>34</v>
      </c>
      <c r="H970" s="6" t="s">
        <v>2242</v>
      </c>
      <c r="I970" s="6" t="s">
        <v>3769</v>
      </c>
      <c r="J970" s="8">
        <v>45252</v>
      </c>
      <c r="K970" s="8">
        <v>45305</v>
      </c>
      <c r="L970" s="6">
        <v>38700.9</v>
      </c>
      <c r="M970" s="6">
        <v>15200.75</v>
      </c>
      <c r="N970" s="6">
        <v>770</v>
      </c>
      <c r="O970" s="6">
        <v>87000</v>
      </c>
      <c r="P970" s="6" t="s">
        <v>36</v>
      </c>
      <c r="Q970" s="6" t="s">
        <v>27</v>
      </c>
      <c r="R970" s="6">
        <v>0</v>
      </c>
      <c r="S970" s="6" t="s">
        <v>28</v>
      </c>
      <c r="T970" s="7">
        <f t="shared" si="75"/>
        <v>0.1747212643678161</v>
      </c>
      <c r="U970" s="6">
        <f t="shared" si="76"/>
        <v>1</v>
      </c>
      <c r="V970" s="5" t="str">
        <f t="shared" si="77"/>
        <v>VERY GOOD</v>
      </c>
      <c r="W970" s="6" t="str">
        <f t="shared" si="78"/>
        <v>45-54</v>
      </c>
      <c r="X970" s="6" t="str">
        <f t="shared" si="79"/>
        <v>Lower-Middle</v>
      </c>
    </row>
    <row r="971" spans="1:24">
      <c r="A971" s="6" t="s">
        <v>551</v>
      </c>
      <c r="B971" s="6" t="s">
        <v>2243</v>
      </c>
      <c r="C971" s="6" t="s">
        <v>39</v>
      </c>
      <c r="D971" s="6" t="s">
        <v>313</v>
      </c>
      <c r="E971" s="6" t="s">
        <v>501</v>
      </c>
      <c r="F971" s="6">
        <v>75</v>
      </c>
      <c r="G971" s="6" t="s">
        <v>24</v>
      </c>
      <c r="H971" s="6" t="s">
        <v>2244</v>
      </c>
      <c r="I971" s="6" t="s">
        <v>4164</v>
      </c>
      <c r="J971" s="8">
        <v>43668</v>
      </c>
      <c r="K971" s="8">
        <v>45299</v>
      </c>
      <c r="L971" s="6">
        <v>200900.25</v>
      </c>
      <c r="M971" s="6">
        <v>111000.8</v>
      </c>
      <c r="N971" s="6">
        <v>645</v>
      </c>
      <c r="O971" s="6">
        <v>227000</v>
      </c>
      <c r="P971" s="6" t="s">
        <v>76</v>
      </c>
      <c r="Q971" s="6" t="s">
        <v>27</v>
      </c>
      <c r="R971" s="6">
        <v>0</v>
      </c>
      <c r="S971" s="6" t="s">
        <v>28</v>
      </c>
      <c r="T971" s="7">
        <f t="shared" si="75"/>
        <v>0.48899030837004409</v>
      </c>
      <c r="U971" s="6">
        <f t="shared" si="76"/>
        <v>7</v>
      </c>
      <c r="V971" s="5" t="str">
        <f t="shared" si="77"/>
        <v>FAIR</v>
      </c>
      <c r="W971" s="6" t="str">
        <f t="shared" si="78"/>
        <v>55+</v>
      </c>
      <c r="X971" s="6" t="str">
        <f t="shared" si="79"/>
        <v>High</v>
      </c>
    </row>
    <row r="972" spans="1:24">
      <c r="A972" s="6" t="s">
        <v>554</v>
      </c>
      <c r="B972" s="6" t="s">
        <v>2245</v>
      </c>
      <c r="C972" s="6" t="s">
        <v>31</v>
      </c>
      <c r="D972" s="6" t="s">
        <v>214</v>
      </c>
      <c r="E972" s="6" t="s">
        <v>483</v>
      </c>
      <c r="F972" s="6">
        <v>48</v>
      </c>
      <c r="G972" s="6" t="s">
        <v>34</v>
      </c>
      <c r="H972" s="6" t="s">
        <v>2246</v>
      </c>
      <c r="I972" s="6" t="s">
        <v>4165</v>
      </c>
      <c r="J972" s="8">
        <v>45485</v>
      </c>
      <c r="K972" s="8">
        <v>45306</v>
      </c>
      <c r="L972" s="6">
        <v>32200.5</v>
      </c>
      <c r="M972" s="6">
        <v>14800.4</v>
      </c>
      <c r="N972" s="6">
        <v>720</v>
      </c>
      <c r="O972" s="6">
        <v>64000</v>
      </c>
      <c r="P972" s="6" t="s">
        <v>36</v>
      </c>
      <c r="Q972" s="6" t="s">
        <v>27</v>
      </c>
      <c r="R972" s="6">
        <v>0</v>
      </c>
      <c r="S972" s="6" t="s">
        <v>28</v>
      </c>
      <c r="T972" s="7">
        <f t="shared" si="75"/>
        <v>0.23125625</v>
      </c>
      <c r="U972" s="6">
        <f t="shared" si="76"/>
        <v>0</v>
      </c>
      <c r="V972" s="5" t="str">
        <f t="shared" si="77"/>
        <v>GOOD</v>
      </c>
      <c r="W972" s="6" t="str">
        <f t="shared" si="78"/>
        <v>45-54</v>
      </c>
      <c r="X972" s="6" t="str">
        <f t="shared" si="79"/>
        <v>Low</v>
      </c>
    </row>
    <row r="973" spans="1:24">
      <c r="A973" s="6" t="s">
        <v>108</v>
      </c>
      <c r="B973" s="6" t="s">
        <v>2247</v>
      </c>
      <c r="C973" s="6" t="s">
        <v>84</v>
      </c>
      <c r="D973" s="6" t="s">
        <v>32</v>
      </c>
      <c r="E973" s="6" t="s">
        <v>33</v>
      </c>
      <c r="F973" s="6">
        <v>44</v>
      </c>
      <c r="G973" s="6" t="s">
        <v>24</v>
      </c>
      <c r="H973" s="6" t="s">
        <v>2248</v>
      </c>
      <c r="I973" s="6" t="s">
        <v>3688</v>
      </c>
      <c r="J973" s="8">
        <v>45488</v>
      </c>
      <c r="K973" s="8">
        <v>45304</v>
      </c>
      <c r="L973" s="6">
        <v>4050.8</v>
      </c>
      <c r="M973" s="6">
        <v>13000.25</v>
      </c>
      <c r="N973" s="6">
        <v>605</v>
      </c>
      <c r="O973" s="6">
        <v>40000</v>
      </c>
      <c r="P973" s="6" t="s">
        <v>76</v>
      </c>
      <c r="Q973" s="6" t="s">
        <v>43</v>
      </c>
      <c r="R973" s="6">
        <v>0</v>
      </c>
      <c r="S973" s="6" t="s">
        <v>28</v>
      </c>
      <c r="T973" s="7">
        <f t="shared" si="75"/>
        <v>0.32500625</v>
      </c>
      <c r="U973" s="6">
        <f t="shared" si="76"/>
        <v>2</v>
      </c>
      <c r="V973" s="5" t="str">
        <f t="shared" si="77"/>
        <v>FAIR</v>
      </c>
      <c r="W973" s="6" t="str">
        <f t="shared" si="78"/>
        <v>35-44</v>
      </c>
      <c r="X973" s="6" t="str">
        <f t="shared" si="79"/>
        <v>Low</v>
      </c>
    </row>
    <row r="974" spans="1:24">
      <c r="A974" s="6" t="s">
        <v>559</v>
      </c>
      <c r="B974" s="6" t="s">
        <v>2249</v>
      </c>
      <c r="C974" s="6" t="s">
        <v>46</v>
      </c>
      <c r="D974" s="6" t="s">
        <v>254</v>
      </c>
      <c r="E974" s="6" t="s">
        <v>255</v>
      </c>
      <c r="F974" s="6">
        <v>58</v>
      </c>
      <c r="G974" s="6" t="s">
        <v>34</v>
      </c>
      <c r="H974" s="6" t="s">
        <v>2250</v>
      </c>
      <c r="I974" s="6" t="s">
        <v>4166</v>
      </c>
      <c r="J974" s="8">
        <v>44948</v>
      </c>
      <c r="K974" s="8">
        <v>45302</v>
      </c>
      <c r="L974" s="6">
        <v>86500.4</v>
      </c>
      <c r="M974" s="6">
        <v>48700.75</v>
      </c>
      <c r="N974" s="6">
        <v>710</v>
      </c>
      <c r="O974" s="6">
        <v>138000</v>
      </c>
      <c r="P974" s="6" t="s">
        <v>26</v>
      </c>
      <c r="Q974" s="6" t="s">
        <v>27</v>
      </c>
      <c r="R974" s="6">
        <v>0</v>
      </c>
      <c r="S974" s="6" t="s">
        <v>28</v>
      </c>
      <c r="T974" s="7">
        <f t="shared" si="75"/>
        <v>0.35290398550724639</v>
      </c>
      <c r="U974" s="6">
        <f t="shared" si="76"/>
        <v>4</v>
      </c>
      <c r="V974" s="5" t="str">
        <f t="shared" si="77"/>
        <v>GOOD</v>
      </c>
      <c r="W974" s="6" t="str">
        <f t="shared" si="78"/>
        <v>55+</v>
      </c>
      <c r="X974" s="6" t="str">
        <f t="shared" si="79"/>
        <v>Upper-Middle</v>
      </c>
    </row>
    <row r="975" spans="1:24">
      <c r="A975" s="6" t="s">
        <v>562</v>
      </c>
      <c r="B975" s="6" t="s">
        <v>2251</v>
      </c>
      <c r="C975" s="6" t="s">
        <v>39</v>
      </c>
      <c r="D975" s="6" t="s">
        <v>47</v>
      </c>
      <c r="E975" s="6" t="s">
        <v>48</v>
      </c>
      <c r="F975" s="6">
        <v>72</v>
      </c>
      <c r="G975" s="6" t="s">
        <v>24</v>
      </c>
      <c r="H975" s="6" t="s">
        <v>2252</v>
      </c>
      <c r="I975" s="6" t="s">
        <v>3710</v>
      </c>
      <c r="J975" s="8">
        <v>43821</v>
      </c>
      <c r="K975" s="8">
        <v>45300</v>
      </c>
      <c r="L975" s="6">
        <v>181100.6</v>
      </c>
      <c r="M975" s="6">
        <v>104000.25</v>
      </c>
      <c r="N975" s="6">
        <v>675</v>
      </c>
      <c r="O975" s="6">
        <v>207000</v>
      </c>
      <c r="P975" s="6" t="s">
        <v>76</v>
      </c>
      <c r="Q975" s="6" t="s">
        <v>27</v>
      </c>
      <c r="R975" s="6">
        <v>0</v>
      </c>
      <c r="S975" s="6" t="s">
        <v>28</v>
      </c>
      <c r="T975" s="7">
        <f t="shared" si="75"/>
        <v>0.50241666666666662</v>
      </c>
      <c r="U975" s="6">
        <f t="shared" si="76"/>
        <v>6</v>
      </c>
      <c r="V975" s="5" t="str">
        <f t="shared" si="77"/>
        <v>GOOD</v>
      </c>
      <c r="W975" s="6" t="str">
        <f t="shared" si="78"/>
        <v>55+</v>
      </c>
      <c r="X975" s="6" t="str">
        <f t="shared" si="79"/>
        <v>High</v>
      </c>
    </row>
    <row r="976" spans="1:24">
      <c r="A976" s="6" t="s">
        <v>565</v>
      </c>
      <c r="B976" s="6" t="s">
        <v>2253</v>
      </c>
      <c r="C976" s="6" t="s">
        <v>52</v>
      </c>
      <c r="D976" s="6" t="s">
        <v>233</v>
      </c>
      <c r="E976" s="6" t="s">
        <v>296</v>
      </c>
      <c r="F976" s="6">
        <v>57</v>
      </c>
      <c r="G976" s="6" t="s">
        <v>34</v>
      </c>
      <c r="H976" s="6" t="s">
        <v>2254</v>
      </c>
      <c r="I976" s="6" t="s">
        <v>3711</v>
      </c>
      <c r="J976" s="8">
        <v>44734</v>
      </c>
      <c r="K976" s="8">
        <v>45301</v>
      </c>
      <c r="L976" s="6">
        <v>62900.75</v>
      </c>
      <c r="M976" s="6">
        <v>39800.800000000003</v>
      </c>
      <c r="N976" s="6">
        <v>725</v>
      </c>
      <c r="O976" s="6">
        <v>104000</v>
      </c>
      <c r="P976" s="6" t="s">
        <v>26</v>
      </c>
      <c r="Q976" s="6" t="s">
        <v>27</v>
      </c>
      <c r="R976" s="6">
        <v>0</v>
      </c>
      <c r="S976" s="6" t="s">
        <v>28</v>
      </c>
      <c r="T976" s="7">
        <f t="shared" si="75"/>
        <v>0.38270000000000004</v>
      </c>
      <c r="U976" s="6">
        <f t="shared" si="76"/>
        <v>5</v>
      </c>
      <c r="V976" s="5" t="str">
        <f t="shared" si="77"/>
        <v>GOOD</v>
      </c>
      <c r="W976" s="6" t="str">
        <f t="shared" si="78"/>
        <v>55+</v>
      </c>
      <c r="X976" s="6" t="str">
        <f t="shared" si="79"/>
        <v>Lower-Middle</v>
      </c>
    </row>
    <row r="977" spans="1:24">
      <c r="A977" s="6" t="s">
        <v>568</v>
      </c>
      <c r="B977" s="6" t="s">
        <v>2255</v>
      </c>
      <c r="C977" s="6" t="s">
        <v>57</v>
      </c>
      <c r="D977" s="6" t="s">
        <v>79</v>
      </c>
      <c r="E977" s="6" t="s">
        <v>102</v>
      </c>
      <c r="F977" s="6">
        <v>55</v>
      </c>
      <c r="G977" s="6" t="s">
        <v>24</v>
      </c>
      <c r="H977" s="6" t="s">
        <v>2256</v>
      </c>
      <c r="I977" s="6" t="s">
        <v>3712</v>
      </c>
      <c r="J977" s="8">
        <v>45191</v>
      </c>
      <c r="K977" s="8">
        <v>45303</v>
      </c>
      <c r="L977" s="6">
        <v>40900.400000000001</v>
      </c>
      <c r="M977" s="6">
        <v>16000.9</v>
      </c>
      <c r="N977" s="6">
        <v>740</v>
      </c>
      <c r="O977" s="6">
        <v>90000</v>
      </c>
      <c r="P977" s="6" t="s">
        <v>36</v>
      </c>
      <c r="Q977" s="6" t="s">
        <v>27</v>
      </c>
      <c r="R977" s="6">
        <v>0</v>
      </c>
      <c r="S977" s="6" t="s">
        <v>28</v>
      </c>
      <c r="T977" s="7">
        <f t="shared" si="75"/>
        <v>0.17778777777777777</v>
      </c>
      <c r="U977" s="6">
        <f t="shared" si="76"/>
        <v>3</v>
      </c>
      <c r="V977" s="5" t="str">
        <f t="shared" si="77"/>
        <v>GOOD</v>
      </c>
      <c r="W977" s="6" t="str">
        <f t="shared" si="78"/>
        <v>55+</v>
      </c>
      <c r="X977" s="6" t="str">
        <f t="shared" si="79"/>
        <v>Lower-Middle</v>
      </c>
    </row>
    <row r="978" spans="1:24">
      <c r="A978" s="6" t="s">
        <v>571</v>
      </c>
      <c r="B978" s="6" t="s">
        <v>2257</v>
      </c>
      <c r="C978" s="6" t="s">
        <v>21</v>
      </c>
      <c r="D978" s="6" t="s">
        <v>63</v>
      </c>
      <c r="E978" s="6" t="s">
        <v>106</v>
      </c>
      <c r="F978" s="6">
        <v>78</v>
      </c>
      <c r="G978" s="6" t="s">
        <v>34</v>
      </c>
      <c r="H978" s="6" t="s">
        <v>2258</v>
      </c>
      <c r="I978" s="6" t="s">
        <v>4167</v>
      </c>
      <c r="J978" s="8">
        <v>43365</v>
      </c>
      <c r="K978" s="8">
        <v>45299</v>
      </c>
      <c r="L978" s="6">
        <v>270000.90000000002</v>
      </c>
      <c r="M978" s="6">
        <v>94000.6</v>
      </c>
      <c r="N978" s="6">
        <v>830</v>
      </c>
      <c r="O978" s="6">
        <v>302000</v>
      </c>
      <c r="P978" s="6" t="s">
        <v>36</v>
      </c>
      <c r="Q978" s="6" t="s">
        <v>27</v>
      </c>
      <c r="R978" s="6">
        <v>0</v>
      </c>
      <c r="S978" s="6" t="s">
        <v>28</v>
      </c>
      <c r="T978" s="7">
        <f t="shared" si="75"/>
        <v>0.31126026490066228</v>
      </c>
      <c r="U978" s="6">
        <f t="shared" si="76"/>
        <v>7</v>
      </c>
      <c r="V978" s="5" t="str">
        <f t="shared" si="77"/>
        <v>EXCEPTIONAL</v>
      </c>
      <c r="W978" s="6" t="str">
        <f t="shared" si="78"/>
        <v>55+</v>
      </c>
      <c r="X978" s="6" t="str">
        <f t="shared" si="79"/>
        <v>High</v>
      </c>
    </row>
    <row r="979" spans="1:24">
      <c r="A979" s="6" t="s">
        <v>574</v>
      </c>
      <c r="B979" s="6" t="s">
        <v>2259</v>
      </c>
      <c r="C979" s="6" t="s">
        <v>39</v>
      </c>
      <c r="D979" s="6" t="s">
        <v>68</v>
      </c>
      <c r="E979" s="6" t="s">
        <v>114</v>
      </c>
      <c r="F979" s="6">
        <v>70</v>
      </c>
      <c r="G979" s="6" t="s">
        <v>24</v>
      </c>
      <c r="H979" s="6" t="s">
        <v>2260</v>
      </c>
      <c r="I979" s="6" t="s">
        <v>4168</v>
      </c>
      <c r="J979" s="8">
        <v>43963</v>
      </c>
      <c r="K979" s="8">
        <v>45300</v>
      </c>
      <c r="L979" s="6">
        <v>158900.25</v>
      </c>
      <c r="M979" s="6">
        <v>96000.4</v>
      </c>
      <c r="N979" s="6">
        <v>655</v>
      </c>
      <c r="O979" s="6">
        <v>192000</v>
      </c>
      <c r="P979" s="6" t="s">
        <v>76</v>
      </c>
      <c r="Q979" s="6" t="s">
        <v>27</v>
      </c>
      <c r="R979" s="6">
        <v>0</v>
      </c>
      <c r="S979" s="6" t="s">
        <v>28</v>
      </c>
      <c r="T979" s="7">
        <f t="shared" si="75"/>
        <v>0.50000208333333329</v>
      </c>
      <c r="U979" s="6">
        <f t="shared" si="76"/>
        <v>6</v>
      </c>
      <c r="V979" s="5" t="str">
        <f t="shared" si="77"/>
        <v>FAIR</v>
      </c>
      <c r="W979" s="6" t="str">
        <f t="shared" si="78"/>
        <v>55+</v>
      </c>
      <c r="X979" s="6" t="str">
        <f t="shared" si="79"/>
        <v>High</v>
      </c>
    </row>
    <row r="980" spans="1:24">
      <c r="A980" s="6" t="s">
        <v>577</v>
      </c>
      <c r="B980" s="6" t="s">
        <v>2261</v>
      </c>
      <c r="C980" s="6" t="s">
        <v>46</v>
      </c>
      <c r="D980" s="6" t="s">
        <v>85</v>
      </c>
      <c r="E980" s="6" t="s">
        <v>130</v>
      </c>
      <c r="F980" s="6">
        <v>59</v>
      </c>
      <c r="G980" s="6" t="s">
        <v>34</v>
      </c>
      <c r="H980" s="6" t="s">
        <v>2262</v>
      </c>
      <c r="I980" s="6" t="s">
        <v>3778</v>
      </c>
      <c r="J980" s="8">
        <v>44856</v>
      </c>
      <c r="K980" s="8">
        <v>45302</v>
      </c>
      <c r="L980" s="6">
        <v>105400.6</v>
      </c>
      <c r="M980" s="6">
        <v>56700.75</v>
      </c>
      <c r="N980" s="6">
        <v>760</v>
      </c>
      <c r="O980" s="6">
        <v>161000</v>
      </c>
      <c r="P980" s="6" t="s">
        <v>26</v>
      </c>
      <c r="Q980" s="6" t="s">
        <v>27</v>
      </c>
      <c r="R980" s="6">
        <v>0</v>
      </c>
      <c r="S980" s="6" t="s">
        <v>28</v>
      </c>
      <c r="T980" s="7">
        <f t="shared" si="75"/>
        <v>0.35217857142857145</v>
      </c>
      <c r="U980" s="6">
        <f t="shared" si="76"/>
        <v>4</v>
      </c>
      <c r="V980" s="5" t="str">
        <f t="shared" si="77"/>
        <v>VERY GOOD</v>
      </c>
      <c r="W980" s="6" t="str">
        <f t="shared" si="78"/>
        <v>55+</v>
      </c>
      <c r="X980" s="6" t="str">
        <f t="shared" si="79"/>
        <v>Upper-Middle</v>
      </c>
    </row>
    <row r="981" spans="1:24">
      <c r="A981" s="6" t="s">
        <v>458</v>
      </c>
      <c r="B981" s="6" t="s">
        <v>2263</v>
      </c>
      <c r="C981" s="6" t="s">
        <v>31</v>
      </c>
      <c r="D981" s="6" t="s">
        <v>460</v>
      </c>
      <c r="E981" s="6" t="s">
        <v>663</v>
      </c>
      <c r="F981" s="6">
        <v>50</v>
      </c>
      <c r="G981" s="6" t="s">
        <v>24</v>
      </c>
      <c r="H981" s="6" t="s">
        <v>2264</v>
      </c>
      <c r="I981" s="6" t="s">
        <v>4169</v>
      </c>
      <c r="J981" s="8">
        <v>45481</v>
      </c>
      <c r="K981" s="8">
        <v>45306</v>
      </c>
      <c r="L981" s="6">
        <v>19400.25</v>
      </c>
      <c r="M981" s="6">
        <v>11500.8</v>
      </c>
      <c r="N981" s="6">
        <v>695</v>
      </c>
      <c r="O981" s="6">
        <v>61000</v>
      </c>
      <c r="P981" s="6" t="s">
        <v>26</v>
      </c>
      <c r="Q981" s="6" t="s">
        <v>43</v>
      </c>
      <c r="R981" s="6">
        <v>0</v>
      </c>
      <c r="S981" s="6" t="s">
        <v>28</v>
      </c>
      <c r="T981" s="7">
        <f t="shared" si="75"/>
        <v>0.18853770491803276</v>
      </c>
      <c r="U981" s="6">
        <f t="shared" si="76"/>
        <v>0</v>
      </c>
      <c r="V981" s="5" t="str">
        <f t="shared" si="77"/>
        <v>GOOD</v>
      </c>
      <c r="W981" s="6" t="str">
        <f t="shared" si="78"/>
        <v>45-54</v>
      </c>
      <c r="X981" s="6" t="str">
        <f t="shared" si="79"/>
        <v>Low</v>
      </c>
    </row>
    <row r="982" spans="1:24">
      <c r="A982" s="6" t="s">
        <v>582</v>
      </c>
      <c r="B982" s="6" t="s">
        <v>2265</v>
      </c>
      <c r="C982" s="6" t="s">
        <v>57</v>
      </c>
      <c r="D982" s="6" t="s">
        <v>22</v>
      </c>
      <c r="E982" s="6" t="s">
        <v>23</v>
      </c>
      <c r="F982" s="6">
        <v>53</v>
      </c>
      <c r="G982" s="6" t="s">
        <v>34</v>
      </c>
      <c r="H982" s="6" t="s">
        <v>2266</v>
      </c>
      <c r="I982" s="6" t="s">
        <v>3949</v>
      </c>
      <c r="J982" s="8">
        <v>45129</v>
      </c>
      <c r="K982" s="8">
        <v>45303</v>
      </c>
      <c r="L982" s="6">
        <v>39800.9</v>
      </c>
      <c r="M982" s="6">
        <v>15600.25</v>
      </c>
      <c r="N982" s="6">
        <v>755</v>
      </c>
      <c r="O982" s="6">
        <v>83000</v>
      </c>
      <c r="P982" s="6" t="s">
        <v>36</v>
      </c>
      <c r="Q982" s="6" t="s">
        <v>27</v>
      </c>
      <c r="R982" s="6">
        <v>0</v>
      </c>
      <c r="S982" s="6" t="s">
        <v>28</v>
      </c>
      <c r="T982" s="7">
        <f t="shared" si="75"/>
        <v>0.18795481927710844</v>
      </c>
      <c r="U982" s="6">
        <f t="shared" si="76"/>
        <v>3</v>
      </c>
      <c r="V982" s="5" t="str">
        <f t="shared" si="77"/>
        <v>VERY GOOD</v>
      </c>
      <c r="W982" s="6" t="str">
        <f t="shared" si="78"/>
        <v>45-54</v>
      </c>
      <c r="X982" s="6" t="str">
        <f t="shared" si="79"/>
        <v>Lower-Middle</v>
      </c>
    </row>
    <row r="983" spans="1:24">
      <c r="A983" s="6" t="s">
        <v>55</v>
      </c>
      <c r="B983" s="6" t="s">
        <v>2267</v>
      </c>
      <c r="C983" s="6" t="s">
        <v>39</v>
      </c>
      <c r="D983" s="6" t="s">
        <v>58</v>
      </c>
      <c r="E983" s="6" t="s">
        <v>122</v>
      </c>
      <c r="F983" s="6">
        <v>71</v>
      </c>
      <c r="G983" s="6" t="s">
        <v>24</v>
      </c>
      <c r="H983" s="6" t="s">
        <v>2268</v>
      </c>
      <c r="I983" s="6" t="s">
        <v>3718</v>
      </c>
      <c r="J983" s="8">
        <v>43883</v>
      </c>
      <c r="K983" s="8">
        <v>45300</v>
      </c>
      <c r="L983" s="6">
        <v>191800.4</v>
      </c>
      <c r="M983" s="6">
        <v>109000.75</v>
      </c>
      <c r="N983" s="6">
        <v>685</v>
      </c>
      <c r="O983" s="6">
        <v>217000</v>
      </c>
      <c r="P983" s="6" t="s">
        <v>76</v>
      </c>
      <c r="Q983" s="6" t="s">
        <v>27</v>
      </c>
      <c r="R983" s="6">
        <v>0</v>
      </c>
      <c r="S983" s="6" t="s">
        <v>28</v>
      </c>
      <c r="T983" s="7">
        <f t="shared" si="75"/>
        <v>0.50230760368663596</v>
      </c>
      <c r="U983" s="6">
        <f t="shared" si="76"/>
        <v>6</v>
      </c>
      <c r="V983" s="5" t="str">
        <f t="shared" si="77"/>
        <v>GOOD</v>
      </c>
      <c r="W983" s="6" t="str">
        <f t="shared" si="78"/>
        <v>55+</v>
      </c>
      <c r="X983" s="6" t="str">
        <f t="shared" si="79"/>
        <v>High</v>
      </c>
    </row>
    <row r="984" spans="1:24">
      <c r="A984" s="6" t="s">
        <v>469</v>
      </c>
      <c r="B984" s="6" t="s">
        <v>2269</v>
      </c>
      <c r="C984" s="6" t="s">
        <v>52</v>
      </c>
      <c r="D984" s="6" t="s">
        <v>471</v>
      </c>
      <c r="E984" s="6" t="s">
        <v>472</v>
      </c>
      <c r="F984" s="6">
        <v>62</v>
      </c>
      <c r="G984" s="6" t="s">
        <v>34</v>
      </c>
      <c r="H984" s="6" t="s">
        <v>2270</v>
      </c>
      <c r="I984" s="6" t="s">
        <v>4170</v>
      </c>
      <c r="J984" s="8">
        <v>44522</v>
      </c>
      <c r="K984" s="8">
        <v>45301</v>
      </c>
      <c r="L984" s="6">
        <v>69800.800000000003</v>
      </c>
      <c r="M984" s="6">
        <v>42900.6</v>
      </c>
      <c r="N984" s="6">
        <v>715</v>
      </c>
      <c r="O984" s="6">
        <v>116000</v>
      </c>
      <c r="P984" s="6" t="s">
        <v>26</v>
      </c>
      <c r="Q984" s="6" t="s">
        <v>27</v>
      </c>
      <c r="R984" s="6">
        <v>0</v>
      </c>
      <c r="S984" s="6" t="s">
        <v>28</v>
      </c>
      <c r="T984" s="7">
        <f t="shared" si="75"/>
        <v>0.36983275862068965</v>
      </c>
      <c r="U984" s="6">
        <f t="shared" si="76"/>
        <v>5</v>
      </c>
      <c r="V984" s="5" t="str">
        <f t="shared" si="77"/>
        <v>GOOD</v>
      </c>
      <c r="W984" s="6" t="str">
        <f t="shared" si="78"/>
        <v>55+</v>
      </c>
      <c r="X984" s="6" t="str">
        <f t="shared" si="79"/>
        <v>Lower-Middle</v>
      </c>
    </row>
    <row r="985" spans="1:24">
      <c r="A985" s="6" t="s">
        <v>474</v>
      </c>
      <c r="B985" s="6" t="s">
        <v>2271</v>
      </c>
      <c r="C985" s="6" t="s">
        <v>46</v>
      </c>
      <c r="D985" s="6" t="s">
        <v>345</v>
      </c>
      <c r="E985" s="6" t="s">
        <v>476</v>
      </c>
      <c r="F985" s="6">
        <v>65</v>
      </c>
      <c r="G985" s="6" t="s">
        <v>24</v>
      </c>
      <c r="H985" s="6" t="s">
        <v>2272</v>
      </c>
      <c r="I985" s="6" t="s">
        <v>3720</v>
      </c>
      <c r="J985" s="8">
        <v>44430</v>
      </c>
      <c r="K985" s="8">
        <v>45302</v>
      </c>
      <c r="L985" s="6">
        <v>97600.25</v>
      </c>
      <c r="M985" s="6">
        <v>52900.4</v>
      </c>
      <c r="N985" s="6">
        <v>680</v>
      </c>
      <c r="O985" s="6">
        <v>145000</v>
      </c>
      <c r="P985" s="6" t="s">
        <v>26</v>
      </c>
      <c r="Q985" s="6" t="s">
        <v>27</v>
      </c>
      <c r="R985" s="6">
        <v>0</v>
      </c>
      <c r="S985" s="6" t="s">
        <v>28</v>
      </c>
      <c r="T985" s="7">
        <f t="shared" si="75"/>
        <v>0.36483034482758619</v>
      </c>
      <c r="U985" s="6">
        <f t="shared" si="76"/>
        <v>4</v>
      </c>
      <c r="V985" s="5" t="str">
        <f t="shared" si="77"/>
        <v>GOOD</v>
      </c>
      <c r="W985" s="6" t="str">
        <f t="shared" si="78"/>
        <v>55+</v>
      </c>
      <c r="X985" s="6" t="str">
        <f t="shared" si="79"/>
        <v>Upper-Middle</v>
      </c>
    </row>
    <row r="986" spans="1:24">
      <c r="A986" s="6" t="s">
        <v>592</v>
      </c>
      <c r="B986" s="6" t="s">
        <v>2273</v>
      </c>
      <c r="C986" s="6" t="s">
        <v>84</v>
      </c>
      <c r="D986" s="6" t="s">
        <v>32</v>
      </c>
      <c r="E986" s="6" t="s">
        <v>90</v>
      </c>
      <c r="F986" s="6">
        <v>45</v>
      </c>
      <c r="G986" s="6" t="s">
        <v>34</v>
      </c>
      <c r="H986" s="6" t="s">
        <v>2274</v>
      </c>
      <c r="I986" s="6" t="s">
        <v>3721</v>
      </c>
      <c r="J986" s="8">
        <v>45495</v>
      </c>
      <c r="K986" s="8">
        <v>45304</v>
      </c>
      <c r="L986" s="6">
        <v>4150.3999999999996</v>
      </c>
      <c r="M986" s="6">
        <v>13600.75</v>
      </c>
      <c r="N986" s="6">
        <v>610</v>
      </c>
      <c r="O986" s="6">
        <v>41000</v>
      </c>
      <c r="P986" s="6" t="s">
        <v>76</v>
      </c>
      <c r="Q986" s="6" t="s">
        <v>43</v>
      </c>
      <c r="R986" s="6">
        <v>0</v>
      </c>
      <c r="S986" s="6" t="s">
        <v>28</v>
      </c>
      <c r="T986" s="7">
        <f t="shared" si="75"/>
        <v>0.33172560975609755</v>
      </c>
      <c r="U986" s="6">
        <f t="shared" si="76"/>
        <v>2</v>
      </c>
      <c r="V986" s="5" t="str">
        <f t="shared" si="77"/>
        <v>FAIR</v>
      </c>
      <c r="W986" s="6" t="str">
        <f t="shared" si="78"/>
        <v>45-54</v>
      </c>
      <c r="X986" s="6" t="str">
        <f t="shared" si="79"/>
        <v>Low</v>
      </c>
    </row>
    <row r="987" spans="1:24">
      <c r="A987" s="6" t="s">
        <v>595</v>
      </c>
      <c r="B987" s="6" t="s">
        <v>2275</v>
      </c>
      <c r="C987" s="6" t="s">
        <v>21</v>
      </c>
      <c r="D987" s="6" t="s">
        <v>209</v>
      </c>
      <c r="E987" s="6" t="s">
        <v>210</v>
      </c>
      <c r="F987" s="6">
        <v>77</v>
      </c>
      <c r="G987" s="6" t="s">
        <v>24</v>
      </c>
      <c r="H987" s="6" t="s">
        <v>2276</v>
      </c>
      <c r="I987" s="6" t="s">
        <v>3733</v>
      </c>
      <c r="J987" s="8">
        <v>43577</v>
      </c>
      <c r="K987" s="8">
        <v>45299</v>
      </c>
      <c r="L987" s="6">
        <v>289800.8</v>
      </c>
      <c r="M987" s="6">
        <v>100000.25</v>
      </c>
      <c r="N987" s="6">
        <v>825</v>
      </c>
      <c r="O987" s="6">
        <v>297000</v>
      </c>
      <c r="P987" s="6" t="s">
        <v>36</v>
      </c>
      <c r="Q987" s="6" t="s">
        <v>27</v>
      </c>
      <c r="R987" s="6">
        <v>0</v>
      </c>
      <c r="S987" s="6" t="s">
        <v>28</v>
      </c>
      <c r="T987" s="7">
        <f t="shared" si="75"/>
        <v>0.33670117845117847</v>
      </c>
      <c r="U987" s="6">
        <f t="shared" si="76"/>
        <v>7</v>
      </c>
      <c r="V987" s="5" t="str">
        <f t="shared" si="77"/>
        <v>EXCEPTIONAL</v>
      </c>
      <c r="W987" s="6" t="str">
        <f t="shared" si="78"/>
        <v>55+</v>
      </c>
      <c r="X987" s="6" t="str">
        <f t="shared" si="79"/>
        <v>High</v>
      </c>
    </row>
    <row r="988" spans="1:24">
      <c r="A988" s="6" t="s">
        <v>226</v>
      </c>
      <c r="B988" s="6" t="s">
        <v>2277</v>
      </c>
      <c r="C988" s="6" t="s">
        <v>57</v>
      </c>
      <c r="D988" s="6" t="s">
        <v>228</v>
      </c>
      <c r="E988" s="6" t="s">
        <v>678</v>
      </c>
      <c r="F988" s="6">
        <v>52</v>
      </c>
      <c r="G988" s="6" t="s">
        <v>34</v>
      </c>
      <c r="H988" s="6" t="s">
        <v>2278</v>
      </c>
      <c r="I988" s="6" t="s">
        <v>4171</v>
      </c>
      <c r="J988" s="8">
        <v>45313</v>
      </c>
      <c r="K988" s="8">
        <v>45305</v>
      </c>
      <c r="L988" s="6">
        <v>36500.75</v>
      </c>
      <c r="M988" s="6">
        <v>14000.4</v>
      </c>
      <c r="N988" s="6">
        <v>725</v>
      </c>
      <c r="O988" s="6">
        <v>73000</v>
      </c>
      <c r="P988" s="6" t="s">
        <v>36</v>
      </c>
      <c r="Q988" s="6" t="s">
        <v>27</v>
      </c>
      <c r="R988" s="6">
        <v>0</v>
      </c>
      <c r="S988" s="6" t="s">
        <v>28</v>
      </c>
      <c r="T988" s="7">
        <f t="shared" si="75"/>
        <v>0.19178630136986302</v>
      </c>
      <c r="U988" s="6">
        <f t="shared" si="76"/>
        <v>1</v>
      </c>
      <c r="V988" s="5" t="str">
        <f t="shared" si="77"/>
        <v>GOOD</v>
      </c>
      <c r="W988" s="6" t="str">
        <f t="shared" si="78"/>
        <v>45-54</v>
      </c>
      <c r="X988" s="6" t="str">
        <f t="shared" si="79"/>
        <v>Low</v>
      </c>
    </row>
    <row r="989" spans="1:24">
      <c r="A989" s="6" t="s">
        <v>488</v>
      </c>
      <c r="B989" s="6" t="s">
        <v>2279</v>
      </c>
      <c r="C989" s="6" t="s">
        <v>39</v>
      </c>
      <c r="D989" s="6" t="s">
        <v>304</v>
      </c>
      <c r="E989" s="6" t="s">
        <v>304</v>
      </c>
      <c r="F989" s="6">
        <v>69</v>
      </c>
      <c r="G989" s="6" t="s">
        <v>24</v>
      </c>
      <c r="H989" s="6" t="s">
        <v>2280</v>
      </c>
      <c r="I989" s="6" t="s">
        <v>4172</v>
      </c>
      <c r="J989" s="8">
        <v>44055</v>
      </c>
      <c r="K989" s="8">
        <v>45300</v>
      </c>
      <c r="L989" s="6">
        <v>170000.6</v>
      </c>
      <c r="M989" s="6">
        <v>100000.9</v>
      </c>
      <c r="N989" s="6">
        <v>675</v>
      </c>
      <c r="O989" s="6">
        <v>197000</v>
      </c>
      <c r="P989" s="6" t="s">
        <v>76</v>
      </c>
      <c r="Q989" s="6" t="s">
        <v>27</v>
      </c>
      <c r="R989" s="6">
        <v>0</v>
      </c>
      <c r="S989" s="6" t="s">
        <v>28</v>
      </c>
      <c r="T989" s="7">
        <f t="shared" si="75"/>
        <v>0.50761878172588826</v>
      </c>
      <c r="U989" s="6">
        <f t="shared" si="76"/>
        <v>6</v>
      </c>
      <c r="V989" s="5" t="str">
        <f t="shared" si="77"/>
        <v>GOOD</v>
      </c>
      <c r="W989" s="6" t="str">
        <f t="shared" si="78"/>
        <v>55+</v>
      </c>
      <c r="X989" s="6" t="str">
        <f t="shared" si="79"/>
        <v>High</v>
      </c>
    </row>
    <row r="990" spans="1:24">
      <c r="A990" s="6" t="s">
        <v>491</v>
      </c>
      <c r="B990" s="6" t="s">
        <v>2281</v>
      </c>
      <c r="C990" s="6" t="s">
        <v>52</v>
      </c>
      <c r="D990" s="6" t="s">
        <v>493</v>
      </c>
      <c r="E990" s="6" t="s">
        <v>494</v>
      </c>
      <c r="F990" s="6">
        <v>60</v>
      </c>
      <c r="G990" s="6" t="s">
        <v>34</v>
      </c>
      <c r="H990" s="6" t="s">
        <v>2282</v>
      </c>
      <c r="I990" s="6" t="s">
        <v>4173</v>
      </c>
      <c r="J990" s="8">
        <v>44826</v>
      </c>
      <c r="K990" s="8">
        <v>45302</v>
      </c>
      <c r="L990" s="6">
        <v>64000.4</v>
      </c>
      <c r="M990" s="6">
        <v>38700.25</v>
      </c>
      <c r="N990" s="6">
        <v>705</v>
      </c>
      <c r="O990" s="6">
        <v>105000</v>
      </c>
      <c r="P990" s="6" t="s">
        <v>26</v>
      </c>
      <c r="Q990" s="6" t="s">
        <v>27</v>
      </c>
      <c r="R990" s="6">
        <v>0</v>
      </c>
      <c r="S990" s="6" t="s">
        <v>28</v>
      </c>
      <c r="T990" s="7">
        <f t="shared" si="75"/>
        <v>0.36857380952380953</v>
      </c>
      <c r="U990" s="6">
        <f t="shared" si="76"/>
        <v>4</v>
      </c>
      <c r="V990" s="5" t="str">
        <f t="shared" si="77"/>
        <v>GOOD</v>
      </c>
      <c r="W990" s="6" t="str">
        <f t="shared" si="78"/>
        <v>55+</v>
      </c>
      <c r="X990" s="6" t="str">
        <f t="shared" si="79"/>
        <v>Lower-Middle</v>
      </c>
    </row>
    <row r="991" spans="1:24">
      <c r="A991" s="6" t="s">
        <v>496</v>
      </c>
      <c r="B991" s="6" t="s">
        <v>2283</v>
      </c>
      <c r="C991" s="6" t="s">
        <v>46</v>
      </c>
      <c r="D991" s="6" t="s">
        <v>321</v>
      </c>
      <c r="E991" s="6" t="s">
        <v>498</v>
      </c>
      <c r="F991" s="6">
        <v>63</v>
      </c>
      <c r="G991" s="6" t="s">
        <v>24</v>
      </c>
      <c r="H991" s="6" t="s">
        <v>2284</v>
      </c>
      <c r="I991" s="6" t="s">
        <v>4174</v>
      </c>
      <c r="J991" s="8">
        <v>44308</v>
      </c>
      <c r="K991" s="8">
        <v>45301</v>
      </c>
      <c r="L991" s="6">
        <v>110100.75</v>
      </c>
      <c r="M991" s="6">
        <v>59800.800000000003</v>
      </c>
      <c r="N991" s="6">
        <v>730</v>
      </c>
      <c r="O991" s="6">
        <v>171000</v>
      </c>
      <c r="P991" s="6" t="s">
        <v>26</v>
      </c>
      <c r="Q991" s="6" t="s">
        <v>27</v>
      </c>
      <c r="R991" s="6">
        <v>0</v>
      </c>
      <c r="S991" s="6" t="s">
        <v>28</v>
      </c>
      <c r="T991" s="7">
        <f t="shared" si="75"/>
        <v>0.34971228070175442</v>
      </c>
      <c r="U991" s="6">
        <f t="shared" si="76"/>
        <v>5</v>
      </c>
      <c r="V991" s="5" t="str">
        <f t="shared" si="77"/>
        <v>GOOD</v>
      </c>
      <c r="W991" s="6" t="str">
        <f t="shared" si="78"/>
        <v>55+</v>
      </c>
      <c r="X991" s="6" t="str">
        <f t="shared" si="79"/>
        <v>Upper-Middle</v>
      </c>
    </row>
    <row r="992" spans="1:24">
      <c r="A992" s="6" t="s">
        <v>324</v>
      </c>
      <c r="B992" s="6" t="s">
        <v>2285</v>
      </c>
      <c r="C992" s="6" t="s">
        <v>31</v>
      </c>
      <c r="D992" s="6" t="s">
        <v>313</v>
      </c>
      <c r="E992" s="6" t="s">
        <v>314</v>
      </c>
      <c r="F992" s="6">
        <v>48</v>
      </c>
      <c r="G992" s="6" t="s">
        <v>34</v>
      </c>
      <c r="H992" s="6" t="s">
        <v>2286</v>
      </c>
      <c r="I992" s="6" t="s">
        <v>4175</v>
      </c>
      <c r="J992" s="8">
        <v>45488</v>
      </c>
      <c r="K992" s="8">
        <v>45306</v>
      </c>
      <c r="L992" s="6">
        <v>16600.900000000001</v>
      </c>
      <c r="M992" s="6">
        <v>9700.75</v>
      </c>
      <c r="N992" s="6">
        <v>685</v>
      </c>
      <c r="O992" s="6">
        <v>58000</v>
      </c>
      <c r="P992" s="6" t="s">
        <v>26</v>
      </c>
      <c r="Q992" s="6" t="s">
        <v>43</v>
      </c>
      <c r="R992" s="6">
        <v>0</v>
      </c>
      <c r="S992" s="6" t="s">
        <v>28</v>
      </c>
      <c r="T992" s="7">
        <f t="shared" si="75"/>
        <v>0.16725431034482757</v>
      </c>
      <c r="U992" s="6">
        <f t="shared" si="76"/>
        <v>0</v>
      </c>
      <c r="V992" s="5" t="str">
        <f t="shared" si="77"/>
        <v>GOOD</v>
      </c>
      <c r="W992" s="6" t="str">
        <f t="shared" si="78"/>
        <v>45-54</v>
      </c>
      <c r="X992" s="6" t="str">
        <f t="shared" si="79"/>
        <v>Low</v>
      </c>
    </row>
    <row r="993" spans="1:24">
      <c r="A993" s="6" t="s">
        <v>503</v>
      </c>
      <c r="B993" s="6" t="s">
        <v>2287</v>
      </c>
      <c r="C993" s="6" t="s">
        <v>21</v>
      </c>
      <c r="D993" s="6" t="s">
        <v>32</v>
      </c>
      <c r="E993" s="6" t="s">
        <v>33</v>
      </c>
      <c r="F993" s="6">
        <v>80</v>
      </c>
      <c r="G993" s="6" t="s">
        <v>24</v>
      </c>
      <c r="H993" s="6" t="s">
        <v>2288</v>
      </c>
      <c r="I993" s="6" t="s">
        <v>3728</v>
      </c>
      <c r="J993" s="8">
        <v>43303</v>
      </c>
      <c r="K993" s="8">
        <v>45299</v>
      </c>
      <c r="L993" s="6">
        <v>300700.25</v>
      </c>
      <c r="M993" s="6">
        <v>104000.4</v>
      </c>
      <c r="N993" s="6">
        <v>840</v>
      </c>
      <c r="O993" s="6">
        <v>312000</v>
      </c>
      <c r="P993" s="6" t="s">
        <v>36</v>
      </c>
      <c r="Q993" s="6" t="s">
        <v>27</v>
      </c>
      <c r="R993" s="6">
        <v>0</v>
      </c>
      <c r="S993" s="6" t="s">
        <v>28</v>
      </c>
      <c r="T993" s="7">
        <f t="shared" si="75"/>
        <v>0.33333461538461534</v>
      </c>
      <c r="U993" s="6">
        <f t="shared" si="76"/>
        <v>7</v>
      </c>
      <c r="V993" s="5" t="str">
        <f t="shared" si="77"/>
        <v>EXCEPTIONAL</v>
      </c>
      <c r="W993" s="6" t="str">
        <f t="shared" si="78"/>
        <v>55+</v>
      </c>
      <c r="X993" s="6" t="str">
        <f t="shared" si="79"/>
        <v>High</v>
      </c>
    </row>
    <row r="994" spans="1:24">
      <c r="A994" s="6" t="s">
        <v>506</v>
      </c>
      <c r="B994" s="6" t="s">
        <v>2289</v>
      </c>
      <c r="C994" s="6" t="s">
        <v>39</v>
      </c>
      <c r="D994" s="6" t="s">
        <v>68</v>
      </c>
      <c r="E994" s="6" t="s">
        <v>69</v>
      </c>
      <c r="F994" s="6">
        <v>72</v>
      </c>
      <c r="G994" s="6" t="s">
        <v>34</v>
      </c>
      <c r="H994" s="6" t="s">
        <v>2290</v>
      </c>
      <c r="I994" s="6" t="s">
        <v>4150</v>
      </c>
      <c r="J994" s="8">
        <v>43821</v>
      </c>
      <c r="K994" s="8">
        <v>45300</v>
      </c>
      <c r="L994" s="6">
        <v>181100.4</v>
      </c>
      <c r="M994" s="6">
        <v>104000.75</v>
      </c>
      <c r="N994" s="6">
        <v>650</v>
      </c>
      <c r="O994" s="6">
        <v>207000</v>
      </c>
      <c r="P994" s="6" t="s">
        <v>76</v>
      </c>
      <c r="Q994" s="6" t="s">
        <v>27</v>
      </c>
      <c r="R994" s="6">
        <v>0</v>
      </c>
      <c r="S994" s="6" t="s">
        <v>28</v>
      </c>
      <c r="T994" s="7">
        <f t="shared" si="75"/>
        <v>0.50241908212560382</v>
      </c>
      <c r="U994" s="6">
        <f t="shared" si="76"/>
        <v>6</v>
      </c>
      <c r="V994" s="5" t="str">
        <f t="shared" si="77"/>
        <v>FAIR</v>
      </c>
      <c r="W994" s="6" t="str">
        <f t="shared" si="78"/>
        <v>55+</v>
      </c>
      <c r="X994" s="6" t="str">
        <f t="shared" si="79"/>
        <v>High</v>
      </c>
    </row>
    <row r="995" spans="1:24">
      <c r="A995" s="6" t="s">
        <v>509</v>
      </c>
      <c r="B995" s="6" t="s">
        <v>2291</v>
      </c>
      <c r="C995" s="6" t="s">
        <v>46</v>
      </c>
      <c r="D995" s="6" t="s">
        <v>73</v>
      </c>
      <c r="E995" s="6" t="s">
        <v>126</v>
      </c>
      <c r="F995" s="6">
        <v>59</v>
      </c>
      <c r="G995" s="6" t="s">
        <v>24</v>
      </c>
      <c r="H995" s="6" t="s">
        <v>2292</v>
      </c>
      <c r="I995" s="6" t="s">
        <v>4176</v>
      </c>
      <c r="J995" s="8">
        <v>45038</v>
      </c>
      <c r="K995" s="8">
        <v>45303</v>
      </c>
      <c r="L995" s="6">
        <v>98700.4</v>
      </c>
      <c r="M995" s="6">
        <v>54000.25</v>
      </c>
      <c r="N995" s="6">
        <v>745</v>
      </c>
      <c r="O995" s="6">
        <v>151000</v>
      </c>
      <c r="P995" s="6" t="s">
        <v>26</v>
      </c>
      <c r="Q995" s="6" t="s">
        <v>27</v>
      </c>
      <c r="R995" s="6">
        <v>0</v>
      </c>
      <c r="S995" s="6" t="s">
        <v>28</v>
      </c>
      <c r="T995" s="7">
        <f t="shared" si="75"/>
        <v>0.35761754966887416</v>
      </c>
      <c r="U995" s="6">
        <f t="shared" si="76"/>
        <v>3</v>
      </c>
      <c r="V995" s="5" t="str">
        <f t="shared" si="77"/>
        <v>GOOD</v>
      </c>
      <c r="W995" s="6" t="str">
        <f t="shared" si="78"/>
        <v>55+</v>
      </c>
      <c r="X995" s="6" t="str">
        <f t="shared" si="79"/>
        <v>Upper-Middle</v>
      </c>
    </row>
    <row r="996" spans="1:24">
      <c r="A996" s="6" t="s">
        <v>513</v>
      </c>
      <c r="B996" s="6" t="s">
        <v>2293</v>
      </c>
      <c r="C996" s="6" t="s">
        <v>57</v>
      </c>
      <c r="D996" s="6" t="s">
        <v>58</v>
      </c>
      <c r="E996" s="6" t="s">
        <v>59</v>
      </c>
      <c r="F996" s="6">
        <v>54</v>
      </c>
      <c r="G996" s="6" t="s">
        <v>34</v>
      </c>
      <c r="H996" s="6" t="s">
        <v>2294</v>
      </c>
      <c r="I996" s="6" t="s">
        <v>3730</v>
      </c>
      <c r="J996" s="8">
        <v>45221</v>
      </c>
      <c r="K996" s="8">
        <v>45302</v>
      </c>
      <c r="L996" s="6">
        <v>38700.800000000003</v>
      </c>
      <c r="M996" s="6">
        <v>15200.9</v>
      </c>
      <c r="N996" s="6">
        <v>765</v>
      </c>
      <c r="O996" s="6">
        <v>83000</v>
      </c>
      <c r="P996" s="6" t="s">
        <v>36</v>
      </c>
      <c r="Q996" s="6" t="s">
        <v>27</v>
      </c>
      <c r="R996" s="6">
        <v>0</v>
      </c>
      <c r="S996" s="6" t="s">
        <v>28</v>
      </c>
      <c r="T996" s="7">
        <f t="shared" si="75"/>
        <v>0.18314337349397589</v>
      </c>
      <c r="U996" s="6">
        <f t="shared" si="76"/>
        <v>4</v>
      </c>
      <c r="V996" s="5" t="str">
        <f t="shared" si="77"/>
        <v>VERY GOOD</v>
      </c>
      <c r="W996" s="6" t="str">
        <f t="shared" si="78"/>
        <v>45-54</v>
      </c>
      <c r="X996" s="6" t="str">
        <f t="shared" si="79"/>
        <v>Lower-Middle</v>
      </c>
    </row>
    <row r="997" spans="1:24">
      <c r="A997" s="6" t="s">
        <v>516</v>
      </c>
      <c r="B997" s="6" t="s">
        <v>2295</v>
      </c>
      <c r="C997" s="6" t="s">
        <v>52</v>
      </c>
      <c r="D997" s="6" t="s">
        <v>277</v>
      </c>
      <c r="E997" s="6" t="s">
        <v>278</v>
      </c>
      <c r="F997" s="6">
        <v>67</v>
      </c>
      <c r="G997" s="6" t="s">
        <v>24</v>
      </c>
      <c r="H997" s="6" t="s">
        <v>2296</v>
      </c>
      <c r="I997" s="6" t="s">
        <v>3731</v>
      </c>
      <c r="J997" s="8">
        <v>44491</v>
      </c>
      <c r="K997" s="8">
        <v>45301</v>
      </c>
      <c r="L997" s="6">
        <v>72000.75</v>
      </c>
      <c r="M997" s="6">
        <v>45100.4</v>
      </c>
      <c r="N997" s="6">
        <v>675</v>
      </c>
      <c r="O997" s="6">
        <v>123000</v>
      </c>
      <c r="P997" s="6" t="s">
        <v>26</v>
      </c>
      <c r="Q997" s="6" t="s">
        <v>27</v>
      </c>
      <c r="R997" s="6">
        <v>0</v>
      </c>
      <c r="S997" s="6" t="s">
        <v>28</v>
      </c>
      <c r="T997" s="7">
        <f t="shared" si="75"/>
        <v>0.36666991869918703</v>
      </c>
      <c r="U997" s="6">
        <f t="shared" si="76"/>
        <v>5</v>
      </c>
      <c r="V997" s="5" t="str">
        <f t="shared" si="77"/>
        <v>GOOD</v>
      </c>
      <c r="W997" s="6" t="str">
        <f t="shared" si="78"/>
        <v>55+</v>
      </c>
      <c r="X997" s="6" t="str">
        <f t="shared" si="79"/>
        <v>Lower-Middle</v>
      </c>
    </row>
    <row r="998" spans="1:24">
      <c r="A998" s="6" t="s">
        <v>519</v>
      </c>
      <c r="B998" s="6" t="s">
        <v>2297</v>
      </c>
      <c r="C998" s="6" t="s">
        <v>84</v>
      </c>
      <c r="D998" s="6" t="s">
        <v>183</v>
      </c>
      <c r="E998" s="6" t="s">
        <v>273</v>
      </c>
      <c r="F998" s="6">
        <v>46</v>
      </c>
      <c r="G998" s="6" t="s">
        <v>34</v>
      </c>
      <c r="H998" s="6" t="s">
        <v>2298</v>
      </c>
      <c r="I998" s="6" t="s">
        <v>3732</v>
      </c>
      <c r="J998" s="8">
        <v>45501</v>
      </c>
      <c r="K998" s="8">
        <v>45304</v>
      </c>
      <c r="L998" s="6">
        <v>4400.25</v>
      </c>
      <c r="M998" s="6">
        <v>14800.6</v>
      </c>
      <c r="N998" s="6">
        <v>615</v>
      </c>
      <c r="O998" s="6">
        <v>43000</v>
      </c>
      <c r="P998" s="6" t="s">
        <v>76</v>
      </c>
      <c r="Q998" s="6" t="s">
        <v>43</v>
      </c>
      <c r="R998" s="6">
        <v>0</v>
      </c>
      <c r="S998" s="6" t="s">
        <v>28</v>
      </c>
      <c r="T998" s="7">
        <f t="shared" si="75"/>
        <v>0.34420000000000001</v>
      </c>
      <c r="U998" s="6">
        <f t="shared" si="76"/>
        <v>2</v>
      </c>
      <c r="V998" s="5" t="str">
        <f t="shared" si="77"/>
        <v>FAIR</v>
      </c>
      <c r="W998" s="6" t="str">
        <f t="shared" si="78"/>
        <v>45-54</v>
      </c>
      <c r="X998" s="6" t="str">
        <f t="shared" si="79"/>
        <v>Low</v>
      </c>
    </row>
    <row r="999" spans="1:24">
      <c r="A999" s="6" t="s">
        <v>522</v>
      </c>
      <c r="B999" s="6" t="s">
        <v>2299</v>
      </c>
      <c r="C999" s="6" t="s">
        <v>39</v>
      </c>
      <c r="D999" s="6" t="s">
        <v>40</v>
      </c>
      <c r="E999" s="6" t="s">
        <v>94</v>
      </c>
      <c r="F999" s="6">
        <v>74</v>
      </c>
      <c r="G999" s="6" t="s">
        <v>24</v>
      </c>
      <c r="H999" s="6" t="s">
        <v>2300</v>
      </c>
      <c r="I999" s="6" t="s">
        <v>3510</v>
      </c>
      <c r="J999" s="8">
        <v>43791</v>
      </c>
      <c r="K999" s="8">
        <v>45299</v>
      </c>
      <c r="L999" s="6">
        <v>215700.8</v>
      </c>
      <c r="M999" s="6">
        <v>117000.25</v>
      </c>
      <c r="N999" s="6">
        <v>660</v>
      </c>
      <c r="O999" s="6">
        <v>242000</v>
      </c>
      <c r="P999" s="6" t="s">
        <v>76</v>
      </c>
      <c r="Q999" s="6" t="s">
        <v>27</v>
      </c>
      <c r="R999" s="6">
        <v>0</v>
      </c>
      <c r="S999" s="6" t="s">
        <v>28</v>
      </c>
      <c r="T999" s="7">
        <f t="shared" si="75"/>
        <v>0.48347210743801655</v>
      </c>
      <c r="U999" s="6">
        <f t="shared" si="76"/>
        <v>7</v>
      </c>
      <c r="V999" s="5" t="str">
        <f t="shared" si="77"/>
        <v>FAIR</v>
      </c>
      <c r="W999" s="6" t="str">
        <f t="shared" si="78"/>
        <v>55+</v>
      </c>
      <c r="X999" s="6" t="str">
        <f t="shared" si="79"/>
        <v>High</v>
      </c>
    </row>
    <row r="1000" spans="1:24">
      <c r="A1000" s="6" t="s">
        <v>306</v>
      </c>
      <c r="B1000" s="6" t="s">
        <v>2301</v>
      </c>
      <c r="C1000" s="6" t="s">
        <v>46</v>
      </c>
      <c r="D1000" s="6" t="s">
        <v>209</v>
      </c>
      <c r="E1000" s="6" t="s">
        <v>210</v>
      </c>
      <c r="F1000" s="6">
        <v>61</v>
      </c>
      <c r="G1000" s="6" t="s">
        <v>34</v>
      </c>
      <c r="H1000" s="6" t="s">
        <v>2302</v>
      </c>
      <c r="I1000" s="6" t="s">
        <v>4010</v>
      </c>
      <c r="J1000" s="8">
        <v>44642</v>
      </c>
      <c r="K1000" s="8">
        <v>45302</v>
      </c>
      <c r="L1000" s="6">
        <v>93100.9</v>
      </c>
      <c r="M1000" s="6">
        <v>50900.75</v>
      </c>
      <c r="N1000" s="6">
        <v>730</v>
      </c>
      <c r="O1000" s="6">
        <v>146000</v>
      </c>
      <c r="P1000" s="6" t="s">
        <v>26</v>
      </c>
      <c r="Q1000" s="6" t="s">
        <v>27</v>
      </c>
      <c r="R1000" s="6">
        <v>0</v>
      </c>
      <c r="S1000" s="6" t="s">
        <v>28</v>
      </c>
      <c r="T1000" s="7">
        <f t="shared" si="75"/>
        <v>0.34863527397260274</v>
      </c>
      <c r="U1000" s="6">
        <f t="shared" si="76"/>
        <v>4</v>
      </c>
      <c r="V1000" s="5" t="str">
        <f t="shared" si="77"/>
        <v>GOOD</v>
      </c>
      <c r="W1000" s="6" t="str">
        <f t="shared" si="78"/>
        <v>55+</v>
      </c>
      <c r="X1000" s="6" t="str">
        <f t="shared" si="79"/>
        <v>Upper-Middle</v>
      </c>
    </row>
    <row r="1001" spans="1:24">
      <c r="A1001" s="6" t="s">
        <v>527</v>
      </c>
      <c r="B1001" s="6" t="s">
        <v>2303</v>
      </c>
      <c r="C1001" s="6" t="s">
        <v>31</v>
      </c>
      <c r="D1001" s="6" t="s">
        <v>32</v>
      </c>
      <c r="E1001" s="6" t="s">
        <v>90</v>
      </c>
      <c r="F1001" s="6">
        <v>50</v>
      </c>
      <c r="G1001" s="6" t="s">
        <v>34</v>
      </c>
      <c r="H1001" s="6" t="s">
        <v>2304</v>
      </c>
      <c r="I1001" s="6" t="s">
        <v>3644</v>
      </c>
      <c r="J1001" s="8">
        <v>45495</v>
      </c>
      <c r="K1001" s="8">
        <v>45305</v>
      </c>
      <c r="L1001" s="6">
        <v>17700.400000000001</v>
      </c>
      <c r="M1001" s="6">
        <v>9800.25</v>
      </c>
      <c r="N1001" s="6">
        <v>705</v>
      </c>
      <c r="O1001" s="6">
        <v>60000</v>
      </c>
      <c r="P1001" s="6" t="s">
        <v>26</v>
      </c>
      <c r="Q1001" s="6" t="s">
        <v>43</v>
      </c>
      <c r="R1001" s="6">
        <v>0</v>
      </c>
      <c r="S1001" s="6" t="s">
        <v>28</v>
      </c>
      <c r="T1001" s="7">
        <f t="shared" si="75"/>
        <v>0.1633375</v>
      </c>
      <c r="U1001" s="6">
        <f t="shared" si="76"/>
        <v>1</v>
      </c>
      <c r="V1001" s="5" t="str">
        <f t="shared" si="77"/>
        <v>GOOD</v>
      </c>
      <c r="W1001" s="6" t="str">
        <f t="shared" si="78"/>
        <v>45-54</v>
      </c>
      <c r="X1001" s="6" t="str">
        <f t="shared" si="79"/>
        <v>Low</v>
      </c>
    </row>
    <row r="1002" spans="1:24">
      <c r="A1002" s="6" t="s">
        <v>530</v>
      </c>
      <c r="B1002" s="6" t="s">
        <v>2305</v>
      </c>
      <c r="C1002" s="6" t="s">
        <v>57</v>
      </c>
      <c r="D1002" s="6" t="s">
        <v>219</v>
      </c>
      <c r="E1002" s="6" t="s">
        <v>220</v>
      </c>
      <c r="F1002" s="6">
        <v>55</v>
      </c>
      <c r="G1002" s="6" t="s">
        <v>24</v>
      </c>
      <c r="H1002" s="6" t="s">
        <v>2306</v>
      </c>
      <c r="I1002" s="6" t="s">
        <v>4177</v>
      </c>
      <c r="J1002" s="8">
        <v>45191</v>
      </c>
      <c r="K1002" s="8">
        <v>45303</v>
      </c>
      <c r="L1002" s="6">
        <v>37600.6</v>
      </c>
      <c r="M1002" s="6">
        <v>14600.8</v>
      </c>
      <c r="N1002" s="6">
        <v>710</v>
      </c>
      <c r="O1002" s="6">
        <v>76000</v>
      </c>
      <c r="P1002" s="6" t="s">
        <v>36</v>
      </c>
      <c r="Q1002" s="6" t="s">
        <v>27</v>
      </c>
      <c r="R1002" s="6">
        <v>0</v>
      </c>
      <c r="S1002" s="6" t="s">
        <v>28</v>
      </c>
      <c r="T1002" s="7">
        <f t="shared" si="75"/>
        <v>0.19211578947368421</v>
      </c>
      <c r="U1002" s="6">
        <f t="shared" si="76"/>
        <v>3</v>
      </c>
      <c r="V1002" s="5" t="str">
        <f t="shared" si="77"/>
        <v>GOOD</v>
      </c>
      <c r="W1002" s="6" t="str">
        <f t="shared" si="78"/>
        <v>55+</v>
      </c>
      <c r="X1002" s="6" t="str">
        <f t="shared" si="79"/>
        <v>Lower-Middle</v>
      </c>
    </row>
    <row r="1003" spans="1:24">
      <c r="A1003" s="6" t="s">
        <v>533</v>
      </c>
      <c r="B1003" s="6" t="s">
        <v>2307</v>
      </c>
      <c r="C1003" s="6" t="s">
        <v>52</v>
      </c>
      <c r="D1003" s="6" t="s">
        <v>204</v>
      </c>
      <c r="E1003" s="6" t="s">
        <v>205</v>
      </c>
      <c r="F1003" s="6">
        <v>62</v>
      </c>
      <c r="G1003" s="6" t="s">
        <v>34</v>
      </c>
      <c r="H1003" s="6" t="s">
        <v>2308</v>
      </c>
      <c r="I1003" s="6" t="s">
        <v>4019</v>
      </c>
      <c r="J1003" s="8">
        <v>44491</v>
      </c>
      <c r="K1003" s="8">
        <v>45301</v>
      </c>
      <c r="L1003" s="6">
        <v>68900.25</v>
      </c>
      <c r="M1003" s="6">
        <v>42000.9</v>
      </c>
      <c r="N1003" s="6">
        <v>695</v>
      </c>
      <c r="O1003" s="6">
        <v>111000</v>
      </c>
      <c r="P1003" s="6" t="s">
        <v>26</v>
      </c>
      <c r="Q1003" s="6" t="s">
        <v>27</v>
      </c>
      <c r="R1003" s="6">
        <v>0</v>
      </c>
      <c r="S1003" s="6" t="s">
        <v>28</v>
      </c>
      <c r="T1003" s="7">
        <f t="shared" si="75"/>
        <v>0.37838648648648648</v>
      </c>
      <c r="U1003" s="6">
        <f t="shared" si="76"/>
        <v>5</v>
      </c>
      <c r="V1003" s="5" t="str">
        <f t="shared" si="77"/>
        <v>GOOD</v>
      </c>
      <c r="W1003" s="6" t="str">
        <f t="shared" si="78"/>
        <v>55+</v>
      </c>
      <c r="X1003" s="6" t="str">
        <f t="shared" si="79"/>
        <v>Lower-Middle</v>
      </c>
    </row>
    <row r="1004" spans="1:24">
      <c r="A1004" s="6" t="s">
        <v>536</v>
      </c>
      <c r="B1004" s="6" t="s">
        <v>2309</v>
      </c>
      <c r="C1004" s="6" t="s">
        <v>39</v>
      </c>
      <c r="D1004" s="6" t="s">
        <v>195</v>
      </c>
      <c r="E1004" s="6" t="s">
        <v>196</v>
      </c>
      <c r="F1004" s="6">
        <v>70</v>
      </c>
      <c r="G1004" s="6" t="s">
        <v>24</v>
      </c>
      <c r="H1004" s="6" t="s">
        <v>2310</v>
      </c>
      <c r="I1004" s="6" t="s">
        <v>4178</v>
      </c>
      <c r="J1004" s="8">
        <v>43943</v>
      </c>
      <c r="K1004" s="8">
        <v>45300</v>
      </c>
      <c r="L1004" s="6">
        <v>147900.4</v>
      </c>
      <c r="M1004" s="6">
        <v>91000.6</v>
      </c>
      <c r="N1004" s="6">
        <v>670</v>
      </c>
      <c r="O1004" s="6">
        <v>178000</v>
      </c>
      <c r="P1004" s="6" t="s">
        <v>76</v>
      </c>
      <c r="Q1004" s="6" t="s">
        <v>27</v>
      </c>
      <c r="R1004" s="6">
        <v>0</v>
      </c>
      <c r="S1004" s="6" t="s">
        <v>28</v>
      </c>
      <c r="T1004" s="7">
        <f t="shared" si="75"/>
        <v>0.51123932584269671</v>
      </c>
      <c r="U1004" s="6">
        <f t="shared" si="76"/>
        <v>6</v>
      </c>
      <c r="V1004" s="5" t="str">
        <f t="shared" si="77"/>
        <v>GOOD</v>
      </c>
      <c r="W1004" s="6" t="str">
        <f t="shared" si="78"/>
        <v>55+</v>
      </c>
      <c r="X1004" s="6" t="str">
        <f t="shared" si="79"/>
        <v>Upper-Middle</v>
      </c>
    </row>
    <row r="1005" spans="1:24">
      <c r="A1005" s="6" t="s">
        <v>539</v>
      </c>
      <c r="B1005" s="6" t="s">
        <v>2311</v>
      </c>
      <c r="C1005" s="6" t="s">
        <v>21</v>
      </c>
      <c r="D1005" s="6" t="s">
        <v>58</v>
      </c>
      <c r="E1005" s="6" t="s">
        <v>122</v>
      </c>
      <c r="F1005" s="6">
        <v>78</v>
      </c>
      <c r="G1005" s="6" t="s">
        <v>34</v>
      </c>
      <c r="H1005" s="6" t="s">
        <v>2312</v>
      </c>
      <c r="I1005" s="6" t="s">
        <v>3737</v>
      </c>
      <c r="J1005" s="8">
        <v>43518</v>
      </c>
      <c r="K1005" s="8">
        <v>45299</v>
      </c>
      <c r="L1005" s="6">
        <v>314800.75</v>
      </c>
      <c r="M1005" s="6">
        <v>108000.8</v>
      </c>
      <c r="N1005" s="6">
        <v>835</v>
      </c>
      <c r="O1005" s="6">
        <v>323000</v>
      </c>
      <c r="P1005" s="6" t="s">
        <v>36</v>
      </c>
      <c r="Q1005" s="6" t="s">
        <v>27</v>
      </c>
      <c r="R1005" s="6">
        <v>0</v>
      </c>
      <c r="S1005" s="6" t="s">
        <v>28</v>
      </c>
      <c r="T1005" s="7">
        <f t="shared" si="75"/>
        <v>0.33436780185758513</v>
      </c>
      <c r="U1005" s="6">
        <f t="shared" si="76"/>
        <v>7</v>
      </c>
      <c r="V1005" s="5" t="str">
        <f t="shared" si="77"/>
        <v>EXCEPTIONAL</v>
      </c>
      <c r="W1005" s="6" t="str">
        <f t="shared" si="78"/>
        <v>55+</v>
      </c>
      <c r="X1005" s="6" t="str">
        <f t="shared" si="79"/>
        <v>High</v>
      </c>
    </row>
    <row r="1006" spans="1:24">
      <c r="A1006" s="6" t="s">
        <v>542</v>
      </c>
      <c r="B1006" s="6" t="s">
        <v>2313</v>
      </c>
      <c r="C1006" s="6" t="s">
        <v>52</v>
      </c>
      <c r="D1006" s="6" t="s">
        <v>68</v>
      </c>
      <c r="E1006" s="6" t="s">
        <v>114</v>
      </c>
      <c r="F1006" s="6">
        <v>65</v>
      </c>
      <c r="G1006" s="6" t="s">
        <v>34</v>
      </c>
      <c r="H1006" s="6" t="s">
        <v>2314</v>
      </c>
      <c r="I1006" s="6" t="s">
        <v>4168</v>
      </c>
      <c r="J1006" s="8">
        <v>44461</v>
      </c>
      <c r="K1006" s="8">
        <v>45302</v>
      </c>
      <c r="L1006" s="6">
        <v>77600.600000000006</v>
      </c>
      <c r="M1006" s="6">
        <v>47600.25</v>
      </c>
      <c r="N1006" s="6">
        <v>665</v>
      </c>
      <c r="O1006" s="6">
        <v>131000</v>
      </c>
      <c r="P1006" s="6" t="s">
        <v>26</v>
      </c>
      <c r="Q1006" s="6" t="s">
        <v>27</v>
      </c>
      <c r="R1006" s="6">
        <v>0</v>
      </c>
      <c r="S1006" s="6" t="s">
        <v>28</v>
      </c>
      <c r="T1006" s="7">
        <f t="shared" si="75"/>
        <v>0.36336068702290075</v>
      </c>
      <c r="U1006" s="6">
        <f t="shared" si="76"/>
        <v>4</v>
      </c>
      <c r="V1006" s="5" t="str">
        <f t="shared" si="77"/>
        <v>FAIR</v>
      </c>
      <c r="W1006" s="6" t="str">
        <f t="shared" si="78"/>
        <v>55+</v>
      </c>
      <c r="X1006" s="6" t="str">
        <f t="shared" si="79"/>
        <v>Upper-Middle</v>
      </c>
    </row>
    <row r="1007" spans="1:24">
      <c r="A1007" s="6" t="s">
        <v>545</v>
      </c>
      <c r="B1007" s="6" t="s">
        <v>2315</v>
      </c>
      <c r="C1007" s="6" t="s">
        <v>46</v>
      </c>
      <c r="D1007" s="6" t="s">
        <v>241</v>
      </c>
      <c r="E1007" s="6" t="s">
        <v>389</v>
      </c>
      <c r="F1007" s="6">
        <v>57</v>
      </c>
      <c r="G1007" s="6" t="s">
        <v>24</v>
      </c>
      <c r="H1007" s="6" t="s">
        <v>2316</v>
      </c>
      <c r="I1007" s="6" t="s">
        <v>4179</v>
      </c>
      <c r="J1007" s="8">
        <v>45099</v>
      </c>
      <c r="K1007" s="8">
        <v>45303</v>
      </c>
      <c r="L1007" s="6">
        <v>100900.8</v>
      </c>
      <c r="M1007" s="6">
        <v>55100.4</v>
      </c>
      <c r="N1007" s="6">
        <v>750</v>
      </c>
      <c r="O1007" s="6">
        <v>157000</v>
      </c>
      <c r="P1007" s="6" t="s">
        <v>26</v>
      </c>
      <c r="Q1007" s="6" t="s">
        <v>27</v>
      </c>
      <c r="R1007" s="6">
        <v>0</v>
      </c>
      <c r="S1007" s="6" t="s">
        <v>28</v>
      </c>
      <c r="T1007" s="7">
        <f t="shared" si="75"/>
        <v>0.35095796178343952</v>
      </c>
      <c r="U1007" s="6">
        <f t="shared" si="76"/>
        <v>3</v>
      </c>
      <c r="V1007" s="5" t="str">
        <f t="shared" si="77"/>
        <v>VERY GOOD</v>
      </c>
      <c r="W1007" s="6" t="str">
        <f t="shared" si="78"/>
        <v>55+</v>
      </c>
      <c r="X1007" s="6" t="str">
        <f t="shared" si="79"/>
        <v>Upper-Middle</v>
      </c>
    </row>
    <row r="1008" spans="1:24">
      <c r="A1008" s="6" t="s">
        <v>548</v>
      </c>
      <c r="B1008" s="6" t="s">
        <v>2317</v>
      </c>
      <c r="C1008" s="6" t="s">
        <v>57</v>
      </c>
      <c r="D1008" s="6" t="s">
        <v>22</v>
      </c>
      <c r="E1008" s="6" t="s">
        <v>282</v>
      </c>
      <c r="F1008" s="6">
        <v>53</v>
      </c>
      <c r="G1008" s="6" t="s">
        <v>34</v>
      </c>
      <c r="H1008" s="6" t="s">
        <v>2318</v>
      </c>
      <c r="I1008" s="6" t="s">
        <v>3706</v>
      </c>
      <c r="J1008" s="8">
        <v>45282</v>
      </c>
      <c r="K1008" s="8">
        <v>45305</v>
      </c>
      <c r="L1008" s="6">
        <v>39800.9</v>
      </c>
      <c r="M1008" s="6">
        <v>15600.75</v>
      </c>
      <c r="N1008" s="6">
        <v>770</v>
      </c>
      <c r="O1008" s="6">
        <v>88000</v>
      </c>
      <c r="P1008" s="6" t="s">
        <v>36</v>
      </c>
      <c r="Q1008" s="6" t="s">
        <v>27</v>
      </c>
      <c r="R1008" s="6">
        <v>0</v>
      </c>
      <c r="S1008" s="6" t="s">
        <v>28</v>
      </c>
      <c r="T1008" s="7">
        <f t="shared" si="75"/>
        <v>0.17728125</v>
      </c>
      <c r="U1008" s="6">
        <f t="shared" si="76"/>
        <v>1</v>
      </c>
      <c r="V1008" s="5" t="str">
        <f t="shared" si="77"/>
        <v>VERY GOOD</v>
      </c>
      <c r="W1008" s="6" t="str">
        <f t="shared" si="78"/>
        <v>45-54</v>
      </c>
      <c r="X1008" s="6" t="str">
        <f t="shared" si="79"/>
        <v>Lower-Middle</v>
      </c>
    </row>
    <row r="1009" spans="1:24">
      <c r="A1009" s="6" t="s">
        <v>551</v>
      </c>
      <c r="B1009" s="6" t="s">
        <v>2319</v>
      </c>
      <c r="C1009" s="6" t="s">
        <v>39</v>
      </c>
      <c r="D1009" s="6" t="s">
        <v>313</v>
      </c>
      <c r="E1009" s="6" t="s">
        <v>385</v>
      </c>
      <c r="F1009" s="6">
        <v>76</v>
      </c>
      <c r="G1009" s="6" t="s">
        <v>24</v>
      </c>
      <c r="H1009" s="6" t="s">
        <v>2320</v>
      </c>
      <c r="I1009" s="6" t="s">
        <v>4180</v>
      </c>
      <c r="J1009" s="8">
        <v>43699</v>
      </c>
      <c r="K1009" s="8">
        <v>45299</v>
      </c>
      <c r="L1009" s="6">
        <v>201000.25</v>
      </c>
      <c r="M1009" s="6">
        <v>112000.8</v>
      </c>
      <c r="N1009" s="6">
        <v>645</v>
      </c>
      <c r="O1009" s="6">
        <v>228000</v>
      </c>
      <c r="P1009" s="6" t="s">
        <v>76</v>
      </c>
      <c r="Q1009" s="6" t="s">
        <v>27</v>
      </c>
      <c r="R1009" s="6">
        <v>0</v>
      </c>
      <c r="S1009" s="6" t="s">
        <v>28</v>
      </c>
      <c r="T1009" s="7">
        <f t="shared" si="75"/>
        <v>0.49123157894736841</v>
      </c>
      <c r="U1009" s="6">
        <f t="shared" si="76"/>
        <v>7</v>
      </c>
      <c r="V1009" s="5" t="str">
        <f t="shared" si="77"/>
        <v>FAIR</v>
      </c>
      <c r="W1009" s="6" t="str">
        <f t="shared" si="78"/>
        <v>55+</v>
      </c>
      <c r="X1009" s="6" t="str">
        <f t="shared" si="79"/>
        <v>High</v>
      </c>
    </row>
    <row r="1010" spans="1:24">
      <c r="A1010" s="6" t="s">
        <v>554</v>
      </c>
      <c r="B1010" s="6" t="s">
        <v>2321</v>
      </c>
      <c r="C1010" s="6" t="s">
        <v>31</v>
      </c>
      <c r="D1010" s="6" t="s">
        <v>214</v>
      </c>
      <c r="E1010" s="6" t="s">
        <v>215</v>
      </c>
      <c r="F1010" s="6">
        <v>49</v>
      </c>
      <c r="G1010" s="6" t="s">
        <v>34</v>
      </c>
      <c r="H1010" s="6" t="s">
        <v>2322</v>
      </c>
      <c r="I1010" s="6" t="s">
        <v>4181</v>
      </c>
      <c r="J1010" s="8">
        <v>45501</v>
      </c>
      <c r="K1010" s="8">
        <v>45306</v>
      </c>
      <c r="L1010" s="6">
        <v>33200.5</v>
      </c>
      <c r="M1010" s="6">
        <v>15200.4</v>
      </c>
      <c r="N1010" s="6">
        <v>720</v>
      </c>
      <c r="O1010" s="6">
        <v>65000</v>
      </c>
      <c r="P1010" s="6" t="s">
        <v>36</v>
      </c>
      <c r="Q1010" s="6" t="s">
        <v>27</v>
      </c>
      <c r="R1010" s="6">
        <v>0</v>
      </c>
      <c r="S1010" s="6" t="s">
        <v>28</v>
      </c>
      <c r="T1010" s="7">
        <f t="shared" si="75"/>
        <v>0.23385230769230769</v>
      </c>
      <c r="U1010" s="6">
        <f t="shared" si="76"/>
        <v>0</v>
      </c>
      <c r="V1010" s="5" t="str">
        <f t="shared" si="77"/>
        <v>GOOD</v>
      </c>
      <c r="W1010" s="6" t="str">
        <f t="shared" si="78"/>
        <v>45-54</v>
      </c>
      <c r="X1010" s="6" t="str">
        <f t="shared" si="79"/>
        <v>Low</v>
      </c>
    </row>
    <row r="1011" spans="1:24">
      <c r="A1011" s="6" t="s">
        <v>108</v>
      </c>
      <c r="B1011" s="6" t="s">
        <v>2323</v>
      </c>
      <c r="C1011" s="6" t="s">
        <v>84</v>
      </c>
      <c r="D1011" s="6" t="s">
        <v>32</v>
      </c>
      <c r="E1011" s="6" t="s">
        <v>33</v>
      </c>
      <c r="F1011" s="6">
        <v>45</v>
      </c>
      <c r="G1011" s="6" t="s">
        <v>24</v>
      </c>
      <c r="H1011" s="6" t="s">
        <v>2324</v>
      </c>
      <c r="I1011" s="6" t="s">
        <v>3721</v>
      </c>
      <c r="J1011" s="8">
        <v>45501</v>
      </c>
      <c r="K1011" s="8">
        <v>45304</v>
      </c>
      <c r="L1011" s="6">
        <v>4150.8</v>
      </c>
      <c r="M1011" s="6">
        <v>13200.25</v>
      </c>
      <c r="N1011" s="6">
        <v>605</v>
      </c>
      <c r="O1011" s="6">
        <v>41000</v>
      </c>
      <c r="P1011" s="6" t="s">
        <v>76</v>
      </c>
      <c r="Q1011" s="6" t="s">
        <v>43</v>
      </c>
      <c r="R1011" s="6">
        <v>0</v>
      </c>
      <c r="S1011" s="6" t="s">
        <v>28</v>
      </c>
      <c r="T1011" s="7">
        <f t="shared" si="75"/>
        <v>0.32195731707317071</v>
      </c>
      <c r="U1011" s="6">
        <f t="shared" si="76"/>
        <v>2</v>
      </c>
      <c r="V1011" s="5" t="str">
        <f t="shared" si="77"/>
        <v>FAIR</v>
      </c>
      <c r="W1011" s="6" t="str">
        <f t="shared" si="78"/>
        <v>45-54</v>
      </c>
      <c r="X1011" s="6" t="str">
        <f t="shared" si="79"/>
        <v>Low</v>
      </c>
    </row>
    <row r="1012" spans="1:24">
      <c r="A1012" s="6" t="s">
        <v>559</v>
      </c>
      <c r="B1012" s="6" t="s">
        <v>2325</v>
      </c>
      <c r="C1012" s="6" t="s">
        <v>46</v>
      </c>
      <c r="D1012" s="6" t="s">
        <v>254</v>
      </c>
      <c r="E1012" s="6" t="s">
        <v>255</v>
      </c>
      <c r="F1012" s="6">
        <v>59</v>
      </c>
      <c r="G1012" s="6" t="s">
        <v>34</v>
      </c>
      <c r="H1012" s="6" t="s">
        <v>2326</v>
      </c>
      <c r="I1012" s="6" t="s">
        <v>4182</v>
      </c>
      <c r="J1012" s="8">
        <v>44979</v>
      </c>
      <c r="K1012" s="8">
        <v>45302</v>
      </c>
      <c r="L1012" s="6">
        <v>87600.4</v>
      </c>
      <c r="M1012" s="6">
        <v>49800.75</v>
      </c>
      <c r="N1012" s="6">
        <v>710</v>
      </c>
      <c r="O1012" s="6">
        <v>139000</v>
      </c>
      <c r="P1012" s="6" t="s">
        <v>26</v>
      </c>
      <c r="Q1012" s="6" t="s">
        <v>27</v>
      </c>
      <c r="R1012" s="6">
        <v>0</v>
      </c>
      <c r="S1012" s="6" t="s">
        <v>28</v>
      </c>
      <c r="T1012" s="7">
        <f t="shared" si="75"/>
        <v>0.35827877697841726</v>
      </c>
      <c r="U1012" s="6">
        <f t="shared" si="76"/>
        <v>4</v>
      </c>
      <c r="V1012" s="5" t="str">
        <f t="shared" si="77"/>
        <v>GOOD</v>
      </c>
      <c r="W1012" s="6" t="str">
        <f t="shared" si="78"/>
        <v>55+</v>
      </c>
      <c r="X1012" s="6" t="str">
        <f t="shared" si="79"/>
        <v>Upper-Middle</v>
      </c>
    </row>
    <row r="1013" spans="1:24">
      <c r="A1013" s="6" t="s">
        <v>562</v>
      </c>
      <c r="B1013" s="6" t="s">
        <v>2327</v>
      </c>
      <c r="C1013" s="6" t="s">
        <v>39</v>
      </c>
      <c r="D1013" s="6" t="s">
        <v>47</v>
      </c>
      <c r="E1013" s="6" t="s">
        <v>98</v>
      </c>
      <c r="F1013" s="6">
        <v>73</v>
      </c>
      <c r="G1013" s="6" t="s">
        <v>24</v>
      </c>
      <c r="H1013" s="6" t="s">
        <v>2328</v>
      </c>
      <c r="I1013" s="6" t="s">
        <v>3743</v>
      </c>
      <c r="J1013" s="8">
        <v>43852</v>
      </c>
      <c r="K1013" s="8">
        <v>45300</v>
      </c>
      <c r="L1013" s="6">
        <v>181200.6</v>
      </c>
      <c r="M1013" s="6">
        <v>105000.25</v>
      </c>
      <c r="N1013" s="6">
        <v>675</v>
      </c>
      <c r="O1013" s="6">
        <v>208000</v>
      </c>
      <c r="P1013" s="6" t="s">
        <v>76</v>
      </c>
      <c r="Q1013" s="6" t="s">
        <v>27</v>
      </c>
      <c r="R1013" s="6">
        <v>0</v>
      </c>
      <c r="S1013" s="6" t="s">
        <v>28</v>
      </c>
      <c r="T1013" s="7">
        <f t="shared" si="75"/>
        <v>0.50480889423076925</v>
      </c>
      <c r="U1013" s="6">
        <f t="shared" si="76"/>
        <v>6</v>
      </c>
      <c r="V1013" s="5" t="str">
        <f t="shared" si="77"/>
        <v>GOOD</v>
      </c>
      <c r="W1013" s="6" t="str">
        <f t="shared" si="78"/>
        <v>55+</v>
      </c>
      <c r="X1013" s="6" t="str">
        <f t="shared" si="79"/>
        <v>High</v>
      </c>
    </row>
    <row r="1014" spans="1:24">
      <c r="A1014" s="6" t="s">
        <v>565</v>
      </c>
      <c r="B1014" s="6" t="s">
        <v>2329</v>
      </c>
      <c r="C1014" s="6" t="s">
        <v>52</v>
      </c>
      <c r="D1014" s="6" t="s">
        <v>233</v>
      </c>
      <c r="E1014" s="6" t="s">
        <v>234</v>
      </c>
      <c r="F1014" s="6">
        <v>58</v>
      </c>
      <c r="G1014" s="6" t="s">
        <v>34</v>
      </c>
      <c r="H1014" s="6" t="s">
        <v>2330</v>
      </c>
      <c r="I1014" s="6" t="s">
        <v>3744</v>
      </c>
      <c r="J1014" s="8">
        <v>44764</v>
      </c>
      <c r="K1014" s="8">
        <v>45301</v>
      </c>
      <c r="L1014" s="6">
        <v>64000.75</v>
      </c>
      <c r="M1014" s="6">
        <v>40900.800000000003</v>
      </c>
      <c r="N1014" s="6">
        <v>725</v>
      </c>
      <c r="O1014" s="6">
        <v>105000</v>
      </c>
      <c r="P1014" s="6" t="s">
        <v>26</v>
      </c>
      <c r="Q1014" s="6" t="s">
        <v>27</v>
      </c>
      <c r="R1014" s="6">
        <v>0</v>
      </c>
      <c r="S1014" s="6" t="s">
        <v>28</v>
      </c>
      <c r="T1014" s="7">
        <f t="shared" si="75"/>
        <v>0.38953142857142858</v>
      </c>
      <c r="U1014" s="6">
        <f t="shared" si="76"/>
        <v>5</v>
      </c>
      <c r="V1014" s="5" t="str">
        <f t="shared" si="77"/>
        <v>GOOD</v>
      </c>
      <c r="W1014" s="6" t="str">
        <f t="shared" si="78"/>
        <v>55+</v>
      </c>
      <c r="X1014" s="6" t="str">
        <f t="shared" si="79"/>
        <v>Lower-Middle</v>
      </c>
    </row>
    <row r="1015" spans="1:24">
      <c r="A1015" s="6" t="s">
        <v>568</v>
      </c>
      <c r="B1015" s="6" t="s">
        <v>2331</v>
      </c>
      <c r="C1015" s="6" t="s">
        <v>57</v>
      </c>
      <c r="D1015" s="6" t="s">
        <v>79</v>
      </c>
      <c r="E1015" s="6" t="s">
        <v>80</v>
      </c>
      <c r="F1015" s="6">
        <v>56</v>
      </c>
      <c r="G1015" s="6" t="s">
        <v>24</v>
      </c>
      <c r="H1015" s="6" t="s">
        <v>2332</v>
      </c>
      <c r="I1015" s="6" t="s">
        <v>3745</v>
      </c>
      <c r="J1015" s="8">
        <v>45221</v>
      </c>
      <c r="K1015" s="8">
        <v>45303</v>
      </c>
      <c r="L1015" s="6">
        <v>42000.4</v>
      </c>
      <c r="M1015" s="6">
        <v>16400.900000000001</v>
      </c>
      <c r="N1015" s="6">
        <v>740</v>
      </c>
      <c r="O1015" s="6">
        <v>91000</v>
      </c>
      <c r="P1015" s="6" t="s">
        <v>36</v>
      </c>
      <c r="Q1015" s="6" t="s">
        <v>27</v>
      </c>
      <c r="R1015" s="6">
        <v>0</v>
      </c>
      <c r="S1015" s="6" t="s">
        <v>28</v>
      </c>
      <c r="T1015" s="7">
        <f t="shared" si="75"/>
        <v>0.18022967032967036</v>
      </c>
      <c r="U1015" s="6">
        <f t="shared" si="76"/>
        <v>3</v>
      </c>
      <c r="V1015" s="5" t="str">
        <f t="shared" si="77"/>
        <v>GOOD</v>
      </c>
      <c r="W1015" s="6" t="str">
        <f t="shared" si="78"/>
        <v>55+</v>
      </c>
      <c r="X1015" s="6" t="str">
        <f t="shared" si="79"/>
        <v>Lower-Middle</v>
      </c>
    </row>
    <row r="1016" spans="1:24">
      <c r="A1016" s="6" t="s">
        <v>571</v>
      </c>
      <c r="B1016" s="6" t="s">
        <v>2333</v>
      </c>
      <c r="C1016" s="6" t="s">
        <v>21</v>
      </c>
      <c r="D1016" s="6" t="s">
        <v>63</v>
      </c>
      <c r="E1016" s="6" t="s">
        <v>3514</v>
      </c>
      <c r="F1016" s="6">
        <v>79</v>
      </c>
      <c r="G1016" s="6" t="s">
        <v>34</v>
      </c>
      <c r="H1016" s="6" t="s">
        <v>2334</v>
      </c>
      <c r="I1016" s="6" t="s">
        <v>4183</v>
      </c>
      <c r="J1016" s="8">
        <v>43395</v>
      </c>
      <c r="K1016" s="8">
        <v>45299</v>
      </c>
      <c r="L1016" s="6">
        <v>270100.90000000002</v>
      </c>
      <c r="M1016" s="6">
        <v>95000.6</v>
      </c>
      <c r="N1016" s="6">
        <v>830</v>
      </c>
      <c r="O1016" s="6">
        <v>303000</v>
      </c>
      <c r="P1016" s="6" t="s">
        <v>36</v>
      </c>
      <c r="Q1016" s="6" t="s">
        <v>27</v>
      </c>
      <c r="R1016" s="6">
        <v>0</v>
      </c>
      <c r="S1016" s="6" t="s">
        <v>28</v>
      </c>
      <c r="T1016" s="7">
        <f t="shared" si="75"/>
        <v>0.31353333333333333</v>
      </c>
      <c r="U1016" s="6">
        <f t="shared" si="76"/>
        <v>7</v>
      </c>
      <c r="V1016" s="5" t="str">
        <f t="shared" si="77"/>
        <v>EXCEPTIONAL</v>
      </c>
      <c r="W1016" s="6" t="str">
        <f t="shared" si="78"/>
        <v>55+</v>
      </c>
      <c r="X1016" s="6" t="str">
        <f t="shared" si="79"/>
        <v>High</v>
      </c>
    </row>
    <row r="1017" spans="1:24">
      <c r="A1017" s="6" t="s">
        <v>574</v>
      </c>
      <c r="B1017" s="6" t="s">
        <v>2335</v>
      </c>
      <c r="C1017" s="6" t="s">
        <v>39</v>
      </c>
      <c r="D1017" s="6" t="s">
        <v>68</v>
      </c>
      <c r="E1017" s="6" t="s">
        <v>179</v>
      </c>
      <c r="F1017" s="6">
        <v>71</v>
      </c>
      <c r="G1017" s="6" t="s">
        <v>24</v>
      </c>
      <c r="H1017" s="6" t="s">
        <v>2336</v>
      </c>
      <c r="I1017" s="6" t="s">
        <v>4184</v>
      </c>
      <c r="J1017" s="8">
        <v>43994</v>
      </c>
      <c r="K1017" s="8">
        <v>45300</v>
      </c>
      <c r="L1017" s="6">
        <v>159000.25</v>
      </c>
      <c r="M1017" s="6">
        <v>97000.4</v>
      </c>
      <c r="N1017" s="6">
        <v>655</v>
      </c>
      <c r="O1017" s="6">
        <v>193000</v>
      </c>
      <c r="P1017" s="6" t="s">
        <v>76</v>
      </c>
      <c r="Q1017" s="6" t="s">
        <v>27</v>
      </c>
      <c r="R1017" s="6">
        <v>0</v>
      </c>
      <c r="S1017" s="6" t="s">
        <v>28</v>
      </c>
      <c r="T1017" s="7">
        <f t="shared" si="75"/>
        <v>0.50259274611398963</v>
      </c>
      <c r="U1017" s="6">
        <f t="shared" si="76"/>
        <v>6</v>
      </c>
      <c r="V1017" s="5" t="str">
        <f t="shared" si="77"/>
        <v>FAIR</v>
      </c>
      <c r="W1017" s="6" t="str">
        <f t="shared" si="78"/>
        <v>55+</v>
      </c>
      <c r="X1017" s="6" t="str">
        <f t="shared" si="79"/>
        <v>High</v>
      </c>
    </row>
    <row r="1018" spans="1:24">
      <c r="A1018" s="6" t="s">
        <v>577</v>
      </c>
      <c r="B1018" s="6" t="s">
        <v>2337</v>
      </c>
      <c r="C1018" s="6" t="s">
        <v>46</v>
      </c>
      <c r="D1018" s="6" t="s">
        <v>85</v>
      </c>
      <c r="E1018" s="6" t="s">
        <v>86</v>
      </c>
      <c r="F1018" s="6">
        <v>60</v>
      </c>
      <c r="G1018" s="6" t="s">
        <v>34</v>
      </c>
      <c r="H1018" s="6" t="s">
        <v>2338</v>
      </c>
      <c r="I1018" s="6" t="s">
        <v>3715</v>
      </c>
      <c r="J1018" s="8">
        <v>44887</v>
      </c>
      <c r="K1018" s="8">
        <v>45302</v>
      </c>
      <c r="L1018" s="6">
        <v>106500.6</v>
      </c>
      <c r="M1018" s="6">
        <v>57800.75</v>
      </c>
      <c r="N1018" s="6">
        <v>760</v>
      </c>
      <c r="O1018" s="6">
        <v>162000</v>
      </c>
      <c r="P1018" s="6" t="s">
        <v>26</v>
      </c>
      <c r="Q1018" s="6" t="s">
        <v>27</v>
      </c>
      <c r="R1018" s="6">
        <v>0</v>
      </c>
      <c r="S1018" s="6" t="s">
        <v>28</v>
      </c>
      <c r="T1018" s="7">
        <f t="shared" si="75"/>
        <v>0.35679475308641978</v>
      </c>
      <c r="U1018" s="6">
        <f t="shared" si="76"/>
        <v>4</v>
      </c>
      <c r="V1018" s="5" t="str">
        <f t="shared" si="77"/>
        <v>VERY GOOD</v>
      </c>
      <c r="W1018" s="6" t="str">
        <f t="shared" si="78"/>
        <v>55+</v>
      </c>
      <c r="X1018" s="6" t="str">
        <f t="shared" si="79"/>
        <v>Upper-Middle</v>
      </c>
    </row>
    <row r="1019" spans="1:24">
      <c r="A1019" s="6" t="s">
        <v>458</v>
      </c>
      <c r="B1019" s="6" t="s">
        <v>2339</v>
      </c>
      <c r="C1019" s="6" t="s">
        <v>31</v>
      </c>
      <c r="D1019" s="6" t="s">
        <v>460</v>
      </c>
      <c r="E1019" s="6" t="s">
        <v>461</v>
      </c>
      <c r="F1019" s="6">
        <v>51</v>
      </c>
      <c r="G1019" s="6" t="s">
        <v>24</v>
      </c>
      <c r="H1019" s="6" t="s">
        <v>2340</v>
      </c>
      <c r="I1019" s="6" t="s">
        <v>4185</v>
      </c>
      <c r="J1019" s="8">
        <v>45501</v>
      </c>
      <c r="K1019" s="8">
        <v>45306</v>
      </c>
      <c r="L1019" s="6">
        <v>19900.25</v>
      </c>
      <c r="M1019" s="6">
        <v>11800.8</v>
      </c>
      <c r="N1019" s="6">
        <v>695</v>
      </c>
      <c r="O1019" s="6">
        <v>62000</v>
      </c>
      <c r="P1019" s="6" t="s">
        <v>26</v>
      </c>
      <c r="Q1019" s="6" t="s">
        <v>43</v>
      </c>
      <c r="R1019" s="6">
        <v>0</v>
      </c>
      <c r="S1019" s="6" t="s">
        <v>28</v>
      </c>
      <c r="T1019" s="7">
        <f t="shared" si="75"/>
        <v>0.19033548387096774</v>
      </c>
      <c r="U1019" s="6">
        <f t="shared" si="76"/>
        <v>0</v>
      </c>
      <c r="V1019" s="5" t="str">
        <f t="shared" si="77"/>
        <v>GOOD</v>
      </c>
      <c r="W1019" s="6" t="str">
        <f t="shared" si="78"/>
        <v>45-54</v>
      </c>
      <c r="X1019" s="6" t="str">
        <f t="shared" si="79"/>
        <v>Low</v>
      </c>
    </row>
    <row r="1020" spans="1:24">
      <c r="A1020" s="6" t="s">
        <v>582</v>
      </c>
      <c r="B1020" s="6" t="s">
        <v>2341</v>
      </c>
      <c r="C1020" s="6" t="s">
        <v>57</v>
      </c>
      <c r="D1020" s="6" t="s">
        <v>22</v>
      </c>
      <c r="E1020" s="6" t="s">
        <v>53</v>
      </c>
      <c r="F1020" s="6">
        <v>54</v>
      </c>
      <c r="G1020" s="6" t="s">
        <v>34</v>
      </c>
      <c r="H1020" s="6" t="s">
        <v>2342</v>
      </c>
      <c r="I1020" s="6" t="s">
        <v>3605</v>
      </c>
      <c r="J1020" s="8">
        <v>45160</v>
      </c>
      <c r="K1020" s="8">
        <v>45303</v>
      </c>
      <c r="L1020" s="6">
        <v>40900.9</v>
      </c>
      <c r="M1020" s="6">
        <v>16000.25</v>
      </c>
      <c r="N1020" s="6">
        <v>755</v>
      </c>
      <c r="O1020" s="6">
        <v>84000</v>
      </c>
      <c r="P1020" s="6" t="s">
        <v>36</v>
      </c>
      <c r="Q1020" s="6" t="s">
        <v>27</v>
      </c>
      <c r="R1020" s="6">
        <v>0</v>
      </c>
      <c r="S1020" s="6" t="s">
        <v>28</v>
      </c>
      <c r="T1020" s="7">
        <f t="shared" si="75"/>
        <v>0.19047916666666667</v>
      </c>
      <c r="U1020" s="6">
        <f t="shared" si="76"/>
        <v>3</v>
      </c>
      <c r="V1020" s="5" t="str">
        <f t="shared" si="77"/>
        <v>VERY GOOD</v>
      </c>
      <c r="W1020" s="6" t="str">
        <f t="shared" si="78"/>
        <v>45-54</v>
      </c>
      <c r="X1020" s="6" t="str">
        <f t="shared" si="79"/>
        <v>Lower-Middle</v>
      </c>
    </row>
    <row r="1021" spans="1:24">
      <c r="A1021" s="6" t="s">
        <v>55</v>
      </c>
      <c r="B1021" s="6" t="s">
        <v>2343</v>
      </c>
      <c r="C1021" s="6" t="s">
        <v>39</v>
      </c>
      <c r="D1021" s="6" t="s">
        <v>58</v>
      </c>
      <c r="E1021" s="6" t="s">
        <v>122</v>
      </c>
      <c r="F1021" s="6">
        <v>72</v>
      </c>
      <c r="G1021" s="6" t="s">
        <v>24</v>
      </c>
      <c r="H1021" s="6" t="s">
        <v>2344</v>
      </c>
      <c r="I1021" s="6" t="s">
        <v>3751</v>
      </c>
      <c r="J1021" s="8">
        <v>43912</v>
      </c>
      <c r="K1021" s="8">
        <v>45300</v>
      </c>
      <c r="L1021" s="6">
        <v>191900.4</v>
      </c>
      <c r="M1021" s="6">
        <v>110000.75</v>
      </c>
      <c r="N1021" s="6">
        <v>685</v>
      </c>
      <c r="O1021" s="6">
        <v>218000</v>
      </c>
      <c r="P1021" s="6" t="s">
        <v>76</v>
      </c>
      <c r="Q1021" s="6" t="s">
        <v>27</v>
      </c>
      <c r="R1021" s="6">
        <v>0</v>
      </c>
      <c r="S1021" s="6" t="s">
        <v>28</v>
      </c>
      <c r="T1021" s="7">
        <f t="shared" si="75"/>
        <v>0.50459059633027525</v>
      </c>
      <c r="U1021" s="6">
        <f t="shared" si="76"/>
        <v>6</v>
      </c>
      <c r="V1021" s="5" t="str">
        <f t="shared" si="77"/>
        <v>GOOD</v>
      </c>
      <c r="W1021" s="6" t="str">
        <f t="shared" si="78"/>
        <v>55+</v>
      </c>
      <c r="X1021" s="6" t="str">
        <f t="shared" si="79"/>
        <v>High</v>
      </c>
    </row>
    <row r="1022" spans="1:24">
      <c r="A1022" s="6" t="s">
        <v>469</v>
      </c>
      <c r="B1022" s="6" t="s">
        <v>2345</v>
      </c>
      <c r="C1022" s="6" t="s">
        <v>52</v>
      </c>
      <c r="D1022" s="6" t="s">
        <v>471</v>
      </c>
      <c r="E1022" s="6" t="s">
        <v>472</v>
      </c>
      <c r="F1022" s="6">
        <v>63</v>
      </c>
      <c r="G1022" s="6" t="s">
        <v>34</v>
      </c>
      <c r="H1022" s="6" t="s">
        <v>2346</v>
      </c>
      <c r="I1022" s="6" t="s">
        <v>4186</v>
      </c>
      <c r="J1022" s="8">
        <v>44552</v>
      </c>
      <c r="K1022" s="8">
        <v>45301</v>
      </c>
      <c r="L1022" s="6">
        <v>70900.800000000003</v>
      </c>
      <c r="M1022" s="6">
        <v>44000.6</v>
      </c>
      <c r="N1022" s="6">
        <v>715</v>
      </c>
      <c r="O1022" s="6">
        <v>117000</v>
      </c>
      <c r="P1022" s="6" t="s">
        <v>26</v>
      </c>
      <c r="Q1022" s="6" t="s">
        <v>27</v>
      </c>
      <c r="R1022" s="6">
        <v>0</v>
      </c>
      <c r="S1022" s="6" t="s">
        <v>28</v>
      </c>
      <c r="T1022" s="7">
        <f t="shared" si="75"/>
        <v>0.37607350427350428</v>
      </c>
      <c r="U1022" s="6">
        <f t="shared" si="76"/>
        <v>5</v>
      </c>
      <c r="V1022" s="5" t="str">
        <f t="shared" si="77"/>
        <v>GOOD</v>
      </c>
      <c r="W1022" s="6" t="str">
        <f t="shared" si="78"/>
        <v>55+</v>
      </c>
      <c r="X1022" s="6" t="str">
        <f t="shared" si="79"/>
        <v>Lower-Middle</v>
      </c>
    </row>
    <row r="1023" spans="1:24">
      <c r="A1023" s="6" t="s">
        <v>474</v>
      </c>
      <c r="B1023" s="6" t="s">
        <v>2347</v>
      </c>
      <c r="C1023" s="6" t="s">
        <v>46</v>
      </c>
      <c r="D1023" s="6" t="s">
        <v>345</v>
      </c>
      <c r="E1023" s="6" t="s">
        <v>476</v>
      </c>
      <c r="F1023" s="6">
        <v>66</v>
      </c>
      <c r="G1023" s="6" t="s">
        <v>24</v>
      </c>
      <c r="H1023" s="6" t="s">
        <v>2348</v>
      </c>
      <c r="I1023" s="6" t="s">
        <v>3753</v>
      </c>
      <c r="J1023" s="8">
        <v>44461</v>
      </c>
      <c r="K1023" s="8">
        <v>45302</v>
      </c>
      <c r="L1023" s="6">
        <v>98700.25</v>
      </c>
      <c r="M1023" s="6">
        <v>54000.4</v>
      </c>
      <c r="N1023" s="6">
        <v>680</v>
      </c>
      <c r="O1023" s="6">
        <v>146000</v>
      </c>
      <c r="P1023" s="6" t="s">
        <v>26</v>
      </c>
      <c r="Q1023" s="6" t="s">
        <v>27</v>
      </c>
      <c r="R1023" s="6">
        <v>0</v>
      </c>
      <c r="S1023" s="6" t="s">
        <v>28</v>
      </c>
      <c r="T1023" s="7">
        <f t="shared" si="75"/>
        <v>0.36986575342465755</v>
      </c>
      <c r="U1023" s="6">
        <f t="shared" si="76"/>
        <v>4</v>
      </c>
      <c r="V1023" s="5" t="str">
        <f t="shared" si="77"/>
        <v>GOOD</v>
      </c>
      <c r="W1023" s="6" t="str">
        <f t="shared" si="78"/>
        <v>55+</v>
      </c>
      <c r="X1023" s="6" t="str">
        <f t="shared" si="79"/>
        <v>Upper-Middle</v>
      </c>
    </row>
    <row r="1024" spans="1:24">
      <c r="A1024" s="6" t="s">
        <v>592</v>
      </c>
      <c r="B1024" s="6" t="s">
        <v>2349</v>
      </c>
      <c r="C1024" s="6" t="s">
        <v>84</v>
      </c>
      <c r="D1024" s="6" t="s">
        <v>32</v>
      </c>
      <c r="E1024" s="6" t="s">
        <v>90</v>
      </c>
      <c r="F1024" s="6">
        <v>46</v>
      </c>
      <c r="G1024" s="6" t="s">
        <v>34</v>
      </c>
      <c r="H1024" s="6" t="s">
        <v>2350</v>
      </c>
      <c r="I1024" s="6" t="s">
        <v>3620</v>
      </c>
      <c r="J1024" s="8">
        <v>45509</v>
      </c>
      <c r="K1024" s="8">
        <v>45304</v>
      </c>
      <c r="L1024" s="6">
        <v>4250.3999999999996</v>
      </c>
      <c r="M1024" s="6">
        <v>13800.75</v>
      </c>
      <c r="N1024" s="6">
        <v>610</v>
      </c>
      <c r="O1024" s="6">
        <v>42000</v>
      </c>
      <c r="P1024" s="6" t="s">
        <v>76</v>
      </c>
      <c r="Q1024" s="6" t="s">
        <v>43</v>
      </c>
      <c r="R1024" s="6">
        <v>0</v>
      </c>
      <c r="S1024" s="6" t="s">
        <v>28</v>
      </c>
      <c r="T1024" s="7">
        <f t="shared" si="75"/>
        <v>0.32858928571428569</v>
      </c>
      <c r="U1024" s="6">
        <f t="shared" si="76"/>
        <v>2</v>
      </c>
      <c r="V1024" s="5" t="str">
        <f t="shared" si="77"/>
        <v>FAIR</v>
      </c>
      <c r="W1024" s="6" t="str">
        <f t="shared" si="78"/>
        <v>45-54</v>
      </c>
      <c r="X1024" s="6" t="str">
        <f t="shared" si="79"/>
        <v>Low</v>
      </c>
    </row>
    <row r="1025" spans="1:24">
      <c r="A1025" s="6" t="s">
        <v>595</v>
      </c>
      <c r="B1025" s="6" t="s">
        <v>2351</v>
      </c>
      <c r="C1025" s="6" t="s">
        <v>21</v>
      </c>
      <c r="D1025" s="6" t="s">
        <v>209</v>
      </c>
      <c r="E1025" s="6" t="s">
        <v>210</v>
      </c>
      <c r="F1025" s="6">
        <v>78</v>
      </c>
      <c r="G1025" s="6" t="s">
        <v>24</v>
      </c>
      <c r="H1025" s="6" t="s">
        <v>2352</v>
      </c>
      <c r="I1025" s="6" t="s">
        <v>4010</v>
      </c>
      <c r="J1025" s="8">
        <v>43607</v>
      </c>
      <c r="K1025" s="8">
        <v>45299</v>
      </c>
      <c r="L1025" s="6">
        <v>289900.79999999999</v>
      </c>
      <c r="M1025" s="6">
        <v>101000.25</v>
      </c>
      <c r="N1025" s="6">
        <v>825</v>
      </c>
      <c r="O1025" s="6">
        <v>298000</v>
      </c>
      <c r="P1025" s="6" t="s">
        <v>36</v>
      </c>
      <c r="Q1025" s="6" t="s">
        <v>27</v>
      </c>
      <c r="R1025" s="6">
        <v>0</v>
      </c>
      <c r="S1025" s="6" t="s">
        <v>28</v>
      </c>
      <c r="T1025" s="7">
        <f t="shared" si="75"/>
        <v>0.33892701342281878</v>
      </c>
      <c r="U1025" s="6">
        <f t="shared" si="76"/>
        <v>7</v>
      </c>
      <c r="V1025" s="5" t="str">
        <f t="shared" si="77"/>
        <v>EXCEPTIONAL</v>
      </c>
      <c r="W1025" s="6" t="str">
        <f t="shared" si="78"/>
        <v>55+</v>
      </c>
      <c r="X1025" s="6" t="str">
        <f t="shared" si="79"/>
        <v>High</v>
      </c>
    </row>
    <row r="1026" spans="1:24">
      <c r="A1026" s="6" t="s">
        <v>226</v>
      </c>
      <c r="B1026" s="6" t="s">
        <v>2353</v>
      </c>
      <c r="C1026" s="6" t="s">
        <v>57</v>
      </c>
      <c r="D1026" s="6" t="s">
        <v>228</v>
      </c>
      <c r="E1026" s="6" t="s">
        <v>229</v>
      </c>
      <c r="F1026" s="6">
        <v>53</v>
      </c>
      <c r="G1026" s="6" t="s">
        <v>34</v>
      </c>
      <c r="H1026" s="6" t="s">
        <v>2354</v>
      </c>
      <c r="I1026" s="6" t="s">
        <v>4187</v>
      </c>
      <c r="J1026" s="8">
        <v>45344</v>
      </c>
      <c r="K1026" s="8">
        <v>45305</v>
      </c>
      <c r="L1026" s="6">
        <v>37600.75</v>
      </c>
      <c r="M1026" s="6">
        <v>14400.4</v>
      </c>
      <c r="N1026" s="6">
        <v>725</v>
      </c>
      <c r="O1026" s="6">
        <v>74000</v>
      </c>
      <c r="P1026" s="6" t="s">
        <v>36</v>
      </c>
      <c r="Q1026" s="6" t="s">
        <v>27</v>
      </c>
      <c r="R1026" s="6">
        <v>0</v>
      </c>
      <c r="S1026" s="6" t="s">
        <v>28</v>
      </c>
      <c r="T1026" s="7">
        <f t="shared" ref="T1026:T1089" si="80">IFERROR(M1026/O1026,"")</f>
        <v>0.1946</v>
      </c>
      <c r="U1026" s="6">
        <f t="shared" ref="U1026:U1089" si="81">MAX($K$2:$K$1599)-K1026</f>
        <v>1</v>
      </c>
      <c r="V1026" s="5" t="str">
        <f t="shared" ref="V1026:V1089" si="82">IF(N1026&lt;670,"FAIR", IF(N1026&lt;750,"GOOD",IF(N1026&lt;800,"VERY GOOD","EXCEPTIONAL")))</f>
        <v>GOOD</v>
      </c>
      <c r="W1026" s="6" t="str">
        <f t="shared" ref="W1026:W1089" si="83">IF(F1026&lt;25,"18-24",IF(F1026&lt;35,"25-34",IF(F1026&lt;45,"35-44",IF(F1026&lt;55,"45-54","55+"))))</f>
        <v>45-54</v>
      </c>
      <c r="X1026" s="6" t="str">
        <f t="shared" ref="X1026:X1089" si="84">IF(O1026&lt;=_xlfn.QUARTILE.INC($O$2:$O$1599,1),"Low",IF(O1026&lt;=_xlfn.QUARTILE.INC($O$2:$O$1599,2),"Lower-Middle",IF(O1026&lt;=_xlfn.QUARTILE.INC($O$2:$O$1599,3),"Upper-Middle","High")))</f>
        <v>Low</v>
      </c>
    </row>
    <row r="1027" spans="1:24">
      <c r="A1027" s="6" t="s">
        <v>488</v>
      </c>
      <c r="B1027" s="6" t="s">
        <v>2355</v>
      </c>
      <c r="C1027" s="6" t="s">
        <v>39</v>
      </c>
      <c r="D1027" s="6" t="s">
        <v>304</v>
      </c>
      <c r="E1027" s="6" t="s">
        <v>304</v>
      </c>
      <c r="F1027" s="6">
        <v>70</v>
      </c>
      <c r="G1027" s="6" t="s">
        <v>24</v>
      </c>
      <c r="H1027" s="6" t="s">
        <v>2356</v>
      </c>
      <c r="I1027" s="6" t="s">
        <v>4188</v>
      </c>
      <c r="J1027" s="8">
        <v>44086</v>
      </c>
      <c r="K1027" s="8">
        <v>45300</v>
      </c>
      <c r="L1027" s="6">
        <v>170100.6</v>
      </c>
      <c r="M1027" s="6">
        <v>101000.9</v>
      </c>
      <c r="N1027" s="6">
        <v>675</v>
      </c>
      <c r="O1027" s="6">
        <v>198000</v>
      </c>
      <c r="P1027" s="6" t="s">
        <v>76</v>
      </c>
      <c r="Q1027" s="6" t="s">
        <v>27</v>
      </c>
      <c r="R1027" s="6">
        <v>0</v>
      </c>
      <c r="S1027" s="6" t="s">
        <v>28</v>
      </c>
      <c r="T1027" s="7">
        <f t="shared" si="80"/>
        <v>0.51010555555555548</v>
      </c>
      <c r="U1027" s="6">
        <f t="shared" si="81"/>
        <v>6</v>
      </c>
      <c r="V1027" s="5" t="str">
        <f t="shared" si="82"/>
        <v>GOOD</v>
      </c>
      <c r="W1027" s="6" t="str">
        <f t="shared" si="83"/>
        <v>55+</v>
      </c>
      <c r="X1027" s="6" t="str">
        <f t="shared" si="84"/>
        <v>High</v>
      </c>
    </row>
    <row r="1028" spans="1:24">
      <c r="A1028" s="6" t="s">
        <v>491</v>
      </c>
      <c r="B1028" s="6" t="s">
        <v>2357</v>
      </c>
      <c r="C1028" s="6" t="s">
        <v>52</v>
      </c>
      <c r="D1028" s="6" t="s">
        <v>493</v>
      </c>
      <c r="E1028" s="6" t="s">
        <v>494</v>
      </c>
      <c r="F1028" s="6">
        <v>61</v>
      </c>
      <c r="G1028" s="6" t="s">
        <v>34</v>
      </c>
      <c r="H1028" s="6" t="s">
        <v>2358</v>
      </c>
      <c r="I1028" s="6" t="s">
        <v>4189</v>
      </c>
      <c r="J1028" s="8">
        <v>44856</v>
      </c>
      <c r="K1028" s="8">
        <v>45302</v>
      </c>
      <c r="L1028" s="6">
        <v>65100.4</v>
      </c>
      <c r="M1028" s="6">
        <v>39800.25</v>
      </c>
      <c r="N1028" s="6">
        <v>705</v>
      </c>
      <c r="O1028" s="6">
        <v>106000</v>
      </c>
      <c r="P1028" s="6" t="s">
        <v>26</v>
      </c>
      <c r="Q1028" s="6" t="s">
        <v>27</v>
      </c>
      <c r="R1028" s="6">
        <v>0</v>
      </c>
      <c r="S1028" s="6" t="s">
        <v>28</v>
      </c>
      <c r="T1028" s="7">
        <f t="shared" si="80"/>
        <v>0.37547405660377359</v>
      </c>
      <c r="U1028" s="6">
        <f t="shared" si="81"/>
        <v>4</v>
      </c>
      <c r="V1028" s="5" t="str">
        <f t="shared" si="82"/>
        <v>GOOD</v>
      </c>
      <c r="W1028" s="6" t="str">
        <f t="shared" si="83"/>
        <v>55+</v>
      </c>
      <c r="X1028" s="6" t="str">
        <f t="shared" si="84"/>
        <v>Lower-Middle</v>
      </c>
    </row>
    <row r="1029" spans="1:24">
      <c r="A1029" s="6" t="s">
        <v>496</v>
      </c>
      <c r="B1029" s="6" t="s">
        <v>2359</v>
      </c>
      <c r="C1029" s="6" t="s">
        <v>46</v>
      </c>
      <c r="D1029" s="6" t="s">
        <v>321</v>
      </c>
      <c r="E1029" s="6" t="s">
        <v>322</v>
      </c>
      <c r="F1029" s="6">
        <v>64</v>
      </c>
      <c r="G1029" s="6" t="s">
        <v>24</v>
      </c>
      <c r="H1029" s="6" t="s">
        <v>2360</v>
      </c>
      <c r="I1029" s="6" t="s">
        <v>4190</v>
      </c>
      <c r="J1029" s="8">
        <v>44338</v>
      </c>
      <c r="K1029" s="8">
        <v>45301</v>
      </c>
      <c r="L1029" s="6">
        <v>111100.75</v>
      </c>
      <c r="M1029" s="6">
        <v>60900.800000000003</v>
      </c>
      <c r="N1029" s="6">
        <v>730</v>
      </c>
      <c r="O1029" s="6">
        <v>172000</v>
      </c>
      <c r="P1029" s="6" t="s">
        <v>26</v>
      </c>
      <c r="Q1029" s="6" t="s">
        <v>27</v>
      </c>
      <c r="R1029" s="6">
        <v>0</v>
      </c>
      <c r="S1029" s="6" t="s">
        <v>28</v>
      </c>
      <c r="T1029" s="7">
        <f t="shared" si="80"/>
        <v>0.35407441860465116</v>
      </c>
      <c r="U1029" s="6">
        <f t="shared" si="81"/>
        <v>5</v>
      </c>
      <c r="V1029" s="5" t="str">
        <f t="shared" si="82"/>
        <v>GOOD</v>
      </c>
      <c r="W1029" s="6" t="str">
        <f t="shared" si="83"/>
        <v>55+</v>
      </c>
      <c r="X1029" s="6" t="str">
        <f t="shared" si="84"/>
        <v>Upper-Middle</v>
      </c>
    </row>
    <row r="1030" spans="1:24">
      <c r="A1030" s="6" t="s">
        <v>324</v>
      </c>
      <c r="B1030" s="6" t="s">
        <v>2361</v>
      </c>
      <c r="C1030" s="6" t="s">
        <v>31</v>
      </c>
      <c r="D1030" s="6" t="s">
        <v>313</v>
      </c>
      <c r="E1030" s="6" t="s">
        <v>501</v>
      </c>
      <c r="F1030" s="6">
        <v>49</v>
      </c>
      <c r="G1030" s="6" t="s">
        <v>34</v>
      </c>
      <c r="H1030" s="6" t="s">
        <v>2362</v>
      </c>
      <c r="I1030" s="6" t="s">
        <v>4191</v>
      </c>
      <c r="J1030" s="8">
        <v>45501</v>
      </c>
      <c r="K1030" s="8">
        <v>45306</v>
      </c>
      <c r="L1030" s="6">
        <v>17000.900000000001</v>
      </c>
      <c r="M1030" s="6">
        <v>9900.75</v>
      </c>
      <c r="N1030" s="6">
        <v>685</v>
      </c>
      <c r="O1030" s="6">
        <v>59000</v>
      </c>
      <c r="P1030" s="6" t="s">
        <v>26</v>
      </c>
      <c r="Q1030" s="6" t="s">
        <v>43</v>
      </c>
      <c r="R1030" s="6">
        <v>0</v>
      </c>
      <c r="S1030" s="6" t="s">
        <v>28</v>
      </c>
      <c r="T1030" s="7">
        <f t="shared" si="80"/>
        <v>0.16780932203389831</v>
      </c>
      <c r="U1030" s="6">
        <f t="shared" si="81"/>
        <v>0</v>
      </c>
      <c r="V1030" s="5" t="str">
        <f t="shared" si="82"/>
        <v>GOOD</v>
      </c>
      <c r="W1030" s="6" t="str">
        <f t="shared" si="83"/>
        <v>45-54</v>
      </c>
      <c r="X1030" s="6" t="str">
        <f t="shared" si="84"/>
        <v>Low</v>
      </c>
    </row>
    <row r="1031" spans="1:24">
      <c r="A1031" s="6" t="s">
        <v>503</v>
      </c>
      <c r="B1031" s="6" t="s">
        <v>2363</v>
      </c>
      <c r="C1031" s="6" t="s">
        <v>21</v>
      </c>
      <c r="D1031" s="6" t="s">
        <v>32</v>
      </c>
      <c r="E1031" s="6" t="s">
        <v>33</v>
      </c>
      <c r="F1031" s="6">
        <v>81</v>
      </c>
      <c r="G1031" s="6" t="s">
        <v>24</v>
      </c>
      <c r="H1031" s="6" t="s">
        <v>2364</v>
      </c>
      <c r="I1031" s="6" t="s">
        <v>3587</v>
      </c>
      <c r="J1031" s="8">
        <v>43334</v>
      </c>
      <c r="K1031" s="8">
        <v>45299</v>
      </c>
      <c r="L1031" s="6">
        <v>300800.25</v>
      </c>
      <c r="M1031" s="6">
        <v>105000.4</v>
      </c>
      <c r="N1031" s="6">
        <v>840</v>
      </c>
      <c r="O1031" s="6">
        <v>313000</v>
      </c>
      <c r="P1031" s="6" t="s">
        <v>36</v>
      </c>
      <c r="Q1031" s="6" t="s">
        <v>27</v>
      </c>
      <c r="R1031" s="6">
        <v>0</v>
      </c>
      <c r="S1031" s="6" t="s">
        <v>28</v>
      </c>
      <c r="T1031" s="7">
        <f t="shared" si="80"/>
        <v>0.33546453674121401</v>
      </c>
      <c r="U1031" s="6">
        <f t="shared" si="81"/>
        <v>7</v>
      </c>
      <c r="V1031" s="5" t="str">
        <f t="shared" si="82"/>
        <v>EXCEPTIONAL</v>
      </c>
      <c r="W1031" s="6" t="str">
        <f t="shared" si="83"/>
        <v>55+</v>
      </c>
      <c r="X1031" s="6" t="str">
        <f t="shared" si="84"/>
        <v>High</v>
      </c>
    </row>
    <row r="1032" spans="1:24">
      <c r="A1032" s="6" t="s">
        <v>506</v>
      </c>
      <c r="B1032" s="6" t="s">
        <v>2365</v>
      </c>
      <c r="C1032" s="6" t="s">
        <v>39</v>
      </c>
      <c r="D1032" s="6" t="s">
        <v>68</v>
      </c>
      <c r="E1032" s="6" t="s">
        <v>69</v>
      </c>
      <c r="F1032" s="6">
        <v>73</v>
      </c>
      <c r="G1032" s="6" t="s">
        <v>34</v>
      </c>
      <c r="H1032" s="6" t="s">
        <v>2366</v>
      </c>
      <c r="I1032" s="6" t="s">
        <v>4168</v>
      </c>
      <c r="J1032" s="8">
        <v>43852</v>
      </c>
      <c r="K1032" s="8">
        <v>45300</v>
      </c>
      <c r="L1032" s="6">
        <v>181200.4</v>
      </c>
      <c r="M1032" s="6">
        <v>105000.75</v>
      </c>
      <c r="N1032" s="6">
        <v>650</v>
      </c>
      <c r="O1032" s="6">
        <v>208000</v>
      </c>
      <c r="P1032" s="6" t="s">
        <v>76</v>
      </c>
      <c r="Q1032" s="6" t="s">
        <v>27</v>
      </c>
      <c r="R1032" s="6">
        <v>0</v>
      </c>
      <c r="S1032" s="6" t="s">
        <v>28</v>
      </c>
      <c r="T1032" s="7">
        <f t="shared" si="80"/>
        <v>0.50481129807692304</v>
      </c>
      <c r="U1032" s="6">
        <f t="shared" si="81"/>
        <v>6</v>
      </c>
      <c r="V1032" s="5" t="str">
        <f t="shared" si="82"/>
        <v>FAIR</v>
      </c>
      <c r="W1032" s="6" t="str">
        <f t="shared" si="83"/>
        <v>55+</v>
      </c>
      <c r="X1032" s="6" t="str">
        <f t="shared" si="84"/>
        <v>High</v>
      </c>
    </row>
    <row r="1033" spans="1:24">
      <c r="A1033" s="6" t="s">
        <v>509</v>
      </c>
      <c r="B1033" s="6" t="s">
        <v>2367</v>
      </c>
      <c r="C1033" s="6" t="s">
        <v>46</v>
      </c>
      <c r="D1033" s="6" t="s">
        <v>73</v>
      </c>
      <c r="E1033" s="6" t="s">
        <v>158</v>
      </c>
      <c r="F1033" s="6">
        <v>60</v>
      </c>
      <c r="G1033" s="6" t="s">
        <v>24</v>
      </c>
      <c r="H1033" s="6" t="s">
        <v>2368</v>
      </c>
      <c r="I1033" s="6" t="s">
        <v>4192</v>
      </c>
      <c r="J1033" s="8">
        <v>45068</v>
      </c>
      <c r="K1033" s="8">
        <v>45303</v>
      </c>
      <c r="L1033" s="6">
        <v>99800.4</v>
      </c>
      <c r="M1033" s="6">
        <v>55100.25</v>
      </c>
      <c r="N1033" s="6">
        <v>745</v>
      </c>
      <c r="O1033" s="6">
        <v>152000</v>
      </c>
      <c r="P1033" s="6" t="s">
        <v>26</v>
      </c>
      <c r="Q1033" s="6" t="s">
        <v>27</v>
      </c>
      <c r="R1033" s="6">
        <v>0</v>
      </c>
      <c r="S1033" s="6" t="s">
        <v>28</v>
      </c>
      <c r="T1033" s="7">
        <f t="shared" si="80"/>
        <v>0.3625016447368421</v>
      </c>
      <c r="U1033" s="6">
        <f t="shared" si="81"/>
        <v>3</v>
      </c>
      <c r="V1033" s="5" t="str">
        <f t="shared" si="82"/>
        <v>GOOD</v>
      </c>
      <c r="W1033" s="6" t="str">
        <f t="shared" si="83"/>
        <v>55+</v>
      </c>
      <c r="X1033" s="6" t="str">
        <f t="shared" si="84"/>
        <v>Upper-Middle</v>
      </c>
    </row>
    <row r="1034" spans="1:24">
      <c r="A1034" s="6" t="s">
        <v>513</v>
      </c>
      <c r="B1034" s="6" t="s">
        <v>2369</v>
      </c>
      <c r="C1034" s="6" t="s">
        <v>57</v>
      </c>
      <c r="D1034" s="6" t="s">
        <v>58</v>
      </c>
      <c r="E1034" s="6" t="s">
        <v>122</v>
      </c>
      <c r="F1034" s="6">
        <v>55</v>
      </c>
      <c r="G1034" s="6" t="s">
        <v>34</v>
      </c>
      <c r="H1034" s="6" t="s">
        <v>2370</v>
      </c>
      <c r="I1034" s="6" t="s">
        <v>3760</v>
      </c>
      <c r="J1034" s="8">
        <v>45252</v>
      </c>
      <c r="K1034" s="8">
        <v>45302</v>
      </c>
      <c r="L1034" s="6">
        <v>39800.800000000003</v>
      </c>
      <c r="M1034" s="6">
        <v>15600.9</v>
      </c>
      <c r="N1034" s="6">
        <v>765</v>
      </c>
      <c r="O1034" s="6">
        <v>84000</v>
      </c>
      <c r="P1034" s="6" t="s">
        <v>36</v>
      </c>
      <c r="Q1034" s="6" t="s">
        <v>27</v>
      </c>
      <c r="R1034" s="6">
        <v>0</v>
      </c>
      <c r="S1034" s="6" t="s">
        <v>28</v>
      </c>
      <c r="T1034" s="7">
        <f t="shared" si="80"/>
        <v>0.185725</v>
      </c>
      <c r="U1034" s="6">
        <f t="shared" si="81"/>
        <v>4</v>
      </c>
      <c r="V1034" s="5" t="str">
        <f t="shared" si="82"/>
        <v>VERY GOOD</v>
      </c>
      <c r="W1034" s="6" t="str">
        <f t="shared" si="83"/>
        <v>55+</v>
      </c>
      <c r="X1034" s="6" t="str">
        <f t="shared" si="84"/>
        <v>Lower-Middle</v>
      </c>
    </row>
    <row r="1035" spans="1:24">
      <c r="A1035" s="6" t="s">
        <v>516</v>
      </c>
      <c r="B1035" s="6" t="s">
        <v>2371</v>
      </c>
      <c r="C1035" s="6" t="s">
        <v>52</v>
      </c>
      <c r="D1035" s="6" t="s">
        <v>277</v>
      </c>
      <c r="E1035" s="6" t="s">
        <v>404</v>
      </c>
      <c r="F1035" s="6">
        <v>68</v>
      </c>
      <c r="G1035" s="6" t="s">
        <v>24</v>
      </c>
      <c r="H1035" s="6" t="s">
        <v>2372</v>
      </c>
      <c r="I1035" s="6" t="s">
        <v>3793</v>
      </c>
      <c r="J1035" s="8">
        <v>44522</v>
      </c>
      <c r="K1035" s="8">
        <v>45301</v>
      </c>
      <c r="L1035" s="6">
        <v>73100.75</v>
      </c>
      <c r="M1035" s="6">
        <v>46200.4</v>
      </c>
      <c r="N1035" s="6">
        <v>675</v>
      </c>
      <c r="O1035" s="6">
        <v>124000</v>
      </c>
      <c r="P1035" s="6" t="s">
        <v>26</v>
      </c>
      <c r="Q1035" s="6" t="s">
        <v>27</v>
      </c>
      <c r="R1035" s="6">
        <v>0</v>
      </c>
      <c r="S1035" s="6" t="s">
        <v>28</v>
      </c>
      <c r="T1035" s="7">
        <f t="shared" si="80"/>
        <v>0.37258387096774193</v>
      </c>
      <c r="U1035" s="6">
        <f t="shared" si="81"/>
        <v>5</v>
      </c>
      <c r="V1035" s="5" t="str">
        <f t="shared" si="82"/>
        <v>GOOD</v>
      </c>
      <c r="W1035" s="6" t="str">
        <f t="shared" si="83"/>
        <v>55+</v>
      </c>
      <c r="X1035" s="6" t="str">
        <f t="shared" si="84"/>
        <v>Lower-Middle</v>
      </c>
    </row>
    <row r="1036" spans="1:24">
      <c r="A1036" s="6" t="s">
        <v>519</v>
      </c>
      <c r="B1036" s="6" t="s">
        <v>2373</v>
      </c>
      <c r="C1036" s="6" t="s">
        <v>84</v>
      </c>
      <c r="D1036" s="6" t="s">
        <v>183</v>
      </c>
      <c r="E1036" s="6" t="s">
        <v>184</v>
      </c>
      <c r="F1036" s="6">
        <v>47</v>
      </c>
      <c r="G1036" s="6" t="s">
        <v>34</v>
      </c>
      <c r="H1036" s="6" t="s">
        <v>2374</v>
      </c>
      <c r="I1036" s="6" t="s">
        <v>3762</v>
      </c>
      <c r="J1036" s="8">
        <v>45516</v>
      </c>
      <c r="K1036" s="8">
        <v>45304</v>
      </c>
      <c r="L1036" s="6">
        <v>4500.25</v>
      </c>
      <c r="M1036" s="6">
        <v>15000.6</v>
      </c>
      <c r="N1036" s="6">
        <v>615</v>
      </c>
      <c r="O1036" s="6">
        <v>44000</v>
      </c>
      <c r="P1036" s="6" t="s">
        <v>76</v>
      </c>
      <c r="Q1036" s="6" t="s">
        <v>43</v>
      </c>
      <c r="R1036" s="6">
        <v>0</v>
      </c>
      <c r="S1036" s="6" t="s">
        <v>28</v>
      </c>
      <c r="T1036" s="7">
        <f t="shared" si="80"/>
        <v>0.34092272727272727</v>
      </c>
      <c r="U1036" s="6">
        <f t="shared" si="81"/>
        <v>2</v>
      </c>
      <c r="V1036" s="5" t="str">
        <f t="shared" si="82"/>
        <v>FAIR</v>
      </c>
      <c r="W1036" s="6" t="str">
        <f t="shared" si="83"/>
        <v>45-54</v>
      </c>
      <c r="X1036" s="6" t="str">
        <f t="shared" si="84"/>
        <v>Low</v>
      </c>
    </row>
    <row r="1037" spans="1:24">
      <c r="A1037" s="6" t="s">
        <v>522</v>
      </c>
      <c r="B1037" s="6" t="s">
        <v>2375</v>
      </c>
      <c r="C1037" s="6" t="s">
        <v>39</v>
      </c>
      <c r="D1037" s="6" t="s">
        <v>40</v>
      </c>
      <c r="E1037" s="6" t="s">
        <v>94</v>
      </c>
      <c r="F1037" s="6">
        <v>75</v>
      </c>
      <c r="G1037" s="6" t="s">
        <v>24</v>
      </c>
      <c r="H1037" s="6" t="s">
        <v>2376</v>
      </c>
      <c r="I1037" s="6" t="s">
        <v>3510</v>
      </c>
      <c r="J1037" s="8">
        <v>43821</v>
      </c>
      <c r="K1037" s="8">
        <v>45299</v>
      </c>
      <c r="L1037" s="6">
        <v>215800.8</v>
      </c>
      <c r="M1037" s="6">
        <v>118000.25</v>
      </c>
      <c r="N1037" s="6">
        <v>660</v>
      </c>
      <c r="O1037" s="6">
        <v>243000</v>
      </c>
      <c r="P1037" s="6" t="s">
        <v>76</v>
      </c>
      <c r="Q1037" s="6" t="s">
        <v>27</v>
      </c>
      <c r="R1037" s="6">
        <v>0</v>
      </c>
      <c r="S1037" s="6" t="s">
        <v>28</v>
      </c>
      <c r="T1037" s="7">
        <f t="shared" si="80"/>
        <v>0.48559773662551442</v>
      </c>
      <c r="U1037" s="6">
        <f t="shared" si="81"/>
        <v>7</v>
      </c>
      <c r="V1037" s="5" t="str">
        <f t="shared" si="82"/>
        <v>FAIR</v>
      </c>
      <c r="W1037" s="6" t="str">
        <f t="shared" si="83"/>
        <v>55+</v>
      </c>
      <c r="X1037" s="6" t="str">
        <f t="shared" si="84"/>
        <v>High</v>
      </c>
    </row>
    <row r="1038" spans="1:24">
      <c r="A1038" s="6" t="s">
        <v>306</v>
      </c>
      <c r="B1038" s="6" t="s">
        <v>2377</v>
      </c>
      <c r="C1038" s="6" t="s">
        <v>46</v>
      </c>
      <c r="D1038" s="6" t="s">
        <v>209</v>
      </c>
      <c r="E1038" s="6" t="s">
        <v>703</v>
      </c>
      <c r="F1038" s="6">
        <v>62</v>
      </c>
      <c r="G1038" s="6" t="s">
        <v>34</v>
      </c>
      <c r="H1038" s="6" t="s">
        <v>2378</v>
      </c>
      <c r="I1038" s="6" t="s">
        <v>4193</v>
      </c>
      <c r="J1038" s="8">
        <v>44673</v>
      </c>
      <c r="K1038" s="8">
        <v>45302</v>
      </c>
      <c r="L1038" s="6">
        <v>94200.9</v>
      </c>
      <c r="M1038" s="6">
        <v>52000.75</v>
      </c>
      <c r="N1038" s="6">
        <v>730</v>
      </c>
      <c r="O1038" s="6">
        <v>147000</v>
      </c>
      <c r="P1038" s="6" t="s">
        <v>26</v>
      </c>
      <c r="Q1038" s="6" t="s">
        <v>27</v>
      </c>
      <c r="R1038" s="6">
        <v>0</v>
      </c>
      <c r="S1038" s="6" t="s">
        <v>28</v>
      </c>
      <c r="T1038" s="7">
        <f t="shared" si="80"/>
        <v>0.35374659863945579</v>
      </c>
      <c r="U1038" s="6">
        <f t="shared" si="81"/>
        <v>4</v>
      </c>
      <c r="V1038" s="5" t="str">
        <f t="shared" si="82"/>
        <v>GOOD</v>
      </c>
      <c r="W1038" s="6" t="str">
        <f t="shared" si="83"/>
        <v>55+</v>
      </c>
      <c r="X1038" s="6" t="str">
        <f t="shared" si="84"/>
        <v>Upper-Middle</v>
      </c>
    </row>
    <row r="1039" spans="1:24">
      <c r="A1039" s="6" t="s">
        <v>527</v>
      </c>
      <c r="B1039" s="6" t="s">
        <v>2379</v>
      </c>
      <c r="C1039" s="6" t="s">
        <v>31</v>
      </c>
      <c r="D1039" s="6" t="s">
        <v>32</v>
      </c>
      <c r="E1039" s="6" t="s">
        <v>90</v>
      </c>
      <c r="F1039" s="6">
        <v>51</v>
      </c>
      <c r="G1039" s="6" t="s">
        <v>34</v>
      </c>
      <c r="H1039" s="6" t="s">
        <v>2380</v>
      </c>
      <c r="I1039" s="6" t="s">
        <v>3544</v>
      </c>
      <c r="J1039" s="8">
        <v>45512</v>
      </c>
      <c r="K1039" s="8">
        <v>45305</v>
      </c>
      <c r="L1039" s="6">
        <v>18100.400000000001</v>
      </c>
      <c r="M1039" s="6">
        <v>10000.25</v>
      </c>
      <c r="N1039" s="6">
        <v>705</v>
      </c>
      <c r="O1039" s="6">
        <v>61000</v>
      </c>
      <c r="P1039" s="6" t="s">
        <v>26</v>
      </c>
      <c r="Q1039" s="6" t="s">
        <v>43</v>
      </c>
      <c r="R1039" s="6">
        <v>0</v>
      </c>
      <c r="S1039" s="6" t="s">
        <v>28</v>
      </c>
      <c r="T1039" s="7">
        <f t="shared" si="80"/>
        <v>0.16393852459016395</v>
      </c>
      <c r="U1039" s="6">
        <f t="shared" si="81"/>
        <v>1</v>
      </c>
      <c r="V1039" s="5" t="str">
        <f t="shared" si="82"/>
        <v>GOOD</v>
      </c>
      <c r="W1039" s="6" t="str">
        <f t="shared" si="83"/>
        <v>45-54</v>
      </c>
      <c r="X1039" s="6" t="str">
        <f t="shared" si="84"/>
        <v>Low</v>
      </c>
    </row>
    <row r="1040" spans="1:24">
      <c r="A1040" s="6" t="s">
        <v>530</v>
      </c>
      <c r="B1040" s="6" t="s">
        <v>2381</v>
      </c>
      <c r="C1040" s="6" t="s">
        <v>57</v>
      </c>
      <c r="D1040" s="6" t="s">
        <v>219</v>
      </c>
      <c r="E1040" s="6" t="s">
        <v>220</v>
      </c>
      <c r="F1040" s="6">
        <v>56</v>
      </c>
      <c r="G1040" s="6" t="s">
        <v>24</v>
      </c>
      <c r="H1040" s="6" t="s">
        <v>2382</v>
      </c>
      <c r="I1040" s="6" t="s">
        <v>4194</v>
      </c>
      <c r="J1040" s="8">
        <v>45221</v>
      </c>
      <c r="K1040" s="8">
        <v>45303</v>
      </c>
      <c r="L1040" s="6">
        <v>38700.6</v>
      </c>
      <c r="M1040" s="6">
        <v>15000.8</v>
      </c>
      <c r="N1040" s="6">
        <v>710</v>
      </c>
      <c r="O1040" s="6">
        <v>77000</v>
      </c>
      <c r="P1040" s="6" t="s">
        <v>36</v>
      </c>
      <c r="Q1040" s="6" t="s">
        <v>27</v>
      </c>
      <c r="R1040" s="6">
        <v>0</v>
      </c>
      <c r="S1040" s="6" t="s">
        <v>28</v>
      </c>
      <c r="T1040" s="7">
        <f t="shared" si="80"/>
        <v>0.19481558441558441</v>
      </c>
      <c r="U1040" s="6">
        <f t="shared" si="81"/>
        <v>3</v>
      </c>
      <c r="V1040" s="5" t="str">
        <f t="shared" si="82"/>
        <v>GOOD</v>
      </c>
      <c r="W1040" s="6" t="str">
        <f t="shared" si="83"/>
        <v>55+</v>
      </c>
      <c r="X1040" s="6" t="str">
        <f t="shared" si="84"/>
        <v>Lower-Middle</v>
      </c>
    </row>
    <row r="1041" spans="1:24">
      <c r="A1041" s="6" t="s">
        <v>533</v>
      </c>
      <c r="B1041" s="6" t="s">
        <v>2383</v>
      </c>
      <c r="C1041" s="6" t="s">
        <v>52</v>
      </c>
      <c r="D1041" s="6" t="s">
        <v>204</v>
      </c>
      <c r="E1041" s="6" t="s">
        <v>259</v>
      </c>
      <c r="F1041" s="6">
        <v>63</v>
      </c>
      <c r="G1041" s="6" t="s">
        <v>34</v>
      </c>
      <c r="H1041" s="6" t="s">
        <v>2384</v>
      </c>
      <c r="I1041" s="6" t="s">
        <v>3797</v>
      </c>
      <c r="J1041" s="8">
        <v>44522</v>
      </c>
      <c r="K1041" s="8">
        <v>45301</v>
      </c>
      <c r="L1041" s="6">
        <v>70000.25</v>
      </c>
      <c r="M1041" s="6">
        <v>43100.9</v>
      </c>
      <c r="N1041" s="6">
        <v>695</v>
      </c>
      <c r="O1041" s="6">
        <v>112000</v>
      </c>
      <c r="P1041" s="6" t="s">
        <v>26</v>
      </c>
      <c r="Q1041" s="6" t="s">
        <v>27</v>
      </c>
      <c r="R1041" s="6">
        <v>0</v>
      </c>
      <c r="S1041" s="6" t="s">
        <v>28</v>
      </c>
      <c r="T1041" s="7">
        <f t="shared" si="80"/>
        <v>0.3848294642857143</v>
      </c>
      <c r="U1041" s="6">
        <f t="shared" si="81"/>
        <v>5</v>
      </c>
      <c r="V1041" s="5" t="str">
        <f t="shared" si="82"/>
        <v>GOOD</v>
      </c>
      <c r="W1041" s="6" t="str">
        <f t="shared" si="83"/>
        <v>55+</v>
      </c>
      <c r="X1041" s="6" t="str">
        <f t="shared" si="84"/>
        <v>Lower-Middle</v>
      </c>
    </row>
    <row r="1042" spans="1:24">
      <c r="A1042" s="6" t="s">
        <v>536</v>
      </c>
      <c r="B1042" s="6" t="s">
        <v>2385</v>
      </c>
      <c r="C1042" s="6" t="s">
        <v>39</v>
      </c>
      <c r="D1042" s="6" t="s">
        <v>195</v>
      </c>
      <c r="E1042" s="6" t="s">
        <v>196</v>
      </c>
      <c r="F1042" s="6">
        <v>71</v>
      </c>
      <c r="G1042" s="6" t="s">
        <v>24</v>
      </c>
      <c r="H1042" s="6" t="s">
        <v>2386</v>
      </c>
      <c r="I1042" s="6" t="s">
        <v>4195</v>
      </c>
      <c r="J1042" s="8">
        <v>43973</v>
      </c>
      <c r="K1042" s="8">
        <v>45300</v>
      </c>
      <c r="L1042" s="6">
        <v>148000.4</v>
      </c>
      <c r="M1042" s="6">
        <v>92000.6</v>
      </c>
      <c r="N1042" s="6">
        <v>670</v>
      </c>
      <c r="O1042" s="6">
        <v>179000</v>
      </c>
      <c r="P1042" s="6" t="s">
        <v>76</v>
      </c>
      <c r="Q1042" s="6" t="s">
        <v>27</v>
      </c>
      <c r="R1042" s="6">
        <v>0</v>
      </c>
      <c r="S1042" s="6" t="s">
        <v>28</v>
      </c>
      <c r="T1042" s="7">
        <f t="shared" si="80"/>
        <v>0.51396983240223471</v>
      </c>
      <c r="U1042" s="6">
        <f t="shared" si="81"/>
        <v>6</v>
      </c>
      <c r="V1042" s="5" t="str">
        <f t="shared" si="82"/>
        <v>GOOD</v>
      </c>
      <c r="W1042" s="6" t="str">
        <f t="shared" si="83"/>
        <v>55+</v>
      </c>
      <c r="X1042" s="6" t="str">
        <f t="shared" si="84"/>
        <v>Upper-Middle</v>
      </c>
    </row>
    <row r="1043" spans="1:24">
      <c r="A1043" s="6" t="s">
        <v>539</v>
      </c>
      <c r="B1043" s="6" t="s">
        <v>2387</v>
      </c>
      <c r="C1043" s="6" t="s">
        <v>21</v>
      </c>
      <c r="D1043" s="6" t="s">
        <v>58</v>
      </c>
      <c r="E1043" s="6" t="s">
        <v>59</v>
      </c>
      <c r="F1043" s="6">
        <v>79</v>
      </c>
      <c r="G1043" s="6" t="s">
        <v>34</v>
      </c>
      <c r="H1043" s="6" t="s">
        <v>2388</v>
      </c>
      <c r="I1043" s="6" t="s">
        <v>3767</v>
      </c>
      <c r="J1043" s="8">
        <v>43546</v>
      </c>
      <c r="K1043" s="8">
        <v>45299</v>
      </c>
      <c r="L1043" s="6">
        <v>314900.75</v>
      </c>
      <c r="M1043" s="6">
        <v>109000.8</v>
      </c>
      <c r="N1043" s="6">
        <v>835</v>
      </c>
      <c r="O1043" s="6">
        <v>324000</v>
      </c>
      <c r="P1043" s="6" t="s">
        <v>36</v>
      </c>
      <c r="Q1043" s="6" t="s">
        <v>27</v>
      </c>
      <c r="R1043" s="6">
        <v>0</v>
      </c>
      <c r="S1043" s="6" t="s">
        <v>28</v>
      </c>
      <c r="T1043" s="7">
        <f t="shared" si="80"/>
        <v>0.33642222222222223</v>
      </c>
      <c r="U1043" s="6">
        <f t="shared" si="81"/>
        <v>7</v>
      </c>
      <c r="V1043" s="5" t="str">
        <f t="shared" si="82"/>
        <v>EXCEPTIONAL</v>
      </c>
      <c r="W1043" s="6" t="str">
        <f t="shared" si="83"/>
        <v>55+</v>
      </c>
      <c r="X1043" s="6" t="str">
        <f t="shared" si="84"/>
        <v>High</v>
      </c>
    </row>
    <row r="1044" spans="1:24">
      <c r="A1044" s="6" t="s">
        <v>542</v>
      </c>
      <c r="B1044" s="6" t="s">
        <v>2389</v>
      </c>
      <c r="C1044" s="6" t="s">
        <v>52</v>
      </c>
      <c r="D1044" s="6" t="s">
        <v>68</v>
      </c>
      <c r="E1044" s="6" t="s">
        <v>69</v>
      </c>
      <c r="F1044" s="6">
        <v>66</v>
      </c>
      <c r="G1044" s="6" t="s">
        <v>34</v>
      </c>
      <c r="H1044" s="6" t="s">
        <v>2390</v>
      </c>
      <c r="I1044" s="6" t="s">
        <v>4184</v>
      </c>
      <c r="J1044" s="8">
        <v>44491</v>
      </c>
      <c r="K1044" s="8">
        <v>45302</v>
      </c>
      <c r="L1044" s="6">
        <v>78700.600000000006</v>
      </c>
      <c r="M1044" s="6">
        <v>48700.25</v>
      </c>
      <c r="N1044" s="6">
        <v>665</v>
      </c>
      <c r="O1044" s="6">
        <v>132000</v>
      </c>
      <c r="P1044" s="6" t="s">
        <v>26</v>
      </c>
      <c r="Q1044" s="6" t="s">
        <v>27</v>
      </c>
      <c r="R1044" s="6">
        <v>0</v>
      </c>
      <c r="S1044" s="6" t="s">
        <v>28</v>
      </c>
      <c r="T1044" s="7">
        <f t="shared" si="80"/>
        <v>0.36894128787878788</v>
      </c>
      <c r="U1044" s="6">
        <f t="shared" si="81"/>
        <v>4</v>
      </c>
      <c r="V1044" s="5" t="str">
        <f t="shared" si="82"/>
        <v>FAIR</v>
      </c>
      <c r="W1044" s="6" t="str">
        <f t="shared" si="83"/>
        <v>55+</v>
      </c>
      <c r="X1044" s="6" t="str">
        <f t="shared" si="84"/>
        <v>Upper-Middle</v>
      </c>
    </row>
    <row r="1045" spans="1:24">
      <c r="A1045" s="6" t="s">
        <v>545</v>
      </c>
      <c r="B1045" s="6" t="s">
        <v>2391</v>
      </c>
      <c r="C1045" s="6" t="s">
        <v>46</v>
      </c>
      <c r="D1045" s="6" t="s">
        <v>241</v>
      </c>
      <c r="E1045" s="6" t="s">
        <v>242</v>
      </c>
      <c r="F1045" s="6">
        <v>58</v>
      </c>
      <c r="G1045" s="6" t="s">
        <v>24</v>
      </c>
      <c r="H1045" s="6" t="s">
        <v>2392</v>
      </c>
      <c r="I1045" s="6" t="s">
        <v>4196</v>
      </c>
      <c r="J1045" s="8">
        <v>45129</v>
      </c>
      <c r="K1045" s="8">
        <v>45303</v>
      </c>
      <c r="L1045" s="6">
        <v>102000.8</v>
      </c>
      <c r="M1045" s="6">
        <v>56200.4</v>
      </c>
      <c r="N1045" s="6">
        <v>750</v>
      </c>
      <c r="O1045" s="6">
        <v>158000</v>
      </c>
      <c r="P1045" s="6" t="s">
        <v>26</v>
      </c>
      <c r="Q1045" s="6" t="s">
        <v>27</v>
      </c>
      <c r="R1045" s="6">
        <v>0</v>
      </c>
      <c r="S1045" s="6" t="s">
        <v>28</v>
      </c>
      <c r="T1045" s="7">
        <f t="shared" si="80"/>
        <v>0.3556987341772152</v>
      </c>
      <c r="U1045" s="6">
        <f t="shared" si="81"/>
        <v>3</v>
      </c>
      <c r="V1045" s="5" t="str">
        <f t="shared" si="82"/>
        <v>VERY GOOD</v>
      </c>
      <c r="W1045" s="6" t="str">
        <f t="shared" si="83"/>
        <v>55+</v>
      </c>
      <c r="X1045" s="6" t="str">
        <f t="shared" si="84"/>
        <v>Upper-Middle</v>
      </c>
    </row>
    <row r="1046" spans="1:24">
      <c r="A1046" s="6" t="s">
        <v>548</v>
      </c>
      <c r="B1046" s="6" t="s">
        <v>2393</v>
      </c>
      <c r="C1046" s="6" t="s">
        <v>57</v>
      </c>
      <c r="D1046" s="6" t="s">
        <v>22</v>
      </c>
      <c r="E1046" s="6" t="s">
        <v>118</v>
      </c>
      <c r="F1046" s="6">
        <v>54</v>
      </c>
      <c r="G1046" s="6" t="s">
        <v>34</v>
      </c>
      <c r="H1046" s="6" t="s">
        <v>2394</v>
      </c>
      <c r="I1046" s="6" t="s">
        <v>3831</v>
      </c>
      <c r="J1046" s="8">
        <v>45313</v>
      </c>
      <c r="K1046" s="8">
        <v>45305</v>
      </c>
      <c r="L1046" s="6">
        <v>40900.9</v>
      </c>
      <c r="M1046" s="6">
        <v>16000.75</v>
      </c>
      <c r="N1046" s="6">
        <v>770</v>
      </c>
      <c r="O1046" s="6">
        <v>89000</v>
      </c>
      <c r="P1046" s="6" t="s">
        <v>36</v>
      </c>
      <c r="Q1046" s="6" t="s">
        <v>27</v>
      </c>
      <c r="R1046" s="6">
        <v>0</v>
      </c>
      <c r="S1046" s="6" t="s">
        <v>28</v>
      </c>
      <c r="T1046" s="7">
        <f t="shared" si="80"/>
        <v>0.17978370786516853</v>
      </c>
      <c r="U1046" s="6">
        <f t="shared" si="81"/>
        <v>1</v>
      </c>
      <c r="V1046" s="5" t="str">
        <f t="shared" si="82"/>
        <v>VERY GOOD</v>
      </c>
      <c r="W1046" s="6" t="str">
        <f t="shared" si="83"/>
        <v>45-54</v>
      </c>
      <c r="X1046" s="6" t="str">
        <f t="shared" si="84"/>
        <v>Lower-Middle</v>
      </c>
    </row>
    <row r="1047" spans="1:24">
      <c r="A1047" s="6" t="s">
        <v>551</v>
      </c>
      <c r="B1047" s="6" t="s">
        <v>2395</v>
      </c>
      <c r="C1047" s="6" t="s">
        <v>39</v>
      </c>
      <c r="D1047" s="6" t="s">
        <v>313</v>
      </c>
      <c r="E1047" s="6" t="s">
        <v>314</v>
      </c>
      <c r="F1047" s="6">
        <v>77</v>
      </c>
      <c r="G1047" s="6" t="s">
        <v>24</v>
      </c>
      <c r="H1047" s="6" t="s">
        <v>2396</v>
      </c>
      <c r="I1047" s="6" t="s">
        <v>4197</v>
      </c>
      <c r="J1047" s="8">
        <v>43730</v>
      </c>
      <c r="K1047" s="8">
        <v>45299</v>
      </c>
      <c r="L1047" s="6">
        <v>201100.25</v>
      </c>
      <c r="M1047" s="6">
        <v>113000.8</v>
      </c>
      <c r="N1047" s="6">
        <v>645</v>
      </c>
      <c r="O1047" s="6">
        <v>229000</v>
      </c>
      <c r="P1047" s="6" t="s">
        <v>76</v>
      </c>
      <c r="Q1047" s="6" t="s">
        <v>27</v>
      </c>
      <c r="R1047" s="6">
        <v>0</v>
      </c>
      <c r="S1047" s="6" t="s">
        <v>28</v>
      </c>
      <c r="T1047" s="7">
        <f t="shared" si="80"/>
        <v>0.49345327510917031</v>
      </c>
      <c r="U1047" s="6">
        <f t="shared" si="81"/>
        <v>7</v>
      </c>
      <c r="V1047" s="5" t="str">
        <f t="shared" si="82"/>
        <v>FAIR</v>
      </c>
      <c r="W1047" s="6" t="str">
        <f t="shared" si="83"/>
        <v>55+</v>
      </c>
      <c r="X1047" s="6" t="str">
        <f t="shared" si="84"/>
        <v>High</v>
      </c>
    </row>
    <row r="1048" spans="1:24">
      <c r="A1048" s="6" t="s">
        <v>554</v>
      </c>
      <c r="B1048" s="6" t="s">
        <v>2397</v>
      </c>
      <c r="C1048" s="6" t="s">
        <v>31</v>
      </c>
      <c r="D1048" s="6" t="s">
        <v>214</v>
      </c>
      <c r="E1048" s="6" t="s">
        <v>724</v>
      </c>
      <c r="F1048" s="6">
        <v>50</v>
      </c>
      <c r="G1048" s="6" t="s">
        <v>34</v>
      </c>
      <c r="H1048" s="6" t="s">
        <v>2398</v>
      </c>
      <c r="I1048" s="6" t="s">
        <v>4198</v>
      </c>
      <c r="J1048" s="8">
        <v>45516</v>
      </c>
      <c r="K1048" s="8">
        <v>45306</v>
      </c>
      <c r="L1048" s="6">
        <v>34200.5</v>
      </c>
      <c r="M1048" s="6">
        <v>15600.4</v>
      </c>
      <c r="N1048" s="6">
        <v>720</v>
      </c>
      <c r="O1048" s="6">
        <v>66000</v>
      </c>
      <c r="P1048" s="6" t="s">
        <v>36</v>
      </c>
      <c r="Q1048" s="6" t="s">
        <v>27</v>
      </c>
      <c r="R1048" s="6">
        <v>0</v>
      </c>
      <c r="S1048" s="6" t="s">
        <v>28</v>
      </c>
      <c r="T1048" s="7">
        <f t="shared" si="80"/>
        <v>0.23636969696969695</v>
      </c>
      <c r="U1048" s="6">
        <f t="shared" si="81"/>
        <v>0</v>
      </c>
      <c r="V1048" s="5" t="str">
        <f t="shared" si="82"/>
        <v>GOOD</v>
      </c>
      <c r="W1048" s="6" t="str">
        <f t="shared" si="83"/>
        <v>45-54</v>
      </c>
      <c r="X1048" s="6" t="str">
        <f t="shared" si="84"/>
        <v>Low</v>
      </c>
    </row>
    <row r="1049" spans="1:24">
      <c r="A1049" s="6" t="s">
        <v>108</v>
      </c>
      <c r="B1049" s="6" t="s">
        <v>2399</v>
      </c>
      <c r="C1049" s="6" t="s">
        <v>84</v>
      </c>
      <c r="D1049" s="6" t="s">
        <v>32</v>
      </c>
      <c r="E1049" s="6" t="s">
        <v>33</v>
      </c>
      <c r="F1049" s="6">
        <v>46</v>
      </c>
      <c r="G1049" s="6" t="s">
        <v>24</v>
      </c>
      <c r="H1049" s="6" t="s">
        <v>2400</v>
      </c>
      <c r="I1049" s="6" t="s">
        <v>3620</v>
      </c>
      <c r="J1049" s="8">
        <v>45519</v>
      </c>
      <c r="K1049" s="8">
        <v>45304</v>
      </c>
      <c r="L1049" s="6">
        <v>4250.8</v>
      </c>
      <c r="M1049" s="6">
        <v>13400.25</v>
      </c>
      <c r="N1049" s="6">
        <v>605</v>
      </c>
      <c r="O1049" s="6">
        <v>42000</v>
      </c>
      <c r="P1049" s="6" t="s">
        <v>76</v>
      </c>
      <c r="Q1049" s="6" t="s">
        <v>43</v>
      </c>
      <c r="R1049" s="6">
        <v>0</v>
      </c>
      <c r="S1049" s="6" t="s">
        <v>28</v>
      </c>
      <c r="T1049" s="7">
        <f t="shared" si="80"/>
        <v>0.31905357142857144</v>
      </c>
      <c r="U1049" s="6">
        <f t="shared" si="81"/>
        <v>2</v>
      </c>
      <c r="V1049" s="5" t="str">
        <f t="shared" si="82"/>
        <v>FAIR</v>
      </c>
      <c r="W1049" s="6" t="str">
        <f t="shared" si="83"/>
        <v>45-54</v>
      </c>
      <c r="X1049" s="6" t="str">
        <f t="shared" si="84"/>
        <v>Low</v>
      </c>
    </row>
    <row r="1050" spans="1:24">
      <c r="A1050" s="6" t="s">
        <v>559</v>
      </c>
      <c r="B1050" s="6" t="s">
        <v>2401</v>
      </c>
      <c r="C1050" s="6" t="s">
        <v>46</v>
      </c>
      <c r="D1050" s="6" t="s">
        <v>254</v>
      </c>
      <c r="E1050" s="6" t="s">
        <v>255</v>
      </c>
      <c r="F1050" s="6">
        <v>60</v>
      </c>
      <c r="G1050" s="6" t="s">
        <v>34</v>
      </c>
      <c r="H1050" s="6" t="s">
        <v>2402</v>
      </c>
      <c r="I1050" s="6" t="s">
        <v>4199</v>
      </c>
      <c r="J1050" s="8">
        <v>45007</v>
      </c>
      <c r="K1050" s="8">
        <v>45302</v>
      </c>
      <c r="L1050" s="6">
        <v>88700.4</v>
      </c>
      <c r="M1050" s="6">
        <v>50900.75</v>
      </c>
      <c r="N1050" s="6">
        <v>710</v>
      </c>
      <c r="O1050" s="6">
        <v>140000</v>
      </c>
      <c r="P1050" s="6" t="s">
        <v>26</v>
      </c>
      <c r="Q1050" s="6" t="s">
        <v>27</v>
      </c>
      <c r="R1050" s="6">
        <v>0</v>
      </c>
      <c r="S1050" s="6" t="s">
        <v>28</v>
      </c>
      <c r="T1050" s="7">
        <f t="shared" si="80"/>
        <v>0.3635767857142857</v>
      </c>
      <c r="U1050" s="6">
        <f t="shared" si="81"/>
        <v>4</v>
      </c>
      <c r="V1050" s="5" t="str">
        <f t="shared" si="82"/>
        <v>GOOD</v>
      </c>
      <c r="W1050" s="6" t="str">
        <f t="shared" si="83"/>
        <v>55+</v>
      </c>
      <c r="X1050" s="6" t="str">
        <f t="shared" si="84"/>
        <v>Upper-Middle</v>
      </c>
    </row>
    <row r="1051" spans="1:24">
      <c r="A1051" s="6" t="s">
        <v>562</v>
      </c>
      <c r="B1051" s="6" t="s">
        <v>2403</v>
      </c>
      <c r="C1051" s="6" t="s">
        <v>39</v>
      </c>
      <c r="D1051" s="6" t="s">
        <v>47</v>
      </c>
      <c r="E1051" s="6" t="s">
        <v>98</v>
      </c>
      <c r="F1051" s="6">
        <v>74</v>
      </c>
      <c r="G1051" s="6" t="s">
        <v>24</v>
      </c>
      <c r="H1051" s="6" t="s">
        <v>2404</v>
      </c>
      <c r="I1051" s="6" t="s">
        <v>3773</v>
      </c>
      <c r="J1051" s="8">
        <v>43883</v>
      </c>
      <c r="K1051" s="8">
        <v>45300</v>
      </c>
      <c r="L1051" s="6">
        <v>181300.6</v>
      </c>
      <c r="M1051" s="6">
        <v>106000.25</v>
      </c>
      <c r="N1051" s="6">
        <v>675</v>
      </c>
      <c r="O1051" s="6">
        <v>209000</v>
      </c>
      <c r="P1051" s="6" t="s">
        <v>76</v>
      </c>
      <c r="Q1051" s="6" t="s">
        <v>27</v>
      </c>
      <c r="R1051" s="6">
        <v>0</v>
      </c>
      <c r="S1051" s="6" t="s">
        <v>28</v>
      </c>
      <c r="T1051" s="7">
        <f t="shared" si="80"/>
        <v>0.50717822966507176</v>
      </c>
      <c r="U1051" s="6">
        <f t="shared" si="81"/>
        <v>6</v>
      </c>
      <c r="V1051" s="5" t="str">
        <f t="shared" si="82"/>
        <v>GOOD</v>
      </c>
      <c r="W1051" s="6" t="str">
        <f t="shared" si="83"/>
        <v>55+</v>
      </c>
      <c r="X1051" s="6" t="str">
        <f t="shared" si="84"/>
        <v>High</v>
      </c>
    </row>
    <row r="1052" spans="1:24">
      <c r="A1052" s="6" t="s">
        <v>565</v>
      </c>
      <c r="B1052" s="6" t="s">
        <v>2405</v>
      </c>
      <c r="C1052" s="6" t="s">
        <v>52</v>
      </c>
      <c r="D1052" s="6" t="s">
        <v>233</v>
      </c>
      <c r="E1052" s="6" t="s">
        <v>234</v>
      </c>
      <c r="F1052" s="6">
        <v>59</v>
      </c>
      <c r="G1052" s="6" t="s">
        <v>34</v>
      </c>
      <c r="H1052" s="6" t="s">
        <v>2406</v>
      </c>
      <c r="I1052" s="6" t="s">
        <v>3774</v>
      </c>
      <c r="J1052" s="8">
        <v>44795</v>
      </c>
      <c r="K1052" s="8">
        <v>45301</v>
      </c>
      <c r="L1052" s="6">
        <v>65100.75</v>
      </c>
      <c r="M1052" s="6">
        <v>42000.800000000003</v>
      </c>
      <c r="N1052" s="6">
        <v>725</v>
      </c>
      <c r="O1052" s="6">
        <v>106000</v>
      </c>
      <c r="P1052" s="6" t="s">
        <v>26</v>
      </c>
      <c r="Q1052" s="6" t="s">
        <v>27</v>
      </c>
      <c r="R1052" s="6">
        <v>0</v>
      </c>
      <c r="S1052" s="6" t="s">
        <v>28</v>
      </c>
      <c r="T1052" s="7">
        <f t="shared" si="80"/>
        <v>0.39623396226415097</v>
      </c>
      <c r="U1052" s="6">
        <f t="shared" si="81"/>
        <v>5</v>
      </c>
      <c r="V1052" s="5" t="str">
        <f t="shared" si="82"/>
        <v>GOOD</v>
      </c>
      <c r="W1052" s="6" t="str">
        <f t="shared" si="83"/>
        <v>55+</v>
      </c>
      <c r="X1052" s="6" t="str">
        <f t="shared" si="84"/>
        <v>Lower-Middle</v>
      </c>
    </row>
    <row r="1053" spans="1:24">
      <c r="A1053" s="6" t="s">
        <v>568</v>
      </c>
      <c r="B1053" s="6" t="s">
        <v>2407</v>
      </c>
      <c r="C1053" s="6" t="s">
        <v>57</v>
      </c>
      <c r="D1053" s="6" t="s">
        <v>79</v>
      </c>
      <c r="E1053" s="6" t="s">
        <v>80</v>
      </c>
      <c r="F1053" s="6">
        <v>57</v>
      </c>
      <c r="G1053" s="6" t="s">
        <v>24</v>
      </c>
      <c r="H1053" s="6" t="s">
        <v>2408</v>
      </c>
      <c r="I1053" s="6" t="s">
        <v>3775</v>
      </c>
      <c r="J1053" s="8">
        <v>45252</v>
      </c>
      <c r="K1053" s="8">
        <v>45303</v>
      </c>
      <c r="L1053" s="6">
        <v>43100.4</v>
      </c>
      <c r="M1053" s="6">
        <v>16800.900000000001</v>
      </c>
      <c r="N1053" s="6">
        <v>740</v>
      </c>
      <c r="O1053" s="6">
        <v>92000</v>
      </c>
      <c r="P1053" s="6" t="s">
        <v>36</v>
      </c>
      <c r="Q1053" s="6" t="s">
        <v>27</v>
      </c>
      <c r="R1053" s="6">
        <v>0</v>
      </c>
      <c r="S1053" s="6" t="s">
        <v>28</v>
      </c>
      <c r="T1053" s="7">
        <f t="shared" si="80"/>
        <v>0.18261847826086958</v>
      </c>
      <c r="U1053" s="6">
        <f t="shared" si="81"/>
        <v>3</v>
      </c>
      <c r="V1053" s="5" t="str">
        <f t="shared" si="82"/>
        <v>GOOD</v>
      </c>
      <c r="W1053" s="6" t="str">
        <f t="shared" si="83"/>
        <v>55+</v>
      </c>
      <c r="X1053" s="6" t="str">
        <f t="shared" si="84"/>
        <v>Lower-Middle</v>
      </c>
    </row>
    <row r="1054" spans="1:24">
      <c r="A1054" s="6" t="s">
        <v>571</v>
      </c>
      <c r="B1054" s="6" t="s">
        <v>2409</v>
      </c>
      <c r="C1054" s="6" t="s">
        <v>21</v>
      </c>
      <c r="D1054" s="6" t="s">
        <v>63</v>
      </c>
      <c r="E1054" s="6" t="s">
        <v>3514</v>
      </c>
      <c r="F1054" s="6">
        <v>80</v>
      </c>
      <c r="G1054" s="6" t="s">
        <v>34</v>
      </c>
      <c r="H1054" s="6" t="s">
        <v>2410</v>
      </c>
      <c r="I1054" s="6" t="s">
        <v>4025</v>
      </c>
      <c r="J1054" s="8">
        <v>43426</v>
      </c>
      <c r="K1054" s="8">
        <v>45299</v>
      </c>
      <c r="L1054" s="6">
        <v>270200.90000000002</v>
      </c>
      <c r="M1054" s="6">
        <v>96000.6</v>
      </c>
      <c r="N1054" s="6">
        <v>830</v>
      </c>
      <c r="O1054" s="6">
        <v>304000</v>
      </c>
      <c r="P1054" s="6" t="s">
        <v>36</v>
      </c>
      <c r="Q1054" s="6" t="s">
        <v>27</v>
      </c>
      <c r="R1054" s="6">
        <v>0</v>
      </c>
      <c r="S1054" s="6" t="s">
        <v>28</v>
      </c>
      <c r="T1054" s="7">
        <f t="shared" si="80"/>
        <v>0.31579144736842107</v>
      </c>
      <c r="U1054" s="6">
        <f t="shared" si="81"/>
        <v>7</v>
      </c>
      <c r="V1054" s="5" t="str">
        <f t="shared" si="82"/>
        <v>EXCEPTIONAL</v>
      </c>
      <c r="W1054" s="6" t="str">
        <f t="shared" si="83"/>
        <v>55+</v>
      </c>
      <c r="X1054" s="6" t="str">
        <f t="shared" si="84"/>
        <v>High</v>
      </c>
    </row>
    <row r="1055" spans="1:24">
      <c r="A1055" s="6" t="s">
        <v>574</v>
      </c>
      <c r="B1055" s="6" t="s">
        <v>2411</v>
      </c>
      <c r="C1055" s="6" t="s">
        <v>39</v>
      </c>
      <c r="D1055" s="6" t="s">
        <v>68</v>
      </c>
      <c r="E1055" s="6" t="s">
        <v>114</v>
      </c>
      <c r="F1055" s="6">
        <v>72</v>
      </c>
      <c r="G1055" s="6" t="s">
        <v>24</v>
      </c>
      <c r="H1055" s="6" t="s">
        <v>2412</v>
      </c>
      <c r="I1055" s="6" t="s">
        <v>4200</v>
      </c>
      <c r="J1055" s="8">
        <v>44024</v>
      </c>
      <c r="K1055" s="8">
        <v>45300</v>
      </c>
      <c r="L1055" s="6">
        <v>159100.25</v>
      </c>
      <c r="M1055" s="6">
        <v>98000.4</v>
      </c>
      <c r="N1055" s="6">
        <v>655</v>
      </c>
      <c r="O1055" s="6">
        <v>194000</v>
      </c>
      <c r="P1055" s="6" t="s">
        <v>76</v>
      </c>
      <c r="Q1055" s="6" t="s">
        <v>27</v>
      </c>
      <c r="R1055" s="6">
        <v>0</v>
      </c>
      <c r="S1055" s="6" t="s">
        <v>28</v>
      </c>
      <c r="T1055" s="7">
        <f t="shared" si="80"/>
        <v>0.5051567010309278</v>
      </c>
      <c r="U1055" s="6">
        <f t="shared" si="81"/>
        <v>6</v>
      </c>
      <c r="V1055" s="5" t="str">
        <f t="shared" si="82"/>
        <v>FAIR</v>
      </c>
      <c r="W1055" s="6" t="str">
        <f t="shared" si="83"/>
        <v>55+</v>
      </c>
      <c r="X1055" s="6" t="str">
        <f t="shared" si="84"/>
        <v>High</v>
      </c>
    </row>
    <row r="1056" spans="1:24">
      <c r="A1056" s="6" t="s">
        <v>577</v>
      </c>
      <c r="B1056" s="6" t="s">
        <v>2413</v>
      </c>
      <c r="C1056" s="6" t="s">
        <v>46</v>
      </c>
      <c r="D1056" s="6" t="s">
        <v>85</v>
      </c>
      <c r="E1056" s="6" t="s">
        <v>162</v>
      </c>
      <c r="F1056" s="6">
        <v>61</v>
      </c>
      <c r="G1056" s="6" t="s">
        <v>34</v>
      </c>
      <c r="H1056" s="6" t="s">
        <v>2414</v>
      </c>
      <c r="I1056" s="6" t="s">
        <v>3840</v>
      </c>
      <c r="J1056" s="8">
        <v>44917</v>
      </c>
      <c r="K1056" s="8">
        <v>45302</v>
      </c>
      <c r="L1056" s="6">
        <v>107600.6</v>
      </c>
      <c r="M1056" s="6">
        <v>58900.75</v>
      </c>
      <c r="N1056" s="6">
        <v>760</v>
      </c>
      <c r="O1056" s="6">
        <v>163000</v>
      </c>
      <c r="P1056" s="6" t="s">
        <v>26</v>
      </c>
      <c r="Q1056" s="6" t="s">
        <v>27</v>
      </c>
      <c r="R1056" s="6">
        <v>0</v>
      </c>
      <c r="S1056" s="6" t="s">
        <v>28</v>
      </c>
      <c r="T1056" s="7">
        <f t="shared" si="80"/>
        <v>0.36135429447852763</v>
      </c>
      <c r="U1056" s="6">
        <f t="shared" si="81"/>
        <v>4</v>
      </c>
      <c r="V1056" s="5" t="str">
        <f t="shared" si="82"/>
        <v>VERY GOOD</v>
      </c>
      <c r="W1056" s="6" t="str">
        <f t="shared" si="83"/>
        <v>55+</v>
      </c>
      <c r="X1056" s="6" t="str">
        <f t="shared" si="84"/>
        <v>Upper-Middle</v>
      </c>
    </row>
    <row r="1057" spans="1:24">
      <c r="A1057" s="6" t="s">
        <v>458</v>
      </c>
      <c r="B1057" s="6" t="s">
        <v>2415</v>
      </c>
      <c r="C1057" s="6" t="s">
        <v>31</v>
      </c>
      <c r="D1057" s="6" t="s">
        <v>460</v>
      </c>
      <c r="E1057" s="6" t="s">
        <v>663</v>
      </c>
      <c r="F1057" s="6">
        <v>52</v>
      </c>
      <c r="G1057" s="6" t="s">
        <v>24</v>
      </c>
      <c r="H1057" s="6" t="s">
        <v>2416</v>
      </c>
      <c r="I1057" s="6" t="s">
        <v>4201</v>
      </c>
      <c r="J1057" s="8">
        <v>45512</v>
      </c>
      <c r="K1057" s="8">
        <v>45306</v>
      </c>
      <c r="L1057" s="6">
        <v>20400.25</v>
      </c>
      <c r="M1057" s="6">
        <v>12100.8</v>
      </c>
      <c r="N1057" s="6">
        <v>695</v>
      </c>
      <c r="O1057" s="6">
        <v>63000</v>
      </c>
      <c r="P1057" s="6" t="s">
        <v>26</v>
      </c>
      <c r="Q1057" s="6" t="s">
        <v>43</v>
      </c>
      <c r="R1057" s="6">
        <v>0</v>
      </c>
      <c r="S1057" s="6" t="s">
        <v>28</v>
      </c>
      <c r="T1057" s="7">
        <f t="shared" si="80"/>
        <v>0.19207619047619046</v>
      </c>
      <c r="U1057" s="6">
        <f t="shared" si="81"/>
        <v>0</v>
      </c>
      <c r="V1057" s="5" t="str">
        <f t="shared" si="82"/>
        <v>GOOD</v>
      </c>
      <c r="W1057" s="6" t="str">
        <f t="shared" si="83"/>
        <v>45-54</v>
      </c>
      <c r="X1057" s="6" t="str">
        <f t="shared" si="84"/>
        <v>Low</v>
      </c>
    </row>
    <row r="1058" spans="1:24">
      <c r="A1058" s="6" t="s">
        <v>582</v>
      </c>
      <c r="B1058" s="6" t="s">
        <v>2417</v>
      </c>
      <c r="C1058" s="6" t="s">
        <v>57</v>
      </c>
      <c r="D1058" s="6" t="s">
        <v>22</v>
      </c>
      <c r="E1058" s="6" t="s">
        <v>23</v>
      </c>
      <c r="F1058" s="6">
        <v>55</v>
      </c>
      <c r="G1058" s="6" t="s">
        <v>34</v>
      </c>
      <c r="H1058" s="6" t="s">
        <v>2418</v>
      </c>
      <c r="I1058" s="6" t="s">
        <v>3990</v>
      </c>
      <c r="J1058" s="8">
        <v>45191</v>
      </c>
      <c r="K1058" s="8">
        <v>45303</v>
      </c>
      <c r="L1058" s="6">
        <v>42000.9</v>
      </c>
      <c r="M1058" s="6">
        <v>16400.25</v>
      </c>
      <c r="N1058" s="6">
        <v>755</v>
      </c>
      <c r="O1058" s="6">
        <v>85000</v>
      </c>
      <c r="P1058" s="6" t="s">
        <v>36</v>
      </c>
      <c r="Q1058" s="6" t="s">
        <v>27</v>
      </c>
      <c r="R1058" s="6">
        <v>0</v>
      </c>
      <c r="S1058" s="6" t="s">
        <v>28</v>
      </c>
      <c r="T1058" s="7">
        <f t="shared" si="80"/>
        <v>0.19294411764705882</v>
      </c>
      <c r="U1058" s="6">
        <f t="shared" si="81"/>
        <v>3</v>
      </c>
      <c r="V1058" s="5" t="str">
        <f t="shared" si="82"/>
        <v>VERY GOOD</v>
      </c>
      <c r="W1058" s="6" t="str">
        <f t="shared" si="83"/>
        <v>55+</v>
      </c>
      <c r="X1058" s="6" t="str">
        <f t="shared" si="84"/>
        <v>Lower-Middle</v>
      </c>
    </row>
    <row r="1059" spans="1:24">
      <c r="A1059" s="6" t="s">
        <v>55</v>
      </c>
      <c r="B1059" s="6" t="s">
        <v>2419</v>
      </c>
      <c r="C1059" s="6" t="s">
        <v>39</v>
      </c>
      <c r="D1059" s="6" t="s">
        <v>58</v>
      </c>
      <c r="E1059" s="6" t="s">
        <v>122</v>
      </c>
      <c r="F1059" s="6">
        <v>73</v>
      </c>
      <c r="G1059" s="6" t="s">
        <v>24</v>
      </c>
      <c r="H1059" s="6" t="s">
        <v>2420</v>
      </c>
      <c r="I1059" s="6" t="s">
        <v>3781</v>
      </c>
      <c r="J1059" s="8">
        <v>43943</v>
      </c>
      <c r="K1059" s="8">
        <v>45300</v>
      </c>
      <c r="L1059" s="6">
        <v>192000.4</v>
      </c>
      <c r="M1059" s="6">
        <v>111000.75</v>
      </c>
      <c r="N1059" s="6">
        <v>685</v>
      </c>
      <c r="O1059" s="6">
        <v>219000</v>
      </c>
      <c r="P1059" s="6" t="s">
        <v>76</v>
      </c>
      <c r="Q1059" s="6" t="s">
        <v>27</v>
      </c>
      <c r="R1059" s="6">
        <v>0</v>
      </c>
      <c r="S1059" s="6" t="s">
        <v>28</v>
      </c>
      <c r="T1059" s="7">
        <f t="shared" si="80"/>
        <v>0.5068527397260274</v>
      </c>
      <c r="U1059" s="6">
        <f t="shared" si="81"/>
        <v>6</v>
      </c>
      <c r="V1059" s="5" t="str">
        <f t="shared" si="82"/>
        <v>GOOD</v>
      </c>
      <c r="W1059" s="6" t="str">
        <f t="shared" si="83"/>
        <v>55+</v>
      </c>
      <c r="X1059" s="6" t="str">
        <f t="shared" si="84"/>
        <v>High</v>
      </c>
    </row>
    <row r="1060" spans="1:24">
      <c r="A1060" s="6" t="s">
        <v>469</v>
      </c>
      <c r="B1060" s="6" t="s">
        <v>2421</v>
      </c>
      <c r="C1060" s="6" t="s">
        <v>52</v>
      </c>
      <c r="D1060" s="6" t="s">
        <v>471</v>
      </c>
      <c r="E1060" s="6" t="s">
        <v>472</v>
      </c>
      <c r="F1060" s="6">
        <v>64</v>
      </c>
      <c r="G1060" s="6" t="s">
        <v>34</v>
      </c>
      <c r="H1060" s="6" t="s">
        <v>2422</v>
      </c>
      <c r="I1060" s="6" t="s">
        <v>4202</v>
      </c>
      <c r="J1060" s="8">
        <v>44583</v>
      </c>
      <c r="K1060" s="8">
        <v>45301</v>
      </c>
      <c r="L1060" s="6">
        <v>72000.800000000003</v>
      </c>
      <c r="M1060" s="6">
        <v>45100.6</v>
      </c>
      <c r="N1060" s="6">
        <v>715</v>
      </c>
      <c r="O1060" s="6">
        <v>118000</v>
      </c>
      <c r="P1060" s="6" t="s">
        <v>26</v>
      </c>
      <c r="Q1060" s="6" t="s">
        <v>27</v>
      </c>
      <c r="R1060" s="6">
        <v>0</v>
      </c>
      <c r="S1060" s="6" t="s">
        <v>28</v>
      </c>
      <c r="T1060" s="7">
        <f t="shared" si="80"/>
        <v>0.38220847457627116</v>
      </c>
      <c r="U1060" s="6">
        <f t="shared" si="81"/>
        <v>5</v>
      </c>
      <c r="V1060" s="5" t="str">
        <f t="shared" si="82"/>
        <v>GOOD</v>
      </c>
      <c r="W1060" s="6" t="str">
        <f t="shared" si="83"/>
        <v>55+</v>
      </c>
      <c r="X1060" s="6" t="str">
        <f t="shared" si="84"/>
        <v>Lower-Middle</v>
      </c>
    </row>
    <row r="1061" spans="1:24">
      <c r="A1061" s="6" t="s">
        <v>474</v>
      </c>
      <c r="B1061" s="6" t="s">
        <v>2423</v>
      </c>
      <c r="C1061" s="6" t="s">
        <v>46</v>
      </c>
      <c r="D1061" s="6" t="s">
        <v>345</v>
      </c>
      <c r="E1061" s="6" t="s">
        <v>346</v>
      </c>
      <c r="F1061" s="6">
        <v>67</v>
      </c>
      <c r="G1061" s="6" t="s">
        <v>24</v>
      </c>
      <c r="H1061" s="6" t="s">
        <v>2424</v>
      </c>
      <c r="I1061" s="6" t="s">
        <v>3783</v>
      </c>
      <c r="J1061" s="8">
        <v>44491</v>
      </c>
      <c r="K1061" s="8">
        <v>45302</v>
      </c>
      <c r="L1061" s="6">
        <v>99800.25</v>
      </c>
      <c r="M1061" s="6">
        <v>55100.4</v>
      </c>
      <c r="N1061" s="6">
        <v>680</v>
      </c>
      <c r="O1061" s="6">
        <v>147000</v>
      </c>
      <c r="P1061" s="6" t="s">
        <v>26</v>
      </c>
      <c r="Q1061" s="6" t="s">
        <v>27</v>
      </c>
      <c r="R1061" s="6">
        <v>0</v>
      </c>
      <c r="S1061" s="6" t="s">
        <v>28</v>
      </c>
      <c r="T1061" s="7">
        <f t="shared" si="80"/>
        <v>0.37483265306122449</v>
      </c>
      <c r="U1061" s="6">
        <f t="shared" si="81"/>
        <v>4</v>
      </c>
      <c r="V1061" s="5" t="str">
        <f t="shared" si="82"/>
        <v>GOOD</v>
      </c>
      <c r="W1061" s="6" t="str">
        <f t="shared" si="83"/>
        <v>55+</v>
      </c>
      <c r="X1061" s="6" t="str">
        <f t="shared" si="84"/>
        <v>Upper-Middle</v>
      </c>
    </row>
    <row r="1062" spans="1:24">
      <c r="A1062" s="6" t="s">
        <v>592</v>
      </c>
      <c r="B1062" s="6" t="s">
        <v>2425</v>
      </c>
      <c r="C1062" s="6" t="s">
        <v>84</v>
      </c>
      <c r="D1062" s="6" t="s">
        <v>32</v>
      </c>
      <c r="E1062" s="6" t="s">
        <v>90</v>
      </c>
      <c r="F1062" s="6">
        <v>47</v>
      </c>
      <c r="G1062" s="6" t="s">
        <v>34</v>
      </c>
      <c r="H1062" s="6" t="s">
        <v>2426</v>
      </c>
      <c r="I1062" s="6" t="s">
        <v>3784</v>
      </c>
      <c r="J1062" s="8">
        <v>45526</v>
      </c>
      <c r="K1062" s="8">
        <v>45304</v>
      </c>
      <c r="L1062" s="6">
        <v>4350.3999999999996</v>
      </c>
      <c r="M1062" s="6">
        <v>14000.75</v>
      </c>
      <c r="N1062" s="6">
        <v>610</v>
      </c>
      <c r="O1062" s="6">
        <v>43000</v>
      </c>
      <c r="P1062" s="6" t="s">
        <v>76</v>
      </c>
      <c r="Q1062" s="6" t="s">
        <v>43</v>
      </c>
      <c r="R1062" s="6">
        <v>0</v>
      </c>
      <c r="S1062" s="6" t="s">
        <v>28</v>
      </c>
      <c r="T1062" s="7">
        <f t="shared" si="80"/>
        <v>0.32559883720930233</v>
      </c>
      <c r="U1062" s="6">
        <f t="shared" si="81"/>
        <v>2</v>
      </c>
      <c r="V1062" s="5" t="str">
        <f t="shared" si="82"/>
        <v>FAIR</v>
      </c>
      <c r="W1062" s="6" t="str">
        <f t="shared" si="83"/>
        <v>45-54</v>
      </c>
      <c r="X1062" s="6" t="str">
        <f t="shared" si="84"/>
        <v>Low</v>
      </c>
    </row>
    <row r="1063" spans="1:24">
      <c r="A1063" s="6" t="s">
        <v>595</v>
      </c>
      <c r="B1063" s="6" t="s">
        <v>2427</v>
      </c>
      <c r="C1063" s="6" t="s">
        <v>21</v>
      </c>
      <c r="D1063" s="6" t="s">
        <v>209</v>
      </c>
      <c r="E1063" s="6" t="s">
        <v>210</v>
      </c>
      <c r="F1063" s="6">
        <v>79</v>
      </c>
      <c r="G1063" s="6" t="s">
        <v>24</v>
      </c>
      <c r="H1063" s="6" t="s">
        <v>2428</v>
      </c>
      <c r="I1063" s="6" t="s">
        <v>4017</v>
      </c>
      <c r="J1063" s="8">
        <v>43638</v>
      </c>
      <c r="K1063" s="8">
        <v>45299</v>
      </c>
      <c r="L1063" s="6">
        <v>290000.8</v>
      </c>
      <c r="M1063" s="6">
        <v>102000.25</v>
      </c>
      <c r="N1063" s="6">
        <v>825</v>
      </c>
      <c r="O1063" s="6">
        <v>299000</v>
      </c>
      <c r="P1063" s="6" t="s">
        <v>36</v>
      </c>
      <c r="Q1063" s="6" t="s">
        <v>27</v>
      </c>
      <c r="R1063" s="6">
        <v>0</v>
      </c>
      <c r="S1063" s="6" t="s">
        <v>28</v>
      </c>
      <c r="T1063" s="7">
        <f t="shared" si="80"/>
        <v>0.34113795986622075</v>
      </c>
      <c r="U1063" s="6">
        <f t="shared" si="81"/>
        <v>7</v>
      </c>
      <c r="V1063" s="5" t="str">
        <f t="shared" si="82"/>
        <v>EXCEPTIONAL</v>
      </c>
      <c r="W1063" s="6" t="str">
        <f t="shared" si="83"/>
        <v>55+</v>
      </c>
      <c r="X1063" s="6" t="str">
        <f t="shared" si="84"/>
        <v>High</v>
      </c>
    </row>
    <row r="1064" spans="1:24">
      <c r="A1064" s="6" t="s">
        <v>226</v>
      </c>
      <c r="B1064" s="6" t="s">
        <v>2429</v>
      </c>
      <c r="C1064" s="6" t="s">
        <v>57</v>
      </c>
      <c r="D1064" s="6" t="s">
        <v>228</v>
      </c>
      <c r="E1064" s="6" t="s">
        <v>229</v>
      </c>
      <c r="F1064" s="6">
        <v>54</v>
      </c>
      <c r="G1064" s="6" t="s">
        <v>34</v>
      </c>
      <c r="H1064" s="6" t="s">
        <v>2430</v>
      </c>
      <c r="I1064" s="6" t="s">
        <v>4203</v>
      </c>
      <c r="J1064" s="8">
        <v>45373</v>
      </c>
      <c r="K1064" s="8">
        <v>45305</v>
      </c>
      <c r="L1064" s="6">
        <v>38700.75</v>
      </c>
      <c r="M1064" s="6">
        <v>14800.4</v>
      </c>
      <c r="N1064" s="6">
        <v>725</v>
      </c>
      <c r="O1064" s="6">
        <v>75000</v>
      </c>
      <c r="P1064" s="6" t="s">
        <v>36</v>
      </c>
      <c r="Q1064" s="6" t="s">
        <v>27</v>
      </c>
      <c r="R1064" s="6">
        <v>0</v>
      </c>
      <c r="S1064" s="6" t="s">
        <v>28</v>
      </c>
      <c r="T1064" s="7">
        <f t="shared" si="80"/>
        <v>0.19733866666666666</v>
      </c>
      <c r="U1064" s="6">
        <f t="shared" si="81"/>
        <v>1</v>
      </c>
      <c r="V1064" s="5" t="str">
        <f t="shared" si="82"/>
        <v>GOOD</v>
      </c>
      <c r="W1064" s="6" t="str">
        <f t="shared" si="83"/>
        <v>45-54</v>
      </c>
      <c r="X1064" s="6" t="str">
        <f t="shared" si="84"/>
        <v>Lower-Middle</v>
      </c>
    </row>
    <row r="1065" spans="1:24">
      <c r="A1065" s="6" t="s">
        <v>488</v>
      </c>
      <c r="B1065" s="6" t="s">
        <v>2431</v>
      </c>
      <c r="C1065" s="6" t="s">
        <v>39</v>
      </c>
      <c r="D1065" s="6" t="s">
        <v>304</v>
      </c>
      <c r="E1065" s="6" t="s">
        <v>304</v>
      </c>
      <c r="F1065" s="6">
        <v>71</v>
      </c>
      <c r="G1065" s="6" t="s">
        <v>24</v>
      </c>
      <c r="H1065" s="6" t="s">
        <v>2432</v>
      </c>
      <c r="I1065" s="6" t="s">
        <v>4204</v>
      </c>
      <c r="J1065" s="8">
        <v>44116</v>
      </c>
      <c r="K1065" s="8">
        <v>45300</v>
      </c>
      <c r="L1065" s="6">
        <v>170200.6</v>
      </c>
      <c r="M1065" s="6">
        <v>102000.9</v>
      </c>
      <c r="N1065" s="6">
        <v>675</v>
      </c>
      <c r="O1065" s="6">
        <v>199000</v>
      </c>
      <c r="P1065" s="6" t="s">
        <v>76</v>
      </c>
      <c r="Q1065" s="6" t="s">
        <v>27</v>
      </c>
      <c r="R1065" s="6">
        <v>0</v>
      </c>
      <c r="S1065" s="6" t="s">
        <v>28</v>
      </c>
      <c r="T1065" s="7">
        <f t="shared" si="80"/>
        <v>0.51256733668341703</v>
      </c>
      <c r="U1065" s="6">
        <f t="shared" si="81"/>
        <v>6</v>
      </c>
      <c r="V1065" s="5" t="str">
        <f t="shared" si="82"/>
        <v>GOOD</v>
      </c>
      <c r="W1065" s="6" t="str">
        <f t="shared" si="83"/>
        <v>55+</v>
      </c>
      <c r="X1065" s="6" t="str">
        <f t="shared" si="84"/>
        <v>High</v>
      </c>
    </row>
    <row r="1066" spans="1:24">
      <c r="A1066" s="6" t="s">
        <v>491</v>
      </c>
      <c r="B1066" s="6" t="s">
        <v>2433</v>
      </c>
      <c r="C1066" s="6" t="s">
        <v>52</v>
      </c>
      <c r="D1066" s="6" t="s">
        <v>493</v>
      </c>
      <c r="E1066" s="6" t="s">
        <v>494</v>
      </c>
      <c r="F1066" s="6">
        <v>62</v>
      </c>
      <c r="G1066" s="6" t="s">
        <v>34</v>
      </c>
      <c r="H1066" s="6" t="s">
        <v>2434</v>
      </c>
      <c r="I1066" s="6" t="s">
        <v>4205</v>
      </c>
      <c r="J1066" s="8">
        <v>44887</v>
      </c>
      <c r="K1066" s="8">
        <v>45302</v>
      </c>
      <c r="L1066" s="6">
        <v>66200.399999999994</v>
      </c>
      <c r="M1066" s="6">
        <v>40900.25</v>
      </c>
      <c r="N1066" s="6">
        <v>705</v>
      </c>
      <c r="O1066" s="6">
        <v>107000</v>
      </c>
      <c r="P1066" s="6" t="s">
        <v>26</v>
      </c>
      <c r="Q1066" s="6" t="s">
        <v>27</v>
      </c>
      <c r="R1066" s="6">
        <v>0</v>
      </c>
      <c r="S1066" s="6" t="s">
        <v>28</v>
      </c>
      <c r="T1066" s="7">
        <f t="shared" si="80"/>
        <v>0.38224532710280373</v>
      </c>
      <c r="U1066" s="6">
        <f t="shared" si="81"/>
        <v>4</v>
      </c>
      <c r="V1066" s="5" t="str">
        <f t="shared" si="82"/>
        <v>GOOD</v>
      </c>
      <c r="W1066" s="6" t="str">
        <f t="shared" si="83"/>
        <v>55+</v>
      </c>
      <c r="X1066" s="6" t="str">
        <f t="shared" si="84"/>
        <v>Lower-Middle</v>
      </c>
    </row>
    <row r="1067" spans="1:24">
      <c r="A1067" s="6" t="s">
        <v>496</v>
      </c>
      <c r="B1067" s="6" t="s">
        <v>2435</v>
      </c>
      <c r="C1067" s="6" t="s">
        <v>46</v>
      </c>
      <c r="D1067" s="6" t="s">
        <v>321</v>
      </c>
      <c r="E1067" s="6" t="s">
        <v>322</v>
      </c>
      <c r="F1067" s="6">
        <v>65</v>
      </c>
      <c r="G1067" s="6" t="s">
        <v>24</v>
      </c>
      <c r="H1067" s="6" t="s">
        <v>2436</v>
      </c>
      <c r="I1067" s="6" t="s">
        <v>4206</v>
      </c>
      <c r="J1067" s="8">
        <v>44369</v>
      </c>
      <c r="K1067" s="8">
        <v>45301</v>
      </c>
      <c r="L1067" s="6">
        <v>112100.75</v>
      </c>
      <c r="M1067" s="6">
        <v>62000.800000000003</v>
      </c>
      <c r="N1067" s="6">
        <v>730</v>
      </c>
      <c r="O1067" s="6">
        <v>173000</v>
      </c>
      <c r="P1067" s="6" t="s">
        <v>26</v>
      </c>
      <c r="Q1067" s="6" t="s">
        <v>27</v>
      </c>
      <c r="R1067" s="6">
        <v>0</v>
      </c>
      <c r="S1067" s="6" t="s">
        <v>28</v>
      </c>
      <c r="T1067" s="7">
        <f t="shared" si="80"/>
        <v>0.35838612716763008</v>
      </c>
      <c r="U1067" s="6">
        <f t="shared" si="81"/>
        <v>5</v>
      </c>
      <c r="V1067" s="5" t="str">
        <f t="shared" si="82"/>
        <v>GOOD</v>
      </c>
      <c r="W1067" s="6" t="str">
        <f t="shared" si="83"/>
        <v>55+</v>
      </c>
      <c r="X1067" s="6" t="str">
        <f t="shared" si="84"/>
        <v>Upper-Middle</v>
      </c>
    </row>
    <row r="1068" spans="1:24">
      <c r="A1068" s="6" t="s">
        <v>324</v>
      </c>
      <c r="B1068" s="6" t="s">
        <v>2437</v>
      </c>
      <c r="C1068" s="6" t="s">
        <v>31</v>
      </c>
      <c r="D1068" s="6" t="s">
        <v>313</v>
      </c>
      <c r="E1068" s="6" t="s">
        <v>385</v>
      </c>
      <c r="F1068" s="6">
        <v>50</v>
      </c>
      <c r="G1068" s="6" t="s">
        <v>34</v>
      </c>
      <c r="H1068" s="6" t="s">
        <v>2438</v>
      </c>
      <c r="I1068" s="6" t="s">
        <v>4207</v>
      </c>
      <c r="J1068" s="8">
        <v>45519</v>
      </c>
      <c r="K1068" s="8">
        <v>45306</v>
      </c>
      <c r="L1068" s="6">
        <v>17400.900000000001</v>
      </c>
      <c r="M1068" s="6">
        <v>10100.75</v>
      </c>
      <c r="N1068" s="6">
        <v>685</v>
      </c>
      <c r="O1068" s="6">
        <v>60000</v>
      </c>
      <c r="P1068" s="6" t="s">
        <v>26</v>
      </c>
      <c r="Q1068" s="6" t="s">
        <v>43</v>
      </c>
      <c r="R1068" s="6">
        <v>0</v>
      </c>
      <c r="S1068" s="6" t="s">
        <v>28</v>
      </c>
      <c r="T1068" s="7">
        <f t="shared" si="80"/>
        <v>0.16834583333333333</v>
      </c>
      <c r="U1068" s="6">
        <f t="shared" si="81"/>
        <v>0</v>
      </c>
      <c r="V1068" s="5" t="str">
        <f t="shared" si="82"/>
        <v>GOOD</v>
      </c>
      <c r="W1068" s="6" t="str">
        <f t="shared" si="83"/>
        <v>45-54</v>
      </c>
      <c r="X1068" s="6" t="str">
        <f t="shared" si="84"/>
        <v>Low</v>
      </c>
    </row>
    <row r="1069" spans="1:24">
      <c r="A1069" s="6" t="s">
        <v>503</v>
      </c>
      <c r="B1069" s="6" t="s">
        <v>2439</v>
      </c>
      <c r="C1069" s="6" t="s">
        <v>21</v>
      </c>
      <c r="D1069" s="6" t="s">
        <v>32</v>
      </c>
      <c r="E1069" s="6" t="s">
        <v>33</v>
      </c>
      <c r="F1069" s="6">
        <v>82</v>
      </c>
      <c r="G1069" s="6" t="s">
        <v>24</v>
      </c>
      <c r="H1069" s="6" t="s">
        <v>2440</v>
      </c>
      <c r="I1069" s="6" t="s">
        <v>3791</v>
      </c>
      <c r="J1069" s="8">
        <v>43365</v>
      </c>
      <c r="K1069" s="8">
        <v>45299</v>
      </c>
      <c r="L1069" s="6">
        <v>300900.25</v>
      </c>
      <c r="M1069" s="6">
        <v>106000.4</v>
      </c>
      <c r="N1069" s="6">
        <v>840</v>
      </c>
      <c r="O1069" s="6">
        <v>314000</v>
      </c>
      <c r="P1069" s="6" t="s">
        <v>36</v>
      </c>
      <c r="Q1069" s="6" t="s">
        <v>27</v>
      </c>
      <c r="R1069" s="6">
        <v>0</v>
      </c>
      <c r="S1069" s="6" t="s">
        <v>28</v>
      </c>
      <c r="T1069" s="7">
        <f t="shared" si="80"/>
        <v>0.3375808917197452</v>
      </c>
      <c r="U1069" s="6">
        <f t="shared" si="81"/>
        <v>7</v>
      </c>
      <c r="V1069" s="5" t="str">
        <f t="shared" si="82"/>
        <v>EXCEPTIONAL</v>
      </c>
      <c r="W1069" s="6" t="str">
        <f t="shared" si="83"/>
        <v>55+</v>
      </c>
      <c r="X1069" s="6" t="str">
        <f t="shared" si="84"/>
        <v>High</v>
      </c>
    </row>
    <row r="1070" spans="1:24">
      <c r="A1070" s="6" t="s">
        <v>506</v>
      </c>
      <c r="B1070" s="6" t="s">
        <v>2441</v>
      </c>
      <c r="C1070" s="6" t="s">
        <v>39</v>
      </c>
      <c r="D1070" s="6" t="s">
        <v>68</v>
      </c>
      <c r="E1070" s="6" t="s">
        <v>69</v>
      </c>
      <c r="F1070" s="6">
        <v>74</v>
      </c>
      <c r="G1070" s="6" t="s">
        <v>34</v>
      </c>
      <c r="H1070" s="6" t="s">
        <v>2442</v>
      </c>
      <c r="I1070" s="6" t="s">
        <v>4184</v>
      </c>
      <c r="J1070" s="8">
        <v>43883</v>
      </c>
      <c r="K1070" s="8">
        <v>45300</v>
      </c>
      <c r="L1070" s="6">
        <v>181300.4</v>
      </c>
      <c r="M1070" s="6">
        <v>106000.75</v>
      </c>
      <c r="N1070" s="6">
        <v>650</v>
      </c>
      <c r="O1070" s="6">
        <v>209000</v>
      </c>
      <c r="P1070" s="6" t="s">
        <v>76</v>
      </c>
      <c r="Q1070" s="6" t="s">
        <v>27</v>
      </c>
      <c r="R1070" s="6">
        <v>0</v>
      </c>
      <c r="S1070" s="6" t="s">
        <v>28</v>
      </c>
      <c r="T1070" s="7">
        <f t="shared" si="80"/>
        <v>0.50718062200956937</v>
      </c>
      <c r="U1070" s="6">
        <f t="shared" si="81"/>
        <v>6</v>
      </c>
      <c r="V1070" s="5" t="str">
        <f t="shared" si="82"/>
        <v>FAIR</v>
      </c>
      <c r="W1070" s="6" t="str">
        <f t="shared" si="83"/>
        <v>55+</v>
      </c>
      <c r="X1070" s="6" t="str">
        <f t="shared" si="84"/>
        <v>High</v>
      </c>
    </row>
    <row r="1071" spans="1:24">
      <c r="A1071" s="6" t="s">
        <v>509</v>
      </c>
      <c r="B1071" s="6" t="s">
        <v>2443</v>
      </c>
      <c r="C1071" s="6" t="s">
        <v>46</v>
      </c>
      <c r="D1071" s="6" t="s">
        <v>73</v>
      </c>
      <c r="E1071" s="6" t="s">
        <v>74</v>
      </c>
      <c r="F1071" s="6">
        <v>61</v>
      </c>
      <c r="G1071" s="6" t="s">
        <v>24</v>
      </c>
      <c r="H1071" s="6" t="s">
        <v>2444</v>
      </c>
      <c r="I1071" s="6" t="s">
        <v>4208</v>
      </c>
      <c r="J1071" s="8">
        <v>45099</v>
      </c>
      <c r="K1071" s="8">
        <v>45303</v>
      </c>
      <c r="L1071" s="6">
        <v>100900.4</v>
      </c>
      <c r="M1071" s="6">
        <v>56200.25</v>
      </c>
      <c r="N1071" s="6">
        <v>745</v>
      </c>
      <c r="O1071" s="6">
        <v>153000</v>
      </c>
      <c r="P1071" s="6" t="s">
        <v>26</v>
      </c>
      <c r="Q1071" s="6" t="s">
        <v>27</v>
      </c>
      <c r="R1071" s="6">
        <v>0</v>
      </c>
      <c r="S1071" s="6" t="s">
        <v>28</v>
      </c>
      <c r="T1071" s="7">
        <f t="shared" si="80"/>
        <v>0.36732189542483662</v>
      </c>
      <c r="U1071" s="6">
        <f t="shared" si="81"/>
        <v>3</v>
      </c>
      <c r="V1071" s="5" t="str">
        <f t="shared" si="82"/>
        <v>GOOD</v>
      </c>
      <c r="W1071" s="6" t="str">
        <f t="shared" si="83"/>
        <v>55+</v>
      </c>
      <c r="X1071" s="6" t="str">
        <f t="shared" si="84"/>
        <v>Upper-Middle</v>
      </c>
    </row>
    <row r="1072" spans="1:24">
      <c r="A1072" s="6" t="s">
        <v>513</v>
      </c>
      <c r="B1072" s="6" t="s">
        <v>2445</v>
      </c>
      <c r="C1072" s="6" t="s">
        <v>57</v>
      </c>
      <c r="D1072" s="6" t="s">
        <v>58</v>
      </c>
      <c r="E1072" s="6" t="s">
        <v>122</v>
      </c>
      <c r="F1072" s="6">
        <v>56</v>
      </c>
      <c r="G1072" s="6" t="s">
        <v>34</v>
      </c>
      <c r="H1072" s="6" t="s">
        <v>2446</v>
      </c>
      <c r="I1072" s="6" t="s">
        <v>3538</v>
      </c>
      <c r="J1072" s="8">
        <v>45282</v>
      </c>
      <c r="K1072" s="8">
        <v>45302</v>
      </c>
      <c r="L1072" s="6">
        <v>40900.800000000003</v>
      </c>
      <c r="M1072" s="6">
        <v>16000.9</v>
      </c>
      <c r="N1072" s="6">
        <v>765</v>
      </c>
      <c r="O1072" s="6">
        <v>85000</v>
      </c>
      <c r="P1072" s="6" t="s">
        <v>36</v>
      </c>
      <c r="Q1072" s="6" t="s">
        <v>27</v>
      </c>
      <c r="R1072" s="6">
        <v>0</v>
      </c>
      <c r="S1072" s="6" t="s">
        <v>28</v>
      </c>
      <c r="T1072" s="7">
        <f t="shared" si="80"/>
        <v>0.18824588235294118</v>
      </c>
      <c r="U1072" s="6">
        <f t="shared" si="81"/>
        <v>4</v>
      </c>
      <c r="V1072" s="5" t="str">
        <f t="shared" si="82"/>
        <v>VERY GOOD</v>
      </c>
      <c r="W1072" s="6" t="str">
        <f t="shared" si="83"/>
        <v>55+</v>
      </c>
      <c r="X1072" s="6" t="str">
        <f t="shared" si="84"/>
        <v>Lower-Middle</v>
      </c>
    </row>
    <row r="1073" spans="1:24">
      <c r="A1073" s="6" t="s">
        <v>516</v>
      </c>
      <c r="B1073" s="6" t="s">
        <v>2447</v>
      </c>
      <c r="C1073" s="6" t="s">
        <v>52</v>
      </c>
      <c r="D1073" s="6" t="s">
        <v>277</v>
      </c>
      <c r="E1073" s="6" t="s">
        <v>404</v>
      </c>
      <c r="F1073" s="6">
        <v>69</v>
      </c>
      <c r="G1073" s="6" t="s">
        <v>24</v>
      </c>
      <c r="H1073" s="6" t="s">
        <v>2448</v>
      </c>
      <c r="I1073" s="6" t="s">
        <v>3823</v>
      </c>
      <c r="J1073" s="8">
        <v>44552</v>
      </c>
      <c r="K1073" s="8">
        <v>45301</v>
      </c>
      <c r="L1073" s="6">
        <v>74200.75</v>
      </c>
      <c r="M1073" s="6">
        <v>47300.4</v>
      </c>
      <c r="N1073" s="6">
        <v>675</v>
      </c>
      <c r="O1073" s="6">
        <v>125000</v>
      </c>
      <c r="P1073" s="6" t="s">
        <v>26</v>
      </c>
      <c r="Q1073" s="6" t="s">
        <v>27</v>
      </c>
      <c r="R1073" s="6">
        <v>0</v>
      </c>
      <c r="S1073" s="6" t="s">
        <v>28</v>
      </c>
      <c r="T1073" s="7">
        <f t="shared" si="80"/>
        <v>0.3784032</v>
      </c>
      <c r="U1073" s="6">
        <f t="shared" si="81"/>
        <v>5</v>
      </c>
      <c r="V1073" s="5" t="str">
        <f t="shared" si="82"/>
        <v>GOOD</v>
      </c>
      <c r="W1073" s="6" t="str">
        <f t="shared" si="83"/>
        <v>55+</v>
      </c>
      <c r="X1073" s="6" t="str">
        <f t="shared" si="84"/>
        <v>Lower-Middle</v>
      </c>
    </row>
    <row r="1074" spans="1:24">
      <c r="A1074" s="6" t="s">
        <v>519</v>
      </c>
      <c r="B1074" s="6" t="s">
        <v>2449</v>
      </c>
      <c r="C1074" s="6" t="s">
        <v>84</v>
      </c>
      <c r="D1074" s="6" t="s">
        <v>183</v>
      </c>
      <c r="E1074" s="6" t="s">
        <v>184</v>
      </c>
      <c r="F1074" s="6">
        <v>48</v>
      </c>
      <c r="G1074" s="6" t="s">
        <v>34</v>
      </c>
      <c r="H1074" s="6" t="s">
        <v>2450</v>
      </c>
      <c r="I1074" s="6" t="s">
        <v>3794</v>
      </c>
      <c r="J1074" s="8">
        <v>45532</v>
      </c>
      <c r="K1074" s="8">
        <v>45304</v>
      </c>
      <c r="L1074" s="6">
        <v>4600.25</v>
      </c>
      <c r="M1074" s="6">
        <v>15200.6</v>
      </c>
      <c r="N1074" s="6">
        <v>615</v>
      </c>
      <c r="O1074" s="6">
        <v>45000</v>
      </c>
      <c r="P1074" s="6" t="s">
        <v>76</v>
      </c>
      <c r="Q1074" s="6" t="s">
        <v>43</v>
      </c>
      <c r="R1074" s="6">
        <v>0</v>
      </c>
      <c r="S1074" s="6" t="s">
        <v>28</v>
      </c>
      <c r="T1074" s="7">
        <f t="shared" si="80"/>
        <v>0.3377911111111111</v>
      </c>
      <c r="U1074" s="6">
        <f t="shared" si="81"/>
        <v>2</v>
      </c>
      <c r="V1074" s="5" t="str">
        <f t="shared" si="82"/>
        <v>FAIR</v>
      </c>
      <c r="W1074" s="6" t="str">
        <f t="shared" si="83"/>
        <v>45-54</v>
      </c>
      <c r="X1074" s="6" t="str">
        <f t="shared" si="84"/>
        <v>Low</v>
      </c>
    </row>
    <row r="1075" spans="1:24">
      <c r="A1075" s="6" t="s">
        <v>522</v>
      </c>
      <c r="B1075" s="6" t="s">
        <v>2451</v>
      </c>
      <c r="C1075" s="6" t="s">
        <v>39</v>
      </c>
      <c r="D1075" s="6" t="s">
        <v>40</v>
      </c>
      <c r="E1075" s="6" t="s">
        <v>41</v>
      </c>
      <c r="F1075" s="6">
        <v>76</v>
      </c>
      <c r="G1075" s="6" t="s">
        <v>24</v>
      </c>
      <c r="H1075" s="6" t="s">
        <v>2452</v>
      </c>
      <c r="I1075" s="6" t="s">
        <v>3510</v>
      </c>
      <c r="J1075" s="8">
        <v>43852</v>
      </c>
      <c r="K1075" s="8">
        <v>45299</v>
      </c>
      <c r="L1075" s="6">
        <v>215900.79999999999</v>
      </c>
      <c r="M1075" s="6">
        <v>119000.25</v>
      </c>
      <c r="N1075" s="6">
        <v>660</v>
      </c>
      <c r="O1075" s="6">
        <v>244000</v>
      </c>
      <c r="P1075" s="6" t="s">
        <v>76</v>
      </c>
      <c r="Q1075" s="6" t="s">
        <v>27</v>
      </c>
      <c r="R1075" s="6">
        <v>0</v>
      </c>
      <c r="S1075" s="6" t="s">
        <v>28</v>
      </c>
      <c r="T1075" s="7">
        <f t="shared" si="80"/>
        <v>0.48770594262295081</v>
      </c>
      <c r="U1075" s="6">
        <f t="shared" si="81"/>
        <v>7</v>
      </c>
      <c r="V1075" s="5" t="str">
        <f t="shared" si="82"/>
        <v>FAIR</v>
      </c>
      <c r="W1075" s="6" t="str">
        <f t="shared" si="83"/>
        <v>55+</v>
      </c>
      <c r="X1075" s="6" t="str">
        <f t="shared" si="84"/>
        <v>High</v>
      </c>
    </row>
    <row r="1076" spans="1:24">
      <c r="A1076" s="6" t="s">
        <v>306</v>
      </c>
      <c r="B1076" s="6" t="s">
        <v>2453</v>
      </c>
      <c r="C1076" s="6" t="s">
        <v>46</v>
      </c>
      <c r="D1076" s="6" t="s">
        <v>209</v>
      </c>
      <c r="E1076" s="6" t="s">
        <v>447</v>
      </c>
      <c r="F1076" s="6">
        <v>63</v>
      </c>
      <c r="G1076" s="6" t="s">
        <v>34</v>
      </c>
      <c r="H1076" s="6" t="s">
        <v>2454</v>
      </c>
      <c r="I1076" s="6" t="s">
        <v>4209</v>
      </c>
      <c r="J1076" s="8">
        <v>44703</v>
      </c>
      <c r="K1076" s="8">
        <v>45302</v>
      </c>
      <c r="L1076" s="6">
        <v>95300.9</v>
      </c>
      <c r="M1076" s="6">
        <v>53100.75</v>
      </c>
      <c r="N1076" s="6">
        <v>730</v>
      </c>
      <c r="O1076" s="6">
        <v>148000</v>
      </c>
      <c r="P1076" s="6" t="s">
        <v>26</v>
      </c>
      <c r="Q1076" s="6" t="s">
        <v>27</v>
      </c>
      <c r="R1076" s="6">
        <v>0</v>
      </c>
      <c r="S1076" s="6" t="s">
        <v>28</v>
      </c>
      <c r="T1076" s="7">
        <f t="shared" si="80"/>
        <v>0.35878885135135136</v>
      </c>
      <c r="U1076" s="6">
        <f t="shared" si="81"/>
        <v>4</v>
      </c>
      <c r="V1076" s="5" t="str">
        <f t="shared" si="82"/>
        <v>GOOD</v>
      </c>
      <c r="W1076" s="6" t="str">
        <f t="shared" si="83"/>
        <v>55+</v>
      </c>
      <c r="X1076" s="6" t="str">
        <f t="shared" si="84"/>
        <v>Upper-Middle</v>
      </c>
    </row>
    <row r="1077" spans="1:24">
      <c r="A1077" s="6" t="s">
        <v>527</v>
      </c>
      <c r="B1077" s="6" t="s">
        <v>2455</v>
      </c>
      <c r="C1077" s="6" t="s">
        <v>31</v>
      </c>
      <c r="D1077" s="6" t="s">
        <v>32</v>
      </c>
      <c r="E1077" s="6" t="s">
        <v>90</v>
      </c>
      <c r="F1077" s="6">
        <v>52</v>
      </c>
      <c r="G1077" s="6" t="s">
        <v>34</v>
      </c>
      <c r="H1077" s="6" t="s">
        <v>2456</v>
      </c>
      <c r="I1077" s="6" t="s">
        <v>3688</v>
      </c>
      <c r="J1077" s="8">
        <v>45526</v>
      </c>
      <c r="K1077" s="8">
        <v>45305</v>
      </c>
      <c r="L1077" s="6">
        <v>18500.400000000001</v>
      </c>
      <c r="M1077" s="6">
        <v>10200.25</v>
      </c>
      <c r="N1077" s="6">
        <v>705</v>
      </c>
      <c r="O1077" s="6">
        <v>62000</v>
      </c>
      <c r="P1077" s="6" t="s">
        <v>26</v>
      </c>
      <c r="Q1077" s="6" t="s">
        <v>43</v>
      </c>
      <c r="R1077" s="6">
        <v>0</v>
      </c>
      <c r="S1077" s="6" t="s">
        <v>28</v>
      </c>
      <c r="T1077" s="7">
        <f t="shared" si="80"/>
        <v>0.16452016129032257</v>
      </c>
      <c r="U1077" s="6">
        <f t="shared" si="81"/>
        <v>1</v>
      </c>
      <c r="V1077" s="5" t="str">
        <f t="shared" si="82"/>
        <v>GOOD</v>
      </c>
      <c r="W1077" s="6" t="str">
        <f t="shared" si="83"/>
        <v>45-54</v>
      </c>
      <c r="X1077" s="6" t="str">
        <f t="shared" si="84"/>
        <v>Low</v>
      </c>
    </row>
    <row r="1078" spans="1:24">
      <c r="A1078" s="6" t="s">
        <v>530</v>
      </c>
      <c r="B1078" s="6" t="s">
        <v>2457</v>
      </c>
      <c r="C1078" s="6" t="s">
        <v>57</v>
      </c>
      <c r="D1078" s="6" t="s">
        <v>219</v>
      </c>
      <c r="E1078" s="6" t="s">
        <v>220</v>
      </c>
      <c r="F1078" s="6">
        <v>57</v>
      </c>
      <c r="G1078" s="6" t="s">
        <v>24</v>
      </c>
      <c r="H1078" s="6" t="s">
        <v>2458</v>
      </c>
      <c r="I1078" s="6" t="s">
        <v>4210</v>
      </c>
      <c r="J1078" s="8">
        <v>45252</v>
      </c>
      <c r="K1078" s="8">
        <v>45303</v>
      </c>
      <c r="L1078" s="6">
        <v>39800.6</v>
      </c>
      <c r="M1078" s="6">
        <v>15400.8</v>
      </c>
      <c r="N1078" s="6">
        <v>710</v>
      </c>
      <c r="O1078" s="6">
        <v>78000</v>
      </c>
      <c r="P1078" s="6" t="s">
        <v>36</v>
      </c>
      <c r="Q1078" s="6" t="s">
        <v>27</v>
      </c>
      <c r="R1078" s="6">
        <v>0</v>
      </c>
      <c r="S1078" s="6" t="s">
        <v>28</v>
      </c>
      <c r="T1078" s="7">
        <f t="shared" si="80"/>
        <v>0.19744615384615383</v>
      </c>
      <c r="U1078" s="6">
        <f t="shared" si="81"/>
        <v>3</v>
      </c>
      <c r="V1078" s="5" t="str">
        <f t="shared" si="82"/>
        <v>GOOD</v>
      </c>
      <c r="W1078" s="6" t="str">
        <f t="shared" si="83"/>
        <v>55+</v>
      </c>
      <c r="X1078" s="6" t="str">
        <f t="shared" si="84"/>
        <v>Lower-Middle</v>
      </c>
    </row>
    <row r="1079" spans="1:24">
      <c r="A1079" s="6" t="s">
        <v>533</v>
      </c>
      <c r="B1079" s="6" t="s">
        <v>2459</v>
      </c>
      <c r="C1079" s="6" t="s">
        <v>52</v>
      </c>
      <c r="D1079" s="6" t="s">
        <v>204</v>
      </c>
      <c r="E1079" s="6" t="s">
        <v>259</v>
      </c>
      <c r="F1079" s="6">
        <v>64</v>
      </c>
      <c r="G1079" s="6" t="s">
        <v>34</v>
      </c>
      <c r="H1079" s="6" t="s">
        <v>2460</v>
      </c>
      <c r="I1079" s="6" t="s">
        <v>4055</v>
      </c>
      <c r="J1079" s="8">
        <v>44552</v>
      </c>
      <c r="K1079" s="8">
        <v>45301</v>
      </c>
      <c r="L1079" s="6">
        <v>71100.25</v>
      </c>
      <c r="M1079" s="6">
        <v>44200.9</v>
      </c>
      <c r="N1079" s="6">
        <v>695</v>
      </c>
      <c r="O1079" s="6">
        <v>113000</v>
      </c>
      <c r="P1079" s="6" t="s">
        <v>26</v>
      </c>
      <c r="Q1079" s="6" t="s">
        <v>27</v>
      </c>
      <c r="R1079" s="6">
        <v>0</v>
      </c>
      <c r="S1079" s="6" t="s">
        <v>28</v>
      </c>
      <c r="T1079" s="7">
        <f t="shared" si="80"/>
        <v>0.39115840707964605</v>
      </c>
      <c r="U1079" s="6">
        <f t="shared" si="81"/>
        <v>5</v>
      </c>
      <c r="V1079" s="5" t="str">
        <f t="shared" si="82"/>
        <v>GOOD</v>
      </c>
      <c r="W1079" s="6" t="str">
        <f t="shared" si="83"/>
        <v>55+</v>
      </c>
      <c r="X1079" s="6" t="str">
        <f t="shared" si="84"/>
        <v>Lower-Middle</v>
      </c>
    </row>
    <row r="1080" spans="1:24">
      <c r="A1080" s="6" t="s">
        <v>536</v>
      </c>
      <c r="B1080" s="6" t="s">
        <v>2461</v>
      </c>
      <c r="C1080" s="6" t="s">
        <v>39</v>
      </c>
      <c r="D1080" s="6" t="s">
        <v>195</v>
      </c>
      <c r="E1080" s="6" t="s">
        <v>300</v>
      </c>
      <c r="F1080" s="6">
        <v>72</v>
      </c>
      <c r="G1080" s="6" t="s">
        <v>24</v>
      </c>
      <c r="H1080" s="6" t="s">
        <v>2462</v>
      </c>
      <c r="I1080" s="6" t="s">
        <v>4211</v>
      </c>
      <c r="J1080" s="8">
        <v>44004</v>
      </c>
      <c r="K1080" s="8">
        <v>45300</v>
      </c>
      <c r="L1080" s="6">
        <v>148100.4</v>
      </c>
      <c r="M1080" s="6">
        <v>93000.6</v>
      </c>
      <c r="N1080" s="6">
        <v>670</v>
      </c>
      <c r="O1080" s="6">
        <v>180000</v>
      </c>
      <c r="P1080" s="6" t="s">
        <v>76</v>
      </c>
      <c r="Q1080" s="6" t="s">
        <v>27</v>
      </c>
      <c r="R1080" s="6">
        <v>0</v>
      </c>
      <c r="S1080" s="6" t="s">
        <v>28</v>
      </c>
      <c r="T1080" s="7">
        <f t="shared" si="80"/>
        <v>0.51667000000000007</v>
      </c>
      <c r="U1080" s="6">
        <f t="shared" si="81"/>
        <v>6</v>
      </c>
      <c r="V1080" s="5" t="str">
        <f t="shared" si="82"/>
        <v>GOOD</v>
      </c>
      <c r="W1080" s="6" t="str">
        <f t="shared" si="83"/>
        <v>55+</v>
      </c>
      <c r="X1080" s="6" t="str">
        <f t="shared" si="84"/>
        <v>Upper-Middle</v>
      </c>
    </row>
    <row r="1081" spans="1:24">
      <c r="A1081" s="6" t="s">
        <v>539</v>
      </c>
      <c r="B1081" s="6" t="s">
        <v>2463</v>
      </c>
      <c r="C1081" s="6" t="s">
        <v>21</v>
      </c>
      <c r="D1081" s="6" t="s">
        <v>58</v>
      </c>
      <c r="E1081" s="6" t="s">
        <v>59</v>
      </c>
      <c r="F1081" s="6">
        <v>80</v>
      </c>
      <c r="G1081" s="6" t="s">
        <v>34</v>
      </c>
      <c r="H1081" s="6" t="s">
        <v>2464</v>
      </c>
      <c r="I1081" s="6" t="s">
        <v>3799</v>
      </c>
      <c r="J1081" s="8">
        <v>43577</v>
      </c>
      <c r="K1081" s="8">
        <v>45299</v>
      </c>
      <c r="L1081" s="6">
        <v>315000.75</v>
      </c>
      <c r="M1081" s="6">
        <v>110000.8</v>
      </c>
      <c r="N1081" s="6">
        <v>835</v>
      </c>
      <c r="O1081" s="6">
        <v>325000</v>
      </c>
      <c r="P1081" s="6" t="s">
        <v>36</v>
      </c>
      <c r="Q1081" s="6" t="s">
        <v>27</v>
      </c>
      <c r="R1081" s="6">
        <v>0</v>
      </c>
      <c r="S1081" s="6" t="s">
        <v>28</v>
      </c>
      <c r="T1081" s="7">
        <f t="shared" si="80"/>
        <v>0.33846399999999999</v>
      </c>
      <c r="U1081" s="6">
        <f t="shared" si="81"/>
        <v>7</v>
      </c>
      <c r="V1081" s="5" t="str">
        <f t="shared" si="82"/>
        <v>EXCEPTIONAL</v>
      </c>
      <c r="W1081" s="6" t="str">
        <f t="shared" si="83"/>
        <v>55+</v>
      </c>
      <c r="X1081" s="6" t="str">
        <f t="shared" si="84"/>
        <v>High</v>
      </c>
    </row>
    <row r="1082" spans="1:24">
      <c r="A1082" s="6" t="s">
        <v>542</v>
      </c>
      <c r="B1082" s="6" t="s">
        <v>2465</v>
      </c>
      <c r="C1082" s="6" t="s">
        <v>52</v>
      </c>
      <c r="D1082" s="6" t="s">
        <v>68</v>
      </c>
      <c r="E1082" s="6" t="s">
        <v>179</v>
      </c>
      <c r="F1082" s="6">
        <v>67</v>
      </c>
      <c r="G1082" s="6" t="s">
        <v>34</v>
      </c>
      <c r="H1082" s="6" t="s">
        <v>2466</v>
      </c>
      <c r="I1082" s="6" t="s">
        <v>4200</v>
      </c>
      <c r="J1082" s="8">
        <v>44522</v>
      </c>
      <c r="K1082" s="8">
        <v>45302</v>
      </c>
      <c r="L1082" s="6">
        <v>79800.600000000006</v>
      </c>
      <c r="M1082" s="6">
        <v>49800.25</v>
      </c>
      <c r="N1082" s="6">
        <v>665</v>
      </c>
      <c r="O1082" s="6">
        <v>133000</v>
      </c>
      <c r="P1082" s="6" t="s">
        <v>26</v>
      </c>
      <c r="Q1082" s="6" t="s">
        <v>27</v>
      </c>
      <c r="R1082" s="6">
        <v>0</v>
      </c>
      <c r="S1082" s="6" t="s">
        <v>28</v>
      </c>
      <c r="T1082" s="7">
        <f t="shared" si="80"/>
        <v>0.37443796992481204</v>
      </c>
      <c r="U1082" s="6">
        <f t="shared" si="81"/>
        <v>4</v>
      </c>
      <c r="V1082" s="5" t="str">
        <f t="shared" si="82"/>
        <v>FAIR</v>
      </c>
      <c r="W1082" s="6" t="str">
        <f t="shared" si="83"/>
        <v>55+</v>
      </c>
      <c r="X1082" s="6" t="str">
        <f t="shared" si="84"/>
        <v>Upper-Middle</v>
      </c>
    </row>
    <row r="1083" spans="1:24">
      <c r="A1083" s="6" t="s">
        <v>545</v>
      </c>
      <c r="B1083" s="6" t="s">
        <v>2467</v>
      </c>
      <c r="C1083" s="6" t="s">
        <v>46</v>
      </c>
      <c r="D1083" s="6" t="s">
        <v>241</v>
      </c>
      <c r="E1083" s="6" t="s">
        <v>389</v>
      </c>
      <c r="F1083" s="6">
        <v>59</v>
      </c>
      <c r="G1083" s="6" t="s">
        <v>24</v>
      </c>
      <c r="H1083" s="6" t="s">
        <v>2468</v>
      </c>
      <c r="I1083" s="6" t="s">
        <v>4212</v>
      </c>
      <c r="J1083" s="8">
        <v>45160</v>
      </c>
      <c r="K1083" s="8">
        <v>45303</v>
      </c>
      <c r="L1083" s="6">
        <v>103100.8</v>
      </c>
      <c r="M1083" s="6">
        <v>57300.4</v>
      </c>
      <c r="N1083" s="6">
        <v>750</v>
      </c>
      <c r="O1083" s="6">
        <v>159000</v>
      </c>
      <c r="P1083" s="6" t="s">
        <v>26</v>
      </c>
      <c r="Q1083" s="6" t="s">
        <v>27</v>
      </c>
      <c r="R1083" s="6">
        <v>0</v>
      </c>
      <c r="S1083" s="6" t="s">
        <v>28</v>
      </c>
      <c r="T1083" s="7">
        <f t="shared" si="80"/>
        <v>0.36037987421383649</v>
      </c>
      <c r="U1083" s="6">
        <f t="shared" si="81"/>
        <v>3</v>
      </c>
      <c r="V1083" s="5" t="str">
        <f t="shared" si="82"/>
        <v>VERY GOOD</v>
      </c>
      <c r="W1083" s="6" t="str">
        <f t="shared" si="83"/>
        <v>55+</v>
      </c>
      <c r="X1083" s="6" t="str">
        <f t="shared" si="84"/>
        <v>Upper-Middle</v>
      </c>
    </row>
    <row r="1084" spans="1:24">
      <c r="A1084" s="6" t="s">
        <v>548</v>
      </c>
      <c r="B1084" s="6" t="s">
        <v>2469</v>
      </c>
      <c r="C1084" s="6" t="s">
        <v>57</v>
      </c>
      <c r="D1084" s="6" t="s">
        <v>22</v>
      </c>
      <c r="E1084" s="6" t="s">
        <v>381</v>
      </c>
      <c r="F1084" s="6">
        <v>55</v>
      </c>
      <c r="G1084" s="6" t="s">
        <v>34</v>
      </c>
      <c r="H1084" s="6" t="s">
        <v>2470</v>
      </c>
      <c r="I1084" s="6" t="s">
        <v>3769</v>
      </c>
      <c r="J1084" s="8">
        <v>45344</v>
      </c>
      <c r="K1084" s="8">
        <v>45305</v>
      </c>
      <c r="L1084" s="6">
        <v>42000.9</v>
      </c>
      <c r="M1084" s="6">
        <v>16400.75</v>
      </c>
      <c r="N1084" s="6">
        <v>770</v>
      </c>
      <c r="O1084" s="6">
        <v>90000</v>
      </c>
      <c r="P1084" s="6" t="s">
        <v>36</v>
      </c>
      <c r="Q1084" s="6" t="s">
        <v>27</v>
      </c>
      <c r="R1084" s="6">
        <v>0</v>
      </c>
      <c r="S1084" s="6" t="s">
        <v>28</v>
      </c>
      <c r="T1084" s="7">
        <f t="shared" si="80"/>
        <v>0.18223055555555556</v>
      </c>
      <c r="U1084" s="6">
        <f t="shared" si="81"/>
        <v>1</v>
      </c>
      <c r="V1084" s="5" t="str">
        <f t="shared" si="82"/>
        <v>VERY GOOD</v>
      </c>
      <c r="W1084" s="6" t="str">
        <f t="shared" si="83"/>
        <v>55+</v>
      </c>
      <c r="X1084" s="6" t="str">
        <f t="shared" si="84"/>
        <v>Lower-Middle</v>
      </c>
    </row>
    <row r="1085" spans="1:24">
      <c r="A1085" s="6" t="s">
        <v>551</v>
      </c>
      <c r="B1085" s="6" t="s">
        <v>2471</v>
      </c>
      <c r="C1085" s="6" t="s">
        <v>39</v>
      </c>
      <c r="D1085" s="6" t="s">
        <v>313</v>
      </c>
      <c r="E1085" s="6" t="s">
        <v>501</v>
      </c>
      <c r="F1085" s="6">
        <v>78</v>
      </c>
      <c r="G1085" s="6" t="s">
        <v>24</v>
      </c>
      <c r="H1085" s="6" t="s">
        <v>2472</v>
      </c>
      <c r="I1085" s="6" t="s">
        <v>4213</v>
      </c>
      <c r="J1085" s="8">
        <v>43760</v>
      </c>
      <c r="K1085" s="8">
        <v>45299</v>
      </c>
      <c r="L1085" s="6">
        <v>201200.25</v>
      </c>
      <c r="M1085" s="6">
        <v>114000.8</v>
      </c>
      <c r="N1085" s="6">
        <v>645</v>
      </c>
      <c r="O1085" s="6">
        <v>230000</v>
      </c>
      <c r="P1085" s="6" t="s">
        <v>76</v>
      </c>
      <c r="Q1085" s="6" t="s">
        <v>27</v>
      </c>
      <c r="R1085" s="6">
        <v>0</v>
      </c>
      <c r="S1085" s="6" t="s">
        <v>28</v>
      </c>
      <c r="T1085" s="7">
        <f t="shared" si="80"/>
        <v>0.49565565217391305</v>
      </c>
      <c r="U1085" s="6">
        <f t="shared" si="81"/>
        <v>7</v>
      </c>
      <c r="V1085" s="5" t="str">
        <f t="shared" si="82"/>
        <v>FAIR</v>
      </c>
      <c r="W1085" s="6" t="str">
        <f t="shared" si="83"/>
        <v>55+</v>
      </c>
      <c r="X1085" s="6" t="str">
        <f t="shared" si="84"/>
        <v>High</v>
      </c>
    </row>
    <row r="1086" spans="1:24">
      <c r="A1086" s="6" t="s">
        <v>554</v>
      </c>
      <c r="B1086" s="6" t="s">
        <v>2473</v>
      </c>
      <c r="C1086" s="6" t="s">
        <v>31</v>
      </c>
      <c r="D1086" s="6" t="s">
        <v>214</v>
      </c>
      <c r="E1086" s="6" t="s">
        <v>483</v>
      </c>
      <c r="F1086" s="6">
        <v>51</v>
      </c>
      <c r="G1086" s="6" t="s">
        <v>34</v>
      </c>
      <c r="H1086" s="6" t="s">
        <v>2474</v>
      </c>
      <c r="I1086" s="6" t="s">
        <v>4214</v>
      </c>
      <c r="J1086" s="8">
        <v>45532</v>
      </c>
      <c r="K1086" s="8">
        <v>45306</v>
      </c>
      <c r="L1086" s="6">
        <v>35200.5</v>
      </c>
      <c r="M1086" s="6">
        <v>16000.4</v>
      </c>
      <c r="N1086" s="6">
        <v>720</v>
      </c>
      <c r="O1086" s="6">
        <v>67000</v>
      </c>
      <c r="P1086" s="6" t="s">
        <v>36</v>
      </c>
      <c r="Q1086" s="6" t="s">
        <v>27</v>
      </c>
      <c r="R1086" s="6">
        <v>0</v>
      </c>
      <c r="S1086" s="6" t="s">
        <v>28</v>
      </c>
      <c r="T1086" s="7">
        <f t="shared" si="80"/>
        <v>0.23881194029850747</v>
      </c>
      <c r="U1086" s="6">
        <f t="shared" si="81"/>
        <v>0</v>
      </c>
      <c r="V1086" s="5" t="str">
        <f t="shared" si="82"/>
        <v>GOOD</v>
      </c>
      <c r="W1086" s="6" t="str">
        <f t="shared" si="83"/>
        <v>45-54</v>
      </c>
      <c r="X1086" s="6" t="str">
        <f t="shared" si="84"/>
        <v>Low</v>
      </c>
    </row>
    <row r="1087" spans="1:24">
      <c r="A1087" s="6" t="s">
        <v>108</v>
      </c>
      <c r="B1087" s="6" t="s">
        <v>2475</v>
      </c>
      <c r="C1087" s="6" t="s">
        <v>84</v>
      </c>
      <c r="D1087" s="6" t="s">
        <v>32</v>
      </c>
      <c r="E1087" s="6" t="s">
        <v>33</v>
      </c>
      <c r="F1087" s="6">
        <v>47</v>
      </c>
      <c r="G1087" s="6" t="s">
        <v>24</v>
      </c>
      <c r="H1087" s="6" t="s">
        <v>2476</v>
      </c>
      <c r="I1087" s="6" t="s">
        <v>3784</v>
      </c>
      <c r="J1087" s="8">
        <v>45532</v>
      </c>
      <c r="K1087" s="8">
        <v>45304</v>
      </c>
      <c r="L1087" s="6">
        <v>4350.8</v>
      </c>
      <c r="M1087" s="6">
        <v>13600.25</v>
      </c>
      <c r="N1087" s="6">
        <v>605</v>
      </c>
      <c r="O1087" s="6">
        <v>43000</v>
      </c>
      <c r="P1087" s="6" t="s">
        <v>76</v>
      </c>
      <c r="Q1087" s="6" t="s">
        <v>43</v>
      </c>
      <c r="R1087" s="6">
        <v>0</v>
      </c>
      <c r="S1087" s="6" t="s">
        <v>28</v>
      </c>
      <c r="T1087" s="7">
        <f t="shared" si="80"/>
        <v>0.31628488372093022</v>
      </c>
      <c r="U1087" s="6">
        <f t="shared" si="81"/>
        <v>2</v>
      </c>
      <c r="V1087" s="5" t="str">
        <f t="shared" si="82"/>
        <v>FAIR</v>
      </c>
      <c r="W1087" s="6" t="str">
        <f t="shared" si="83"/>
        <v>45-54</v>
      </c>
      <c r="X1087" s="6" t="str">
        <f t="shared" si="84"/>
        <v>Low</v>
      </c>
    </row>
    <row r="1088" spans="1:24">
      <c r="A1088" s="6" t="s">
        <v>559</v>
      </c>
      <c r="B1088" s="6" t="s">
        <v>2477</v>
      </c>
      <c r="C1088" s="6" t="s">
        <v>46</v>
      </c>
      <c r="D1088" s="6" t="s">
        <v>254</v>
      </c>
      <c r="E1088" s="6" t="s">
        <v>255</v>
      </c>
      <c r="F1088" s="6">
        <v>61</v>
      </c>
      <c r="G1088" s="6" t="s">
        <v>34</v>
      </c>
      <c r="H1088" s="6" t="s">
        <v>2478</v>
      </c>
      <c r="I1088" s="6" t="s">
        <v>4215</v>
      </c>
      <c r="J1088" s="8">
        <v>45038</v>
      </c>
      <c r="K1088" s="8">
        <v>45302</v>
      </c>
      <c r="L1088" s="6">
        <v>89800.4</v>
      </c>
      <c r="M1088" s="6">
        <v>52000.75</v>
      </c>
      <c r="N1088" s="6">
        <v>710</v>
      </c>
      <c r="O1088" s="6">
        <v>141000</v>
      </c>
      <c r="P1088" s="6" t="s">
        <v>26</v>
      </c>
      <c r="Q1088" s="6" t="s">
        <v>27</v>
      </c>
      <c r="R1088" s="6">
        <v>0</v>
      </c>
      <c r="S1088" s="6" t="s">
        <v>28</v>
      </c>
      <c r="T1088" s="7">
        <f t="shared" si="80"/>
        <v>0.36879964539007093</v>
      </c>
      <c r="U1088" s="6">
        <f t="shared" si="81"/>
        <v>4</v>
      </c>
      <c r="V1088" s="5" t="str">
        <f t="shared" si="82"/>
        <v>GOOD</v>
      </c>
      <c r="W1088" s="6" t="str">
        <f t="shared" si="83"/>
        <v>55+</v>
      </c>
      <c r="X1088" s="6" t="str">
        <f t="shared" si="84"/>
        <v>Upper-Middle</v>
      </c>
    </row>
    <row r="1089" spans="1:24">
      <c r="A1089" s="6" t="s">
        <v>562</v>
      </c>
      <c r="B1089" s="6" t="s">
        <v>2479</v>
      </c>
      <c r="C1089" s="6" t="s">
        <v>39</v>
      </c>
      <c r="D1089" s="6" t="s">
        <v>47</v>
      </c>
      <c r="E1089" s="6" t="s">
        <v>48</v>
      </c>
      <c r="F1089" s="6">
        <v>75</v>
      </c>
      <c r="G1089" s="6" t="s">
        <v>24</v>
      </c>
      <c r="H1089" s="6" t="s">
        <v>2480</v>
      </c>
      <c r="I1089" s="6" t="s">
        <v>3805</v>
      </c>
      <c r="J1089" s="8">
        <v>43912</v>
      </c>
      <c r="K1089" s="8">
        <v>45300</v>
      </c>
      <c r="L1089" s="6">
        <v>181400.6</v>
      </c>
      <c r="M1089" s="6">
        <v>107000.25</v>
      </c>
      <c r="N1089" s="6">
        <v>675</v>
      </c>
      <c r="O1089" s="6">
        <v>210000</v>
      </c>
      <c r="P1089" s="6" t="s">
        <v>76</v>
      </c>
      <c r="Q1089" s="6" t="s">
        <v>27</v>
      </c>
      <c r="R1089" s="6">
        <v>0</v>
      </c>
      <c r="S1089" s="6" t="s">
        <v>28</v>
      </c>
      <c r="T1089" s="7">
        <f t="shared" si="80"/>
        <v>0.50952500000000001</v>
      </c>
      <c r="U1089" s="6">
        <f t="shared" si="81"/>
        <v>6</v>
      </c>
      <c r="V1089" s="5" t="str">
        <f t="shared" si="82"/>
        <v>GOOD</v>
      </c>
      <c r="W1089" s="6" t="str">
        <f t="shared" si="83"/>
        <v>55+</v>
      </c>
      <c r="X1089" s="6" t="str">
        <f t="shared" si="84"/>
        <v>High</v>
      </c>
    </row>
    <row r="1090" spans="1:24">
      <c r="A1090" s="6" t="s">
        <v>565</v>
      </c>
      <c r="B1090" s="6" t="s">
        <v>2481</v>
      </c>
      <c r="C1090" s="6" t="s">
        <v>52</v>
      </c>
      <c r="D1090" s="6" t="s">
        <v>233</v>
      </c>
      <c r="E1090" s="6" t="s">
        <v>296</v>
      </c>
      <c r="F1090" s="6">
        <v>60</v>
      </c>
      <c r="G1090" s="6" t="s">
        <v>34</v>
      </c>
      <c r="H1090" s="6" t="s">
        <v>2482</v>
      </c>
      <c r="I1090" s="6" t="s">
        <v>3806</v>
      </c>
      <c r="J1090" s="8">
        <v>44826</v>
      </c>
      <c r="K1090" s="8">
        <v>45301</v>
      </c>
      <c r="L1090" s="6">
        <v>66200.75</v>
      </c>
      <c r="M1090" s="6">
        <v>43100.800000000003</v>
      </c>
      <c r="N1090" s="6">
        <v>725</v>
      </c>
      <c r="O1090" s="6">
        <v>107000</v>
      </c>
      <c r="P1090" s="6" t="s">
        <v>26</v>
      </c>
      <c r="Q1090" s="6" t="s">
        <v>27</v>
      </c>
      <c r="R1090" s="6">
        <v>0</v>
      </c>
      <c r="S1090" s="6" t="s">
        <v>28</v>
      </c>
      <c r="T1090" s="7">
        <f t="shared" ref="T1090:T1153" si="85">IFERROR(M1090/O1090,"")</f>
        <v>0.40281121495327105</v>
      </c>
      <c r="U1090" s="6">
        <f t="shared" ref="U1090:U1153" si="86">MAX($K$2:$K$1599)-K1090</f>
        <v>5</v>
      </c>
      <c r="V1090" s="5" t="str">
        <f t="shared" ref="V1090:V1153" si="87">IF(N1090&lt;670,"FAIR", IF(N1090&lt;750,"GOOD",IF(N1090&lt;800,"VERY GOOD","EXCEPTIONAL")))</f>
        <v>GOOD</v>
      </c>
      <c r="W1090" s="6" t="str">
        <f t="shared" ref="W1090:W1153" si="88">IF(F1090&lt;25,"18-24",IF(F1090&lt;35,"25-34",IF(F1090&lt;45,"35-44",IF(F1090&lt;55,"45-54","55+"))))</f>
        <v>55+</v>
      </c>
      <c r="X1090" s="6" t="str">
        <f t="shared" ref="X1090:X1153" si="89">IF(O1090&lt;=_xlfn.QUARTILE.INC($O$2:$O$1599,1),"Low",IF(O1090&lt;=_xlfn.QUARTILE.INC($O$2:$O$1599,2),"Lower-Middle",IF(O1090&lt;=_xlfn.QUARTILE.INC($O$2:$O$1599,3),"Upper-Middle","High")))</f>
        <v>Lower-Middle</v>
      </c>
    </row>
    <row r="1091" spans="1:24">
      <c r="A1091" s="6" t="s">
        <v>568</v>
      </c>
      <c r="B1091" s="6" t="s">
        <v>2483</v>
      </c>
      <c r="C1091" s="6" t="s">
        <v>57</v>
      </c>
      <c r="D1091" s="6" t="s">
        <v>79</v>
      </c>
      <c r="E1091" s="6" t="s">
        <v>102</v>
      </c>
      <c r="F1091" s="6">
        <v>58</v>
      </c>
      <c r="G1091" s="6" t="s">
        <v>24</v>
      </c>
      <c r="H1091" s="6" t="s">
        <v>2484</v>
      </c>
      <c r="I1091" s="6" t="s">
        <v>3807</v>
      </c>
      <c r="J1091" s="8">
        <v>45282</v>
      </c>
      <c r="K1091" s="8">
        <v>45303</v>
      </c>
      <c r="L1091" s="6">
        <v>44200.4</v>
      </c>
      <c r="M1091" s="6">
        <v>17200.900000000001</v>
      </c>
      <c r="N1091" s="6">
        <v>740</v>
      </c>
      <c r="O1091" s="6">
        <v>93000</v>
      </c>
      <c r="P1091" s="6" t="s">
        <v>36</v>
      </c>
      <c r="Q1091" s="6" t="s">
        <v>27</v>
      </c>
      <c r="R1091" s="6">
        <v>0</v>
      </c>
      <c r="S1091" s="6" t="s">
        <v>28</v>
      </c>
      <c r="T1091" s="7">
        <f t="shared" si="85"/>
        <v>0.18495591397849465</v>
      </c>
      <c r="U1091" s="6">
        <f t="shared" si="86"/>
        <v>3</v>
      </c>
      <c r="V1091" s="5" t="str">
        <f t="shared" si="87"/>
        <v>GOOD</v>
      </c>
      <c r="W1091" s="6" t="str">
        <f t="shared" si="88"/>
        <v>55+</v>
      </c>
      <c r="X1091" s="6" t="str">
        <f t="shared" si="89"/>
        <v>Lower-Middle</v>
      </c>
    </row>
    <row r="1092" spans="1:24">
      <c r="A1092" s="6" t="s">
        <v>571</v>
      </c>
      <c r="B1092" s="6" t="s">
        <v>2485</v>
      </c>
      <c r="C1092" s="6" t="s">
        <v>21</v>
      </c>
      <c r="D1092" s="6" t="s">
        <v>63</v>
      </c>
      <c r="E1092" s="6" t="s">
        <v>106</v>
      </c>
      <c r="F1092" s="6">
        <v>81</v>
      </c>
      <c r="G1092" s="6" t="s">
        <v>34</v>
      </c>
      <c r="H1092" s="6" t="s">
        <v>2486</v>
      </c>
      <c r="I1092" s="6" t="s">
        <v>4216</v>
      </c>
      <c r="J1092" s="8">
        <v>43456</v>
      </c>
      <c r="K1092" s="8">
        <v>45299</v>
      </c>
      <c r="L1092" s="6">
        <v>270300.90000000002</v>
      </c>
      <c r="M1092" s="6">
        <v>97000.6</v>
      </c>
      <c r="N1092" s="6">
        <v>830</v>
      </c>
      <c r="O1092" s="6">
        <v>305000</v>
      </c>
      <c r="P1092" s="6" t="s">
        <v>36</v>
      </c>
      <c r="Q1092" s="6" t="s">
        <v>27</v>
      </c>
      <c r="R1092" s="6">
        <v>0</v>
      </c>
      <c r="S1092" s="6" t="s">
        <v>28</v>
      </c>
      <c r="T1092" s="7">
        <f t="shared" si="85"/>
        <v>0.31803475409836068</v>
      </c>
      <c r="U1092" s="6">
        <f t="shared" si="86"/>
        <v>7</v>
      </c>
      <c r="V1092" s="5" t="str">
        <f t="shared" si="87"/>
        <v>EXCEPTIONAL</v>
      </c>
      <c r="W1092" s="6" t="str">
        <f t="shared" si="88"/>
        <v>55+</v>
      </c>
      <c r="X1092" s="6" t="str">
        <f t="shared" si="89"/>
        <v>High</v>
      </c>
    </row>
    <row r="1093" spans="1:24">
      <c r="A1093" s="6" t="s">
        <v>574</v>
      </c>
      <c r="B1093" s="6" t="s">
        <v>2487</v>
      </c>
      <c r="C1093" s="6" t="s">
        <v>39</v>
      </c>
      <c r="D1093" s="6" t="s">
        <v>68</v>
      </c>
      <c r="E1093" s="6" t="s">
        <v>114</v>
      </c>
      <c r="F1093" s="6">
        <v>73</v>
      </c>
      <c r="G1093" s="6" t="s">
        <v>24</v>
      </c>
      <c r="H1093" s="6" t="s">
        <v>2488</v>
      </c>
      <c r="I1093" s="6" t="s">
        <v>4217</v>
      </c>
      <c r="J1093" s="8">
        <v>44055</v>
      </c>
      <c r="K1093" s="8">
        <v>45300</v>
      </c>
      <c r="L1093" s="6">
        <v>159200.25</v>
      </c>
      <c r="M1093" s="6">
        <v>99000.4</v>
      </c>
      <c r="N1093" s="6">
        <v>655</v>
      </c>
      <c r="O1093" s="6">
        <v>195000</v>
      </c>
      <c r="P1093" s="6" t="s">
        <v>76</v>
      </c>
      <c r="Q1093" s="6" t="s">
        <v>27</v>
      </c>
      <c r="R1093" s="6">
        <v>0</v>
      </c>
      <c r="S1093" s="6" t="s">
        <v>28</v>
      </c>
      <c r="T1093" s="7">
        <f t="shared" si="85"/>
        <v>0.50769435897435899</v>
      </c>
      <c r="U1093" s="6">
        <f t="shared" si="86"/>
        <v>6</v>
      </c>
      <c r="V1093" s="5" t="str">
        <f t="shared" si="87"/>
        <v>FAIR</v>
      </c>
      <c r="W1093" s="6" t="str">
        <f t="shared" si="88"/>
        <v>55+</v>
      </c>
      <c r="X1093" s="6" t="str">
        <f t="shared" si="89"/>
        <v>High</v>
      </c>
    </row>
    <row r="1094" spans="1:24">
      <c r="A1094" s="6" t="s">
        <v>577</v>
      </c>
      <c r="B1094" s="6" t="s">
        <v>2489</v>
      </c>
      <c r="C1094" s="6" t="s">
        <v>46</v>
      </c>
      <c r="D1094" s="6" t="s">
        <v>85</v>
      </c>
      <c r="E1094" s="6" t="s">
        <v>130</v>
      </c>
      <c r="F1094" s="6">
        <v>62</v>
      </c>
      <c r="G1094" s="6" t="s">
        <v>34</v>
      </c>
      <c r="H1094" s="6" t="s">
        <v>2490</v>
      </c>
      <c r="I1094" s="6" t="s">
        <v>3778</v>
      </c>
      <c r="J1094" s="8">
        <v>44948</v>
      </c>
      <c r="K1094" s="8">
        <v>45302</v>
      </c>
      <c r="L1094" s="6">
        <v>108700.6</v>
      </c>
      <c r="M1094" s="6">
        <v>60000.75</v>
      </c>
      <c r="N1094" s="6">
        <v>760</v>
      </c>
      <c r="O1094" s="6">
        <v>164000</v>
      </c>
      <c r="P1094" s="6" t="s">
        <v>26</v>
      </c>
      <c r="Q1094" s="6" t="s">
        <v>27</v>
      </c>
      <c r="R1094" s="6">
        <v>0</v>
      </c>
      <c r="S1094" s="6" t="s">
        <v>28</v>
      </c>
      <c r="T1094" s="7">
        <f t="shared" si="85"/>
        <v>0.36585823170731707</v>
      </c>
      <c r="U1094" s="6">
        <f t="shared" si="86"/>
        <v>4</v>
      </c>
      <c r="V1094" s="5" t="str">
        <f t="shared" si="87"/>
        <v>VERY GOOD</v>
      </c>
      <c r="W1094" s="6" t="str">
        <f t="shared" si="88"/>
        <v>55+</v>
      </c>
      <c r="X1094" s="6" t="str">
        <f t="shared" si="89"/>
        <v>Upper-Middle</v>
      </c>
    </row>
    <row r="1095" spans="1:24">
      <c r="A1095" s="6" t="s">
        <v>458</v>
      </c>
      <c r="B1095" s="6" t="s">
        <v>2491</v>
      </c>
      <c r="C1095" s="6" t="s">
        <v>31</v>
      </c>
      <c r="D1095" s="6" t="s">
        <v>460</v>
      </c>
      <c r="E1095" s="6" t="s">
        <v>461</v>
      </c>
      <c r="F1095" s="6">
        <v>53</v>
      </c>
      <c r="G1095" s="6" t="s">
        <v>24</v>
      </c>
      <c r="H1095" s="6" t="s">
        <v>2492</v>
      </c>
      <c r="I1095" s="6" t="s">
        <v>4218</v>
      </c>
      <c r="J1095" s="8">
        <v>45532</v>
      </c>
      <c r="K1095" s="8">
        <v>45306</v>
      </c>
      <c r="L1095" s="6">
        <v>20900.25</v>
      </c>
      <c r="M1095" s="6">
        <v>12400.8</v>
      </c>
      <c r="N1095" s="6">
        <v>695</v>
      </c>
      <c r="O1095" s="6">
        <v>64000</v>
      </c>
      <c r="P1095" s="6" t="s">
        <v>26</v>
      </c>
      <c r="Q1095" s="6" t="s">
        <v>43</v>
      </c>
      <c r="R1095" s="6">
        <v>0</v>
      </c>
      <c r="S1095" s="6" t="s">
        <v>28</v>
      </c>
      <c r="T1095" s="7">
        <f t="shared" si="85"/>
        <v>0.19376249999999998</v>
      </c>
      <c r="U1095" s="6">
        <f t="shared" si="86"/>
        <v>0</v>
      </c>
      <c r="V1095" s="5" t="str">
        <f t="shared" si="87"/>
        <v>GOOD</v>
      </c>
      <c r="W1095" s="6" t="str">
        <f t="shared" si="88"/>
        <v>45-54</v>
      </c>
      <c r="X1095" s="6" t="str">
        <f t="shared" si="89"/>
        <v>Low</v>
      </c>
    </row>
    <row r="1096" spans="1:24">
      <c r="A1096" s="6" t="s">
        <v>582</v>
      </c>
      <c r="B1096" s="6" t="s">
        <v>2493</v>
      </c>
      <c r="C1096" s="6" t="s">
        <v>57</v>
      </c>
      <c r="D1096" s="6" t="s">
        <v>22</v>
      </c>
      <c r="E1096" s="6" t="s">
        <v>53</v>
      </c>
      <c r="F1096" s="6">
        <v>56</v>
      </c>
      <c r="G1096" s="6" t="s">
        <v>34</v>
      </c>
      <c r="H1096" s="6" t="s">
        <v>2494</v>
      </c>
      <c r="I1096" s="6" t="s">
        <v>4008</v>
      </c>
      <c r="J1096" s="8">
        <v>45221</v>
      </c>
      <c r="K1096" s="8">
        <v>45303</v>
      </c>
      <c r="L1096" s="6">
        <v>43100.9</v>
      </c>
      <c r="M1096" s="6">
        <v>16800.25</v>
      </c>
      <c r="N1096" s="6">
        <v>755</v>
      </c>
      <c r="O1096" s="6">
        <v>86000</v>
      </c>
      <c r="P1096" s="6" t="s">
        <v>36</v>
      </c>
      <c r="Q1096" s="6" t="s">
        <v>27</v>
      </c>
      <c r="R1096" s="6">
        <v>0</v>
      </c>
      <c r="S1096" s="6" t="s">
        <v>28</v>
      </c>
      <c r="T1096" s="7">
        <f t="shared" si="85"/>
        <v>0.19535174418604651</v>
      </c>
      <c r="U1096" s="6">
        <f t="shared" si="86"/>
        <v>3</v>
      </c>
      <c r="V1096" s="5" t="str">
        <f t="shared" si="87"/>
        <v>VERY GOOD</v>
      </c>
      <c r="W1096" s="6" t="str">
        <f t="shared" si="88"/>
        <v>55+</v>
      </c>
      <c r="X1096" s="6" t="str">
        <f t="shared" si="89"/>
        <v>Lower-Middle</v>
      </c>
    </row>
    <row r="1097" spans="1:24">
      <c r="A1097" s="6" t="s">
        <v>55</v>
      </c>
      <c r="B1097" s="6" t="s">
        <v>2495</v>
      </c>
      <c r="C1097" s="6" t="s">
        <v>39</v>
      </c>
      <c r="D1097" s="6" t="s">
        <v>58</v>
      </c>
      <c r="E1097" s="6" t="s">
        <v>122</v>
      </c>
      <c r="F1097" s="6">
        <v>74</v>
      </c>
      <c r="G1097" s="6" t="s">
        <v>24</v>
      </c>
      <c r="H1097" s="6" t="s">
        <v>2496</v>
      </c>
      <c r="I1097" s="6" t="s">
        <v>3812</v>
      </c>
      <c r="J1097" s="8">
        <v>43973</v>
      </c>
      <c r="K1097" s="8">
        <v>45300</v>
      </c>
      <c r="L1097" s="6">
        <v>192100.4</v>
      </c>
      <c r="M1097" s="6">
        <v>112000.75</v>
      </c>
      <c r="N1097" s="6">
        <v>685</v>
      </c>
      <c r="O1097" s="6">
        <v>220000</v>
      </c>
      <c r="P1097" s="6" t="s">
        <v>76</v>
      </c>
      <c r="Q1097" s="6" t="s">
        <v>27</v>
      </c>
      <c r="R1097" s="6">
        <v>0</v>
      </c>
      <c r="S1097" s="6" t="s">
        <v>28</v>
      </c>
      <c r="T1097" s="7">
        <f t="shared" si="85"/>
        <v>0.50909431818181816</v>
      </c>
      <c r="U1097" s="6">
        <f t="shared" si="86"/>
        <v>6</v>
      </c>
      <c r="V1097" s="5" t="str">
        <f t="shared" si="87"/>
        <v>GOOD</v>
      </c>
      <c r="W1097" s="6" t="str">
        <f t="shared" si="88"/>
        <v>55+</v>
      </c>
      <c r="X1097" s="6" t="str">
        <f t="shared" si="89"/>
        <v>High</v>
      </c>
    </row>
    <row r="1098" spans="1:24">
      <c r="A1098" s="6" t="s">
        <v>469</v>
      </c>
      <c r="B1098" s="6" t="s">
        <v>2497</v>
      </c>
      <c r="C1098" s="6" t="s">
        <v>52</v>
      </c>
      <c r="D1098" s="6" t="s">
        <v>471</v>
      </c>
      <c r="E1098" s="6" t="s">
        <v>472</v>
      </c>
      <c r="F1098" s="6">
        <v>65</v>
      </c>
      <c r="G1098" s="6" t="s">
        <v>34</v>
      </c>
      <c r="H1098" s="6" t="s">
        <v>2498</v>
      </c>
      <c r="I1098" s="6" t="s">
        <v>4219</v>
      </c>
      <c r="J1098" s="8">
        <v>44614</v>
      </c>
      <c r="K1098" s="8">
        <v>45301</v>
      </c>
      <c r="L1098" s="6">
        <v>73100.800000000003</v>
      </c>
      <c r="M1098" s="6">
        <v>46200.6</v>
      </c>
      <c r="N1098" s="6">
        <v>715</v>
      </c>
      <c r="O1098" s="6">
        <v>119000</v>
      </c>
      <c r="P1098" s="6" t="s">
        <v>26</v>
      </c>
      <c r="Q1098" s="6" t="s">
        <v>27</v>
      </c>
      <c r="R1098" s="6">
        <v>0</v>
      </c>
      <c r="S1098" s="6" t="s">
        <v>28</v>
      </c>
      <c r="T1098" s="7">
        <f t="shared" si="85"/>
        <v>0.38824033613445375</v>
      </c>
      <c r="U1098" s="6">
        <f t="shared" si="86"/>
        <v>5</v>
      </c>
      <c r="V1098" s="5" t="str">
        <f t="shared" si="87"/>
        <v>GOOD</v>
      </c>
      <c r="W1098" s="6" t="str">
        <f t="shared" si="88"/>
        <v>55+</v>
      </c>
      <c r="X1098" s="6" t="str">
        <f t="shared" si="89"/>
        <v>Lower-Middle</v>
      </c>
    </row>
    <row r="1099" spans="1:24">
      <c r="A1099" s="6" t="s">
        <v>474</v>
      </c>
      <c r="B1099" s="6" t="s">
        <v>2499</v>
      </c>
      <c r="C1099" s="6" t="s">
        <v>46</v>
      </c>
      <c r="D1099" s="6" t="s">
        <v>345</v>
      </c>
      <c r="E1099" s="6" t="s">
        <v>476</v>
      </c>
      <c r="F1099" s="6">
        <v>68</v>
      </c>
      <c r="G1099" s="6" t="s">
        <v>24</v>
      </c>
      <c r="H1099" s="6" t="s">
        <v>2500</v>
      </c>
      <c r="I1099" s="6" t="s">
        <v>3814</v>
      </c>
      <c r="J1099" s="8">
        <v>44522</v>
      </c>
      <c r="K1099" s="8">
        <v>45302</v>
      </c>
      <c r="L1099" s="6">
        <v>100900.25</v>
      </c>
      <c r="M1099" s="6">
        <v>56200.4</v>
      </c>
      <c r="N1099" s="6">
        <v>680</v>
      </c>
      <c r="O1099" s="6">
        <v>148000</v>
      </c>
      <c r="P1099" s="6" t="s">
        <v>26</v>
      </c>
      <c r="Q1099" s="6" t="s">
        <v>27</v>
      </c>
      <c r="R1099" s="6">
        <v>0</v>
      </c>
      <c r="S1099" s="6" t="s">
        <v>28</v>
      </c>
      <c r="T1099" s="7">
        <f t="shared" si="85"/>
        <v>0.37973243243243243</v>
      </c>
      <c r="U1099" s="6">
        <f t="shared" si="86"/>
        <v>4</v>
      </c>
      <c r="V1099" s="5" t="str">
        <f t="shared" si="87"/>
        <v>GOOD</v>
      </c>
      <c r="W1099" s="6" t="str">
        <f t="shared" si="88"/>
        <v>55+</v>
      </c>
      <c r="X1099" s="6" t="str">
        <f t="shared" si="89"/>
        <v>Upper-Middle</v>
      </c>
    </row>
    <row r="1100" spans="1:24">
      <c r="A1100" s="6" t="s">
        <v>592</v>
      </c>
      <c r="B1100" s="6" t="s">
        <v>2501</v>
      </c>
      <c r="C1100" s="6" t="s">
        <v>84</v>
      </c>
      <c r="D1100" s="6" t="s">
        <v>32</v>
      </c>
      <c r="E1100" s="6" t="s">
        <v>90</v>
      </c>
      <c r="F1100" s="6">
        <v>48</v>
      </c>
      <c r="G1100" s="6" t="s">
        <v>34</v>
      </c>
      <c r="H1100" s="6" t="s">
        <v>2502</v>
      </c>
      <c r="I1100" s="6" t="s">
        <v>3509</v>
      </c>
      <c r="J1100" s="8">
        <v>45540</v>
      </c>
      <c r="K1100" s="8">
        <v>45304</v>
      </c>
      <c r="L1100" s="6">
        <v>4450.3999999999996</v>
      </c>
      <c r="M1100" s="6">
        <v>14200.75</v>
      </c>
      <c r="N1100" s="6">
        <v>610</v>
      </c>
      <c r="O1100" s="6">
        <v>44000</v>
      </c>
      <c r="P1100" s="6" t="s">
        <v>76</v>
      </c>
      <c r="Q1100" s="6" t="s">
        <v>43</v>
      </c>
      <c r="R1100" s="6">
        <v>0</v>
      </c>
      <c r="S1100" s="6" t="s">
        <v>28</v>
      </c>
      <c r="T1100" s="7">
        <f t="shared" si="85"/>
        <v>0.3227443181818182</v>
      </c>
      <c r="U1100" s="6">
        <f t="shared" si="86"/>
        <v>2</v>
      </c>
      <c r="V1100" s="5" t="str">
        <f t="shared" si="87"/>
        <v>FAIR</v>
      </c>
      <c r="W1100" s="6" t="str">
        <f t="shared" si="88"/>
        <v>45-54</v>
      </c>
      <c r="X1100" s="6" t="str">
        <f t="shared" si="89"/>
        <v>Low</v>
      </c>
    </row>
    <row r="1101" spans="1:24">
      <c r="A1101" s="6" t="s">
        <v>595</v>
      </c>
      <c r="B1101" s="6" t="s">
        <v>2503</v>
      </c>
      <c r="C1101" s="6" t="s">
        <v>21</v>
      </c>
      <c r="D1101" s="6" t="s">
        <v>209</v>
      </c>
      <c r="E1101" s="6" t="s">
        <v>210</v>
      </c>
      <c r="F1101" s="6">
        <v>80</v>
      </c>
      <c r="G1101" s="6" t="s">
        <v>24</v>
      </c>
      <c r="H1101" s="6" t="s">
        <v>2504</v>
      </c>
      <c r="I1101" s="6" t="s">
        <v>4046</v>
      </c>
      <c r="J1101" s="8">
        <v>43668</v>
      </c>
      <c r="K1101" s="8">
        <v>45299</v>
      </c>
      <c r="L1101" s="6">
        <v>290100.8</v>
      </c>
      <c r="M1101" s="6">
        <v>103000.25</v>
      </c>
      <c r="N1101" s="6">
        <v>825</v>
      </c>
      <c r="O1101" s="6">
        <v>300000</v>
      </c>
      <c r="P1101" s="6" t="s">
        <v>36</v>
      </c>
      <c r="Q1101" s="6" t="s">
        <v>27</v>
      </c>
      <c r="R1101" s="6">
        <v>0</v>
      </c>
      <c r="S1101" s="6" t="s">
        <v>28</v>
      </c>
      <c r="T1101" s="7">
        <f t="shared" si="85"/>
        <v>0.34333416666666666</v>
      </c>
      <c r="U1101" s="6">
        <f t="shared" si="86"/>
        <v>7</v>
      </c>
      <c r="V1101" s="5" t="str">
        <f t="shared" si="87"/>
        <v>EXCEPTIONAL</v>
      </c>
      <c r="W1101" s="6" t="str">
        <f t="shared" si="88"/>
        <v>55+</v>
      </c>
      <c r="X1101" s="6" t="str">
        <f t="shared" si="89"/>
        <v>High</v>
      </c>
    </row>
    <row r="1102" spans="1:24">
      <c r="A1102" s="6" t="s">
        <v>226</v>
      </c>
      <c r="B1102" s="6" t="s">
        <v>2505</v>
      </c>
      <c r="C1102" s="6" t="s">
        <v>57</v>
      </c>
      <c r="D1102" s="6" t="s">
        <v>228</v>
      </c>
      <c r="E1102" s="6" t="s">
        <v>678</v>
      </c>
      <c r="F1102" s="6">
        <v>55</v>
      </c>
      <c r="G1102" s="6" t="s">
        <v>34</v>
      </c>
      <c r="H1102" s="6" t="s">
        <v>2506</v>
      </c>
      <c r="I1102" s="6" t="s">
        <v>4220</v>
      </c>
      <c r="J1102" s="8">
        <v>45404</v>
      </c>
      <c r="K1102" s="8">
        <v>45305</v>
      </c>
      <c r="L1102" s="6">
        <v>39800.75</v>
      </c>
      <c r="M1102" s="6">
        <v>15200.4</v>
      </c>
      <c r="N1102" s="6">
        <v>725</v>
      </c>
      <c r="O1102" s="6">
        <v>76000</v>
      </c>
      <c r="P1102" s="6" t="s">
        <v>36</v>
      </c>
      <c r="Q1102" s="6" t="s">
        <v>27</v>
      </c>
      <c r="R1102" s="6">
        <v>0</v>
      </c>
      <c r="S1102" s="6" t="s">
        <v>28</v>
      </c>
      <c r="T1102" s="7">
        <f t="shared" si="85"/>
        <v>0.20000526315789474</v>
      </c>
      <c r="U1102" s="6">
        <f t="shared" si="86"/>
        <v>1</v>
      </c>
      <c r="V1102" s="5" t="str">
        <f t="shared" si="87"/>
        <v>GOOD</v>
      </c>
      <c r="W1102" s="6" t="str">
        <f t="shared" si="88"/>
        <v>55+</v>
      </c>
      <c r="X1102" s="6" t="str">
        <f t="shared" si="89"/>
        <v>Lower-Middle</v>
      </c>
    </row>
    <row r="1103" spans="1:24">
      <c r="A1103" s="6" t="s">
        <v>488</v>
      </c>
      <c r="B1103" s="6" t="s">
        <v>2507</v>
      </c>
      <c r="C1103" s="6" t="s">
        <v>39</v>
      </c>
      <c r="D1103" s="6" t="s">
        <v>304</v>
      </c>
      <c r="E1103" s="6" t="s">
        <v>304</v>
      </c>
      <c r="F1103" s="6">
        <v>72</v>
      </c>
      <c r="G1103" s="6" t="s">
        <v>24</v>
      </c>
      <c r="H1103" s="6" t="s">
        <v>2508</v>
      </c>
      <c r="I1103" s="6" t="s">
        <v>4221</v>
      </c>
      <c r="J1103" s="8">
        <v>44147</v>
      </c>
      <c r="K1103" s="8">
        <v>45300</v>
      </c>
      <c r="L1103" s="6">
        <v>170300.6</v>
      </c>
      <c r="M1103" s="6">
        <v>103000.9</v>
      </c>
      <c r="N1103" s="6">
        <v>675</v>
      </c>
      <c r="O1103" s="6">
        <v>200000</v>
      </c>
      <c r="P1103" s="6" t="s">
        <v>76</v>
      </c>
      <c r="Q1103" s="6" t="s">
        <v>27</v>
      </c>
      <c r="R1103" s="6">
        <v>0</v>
      </c>
      <c r="S1103" s="6" t="s">
        <v>28</v>
      </c>
      <c r="T1103" s="7">
        <f t="shared" si="85"/>
        <v>0.51500449999999998</v>
      </c>
      <c r="U1103" s="6">
        <f t="shared" si="86"/>
        <v>6</v>
      </c>
      <c r="V1103" s="5" t="str">
        <f t="shared" si="87"/>
        <v>GOOD</v>
      </c>
      <c r="W1103" s="6" t="str">
        <f t="shared" si="88"/>
        <v>55+</v>
      </c>
      <c r="X1103" s="6" t="str">
        <f t="shared" si="89"/>
        <v>High</v>
      </c>
    </row>
    <row r="1104" spans="1:24">
      <c r="A1104" s="6" t="s">
        <v>491</v>
      </c>
      <c r="B1104" s="6" t="s">
        <v>2509</v>
      </c>
      <c r="C1104" s="6" t="s">
        <v>52</v>
      </c>
      <c r="D1104" s="6" t="s">
        <v>493</v>
      </c>
      <c r="E1104" s="6" t="s">
        <v>494</v>
      </c>
      <c r="F1104" s="6">
        <v>63</v>
      </c>
      <c r="G1104" s="6" t="s">
        <v>34</v>
      </c>
      <c r="H1104" s="6" t="s">
        <v>2510</v>
      </c>
      <c r="I1104" s="6" t="s">
        <v>4222</v>
      </c>
      <c r="J1104" s="8">
        <v>44917</v>
      </c>
      <c r="K1104" s="8">
        <v>45302</v>
      </c>
      <c r="L1104" s="6">
        <v>67300.399999999994</v>
      </c>
      <c r="M1104" s="6">
        <v>42000.25</v>
      </c>
      <c r="N1104" s="6">
        <v>705</v>
      </c>
      <c r="O1104" s="6">
        <v>108000</v>
      </c>
      <c r="P1104" s="6" t="s">
        <v>26</v>
      </c>
      <c r="Q1104" s="6" t="s">
        <v>27</v>
      </c>
      <c r="R1104" s="6">
        <v>0</v>
      </c>
      <c r="S1104" s="6" t="s">
        <v>28</v>
      </c>
      <c r="T1104" s="7">
        <f t="shared" si="85"/>
        <v>0.38889120370370373</v>
      </c>
      <c r="U1104" s="6">
        <f t="shared" si="86"/>
        <v>4</v>
      </c>
      <c r="V1104" s="5" t="str">
        <f t="shared" si="87"/>
        <v>GOOD</v>
      </c>
      <c r="W1104" s="6" t="str">
        <f t="shared" si="88"/>
        <v>55+</v>
      </c>
      <c r="X1104" s="6" t="str">
        <f t="shared" si="89"/>
        <v>Lower-Middle</v>
      </c>
    </row>
    <row r="1105" spans="1:24">
      <c r="A1105" s="6" t="s">
        <v>496</v>
      </c>
      <c r="B1105" s="6" t="s">
        <v>2511</v>
      </c>
      <c r="C1105" s="6" t="s">
        <v>46</v>
      </c>
      <c r="D1105" s="6" t="s">
        <v>321</v>
      </c>
      <c r="E1105" s="6" t="s">
        <v>498</v>
      </c>
      <c r="F1105" s="6">
        <v>66</v>
      </c>
      <c r="G1105" s="6" t="s">
        <v>24</v>
      </c>
      <c r="H1105" s="6" t="s">
        <v>2512</v>
      </c>
      <c r="I1105" s="6" t="s">
        <v>4223</v>
      </c>
      <c r="J1105" s="8">
        <v>44399</v>
      </c>
      <c r="K1105" s="8">
        <v>45301</v>
      </c>
      <c r="L1105" s="6">
        <v>113100.75</v>
      </c>
      <c r="M1105" s="6">
        <v>63100.800000000003</v>
      </c>
      <c r="N1105" s="6">
        <v>730</v>
      </c>
      <c r="O1105" s="6">
        <v>174000</v>
      </c>
      <c r="P1105" s="6" t="s">
        <v>26</v>
      </c>
      <c r="Q1105" s="6" t="s">
        <v>27</v>
      </c>
      <c r="R1105" s="6">
        <v>0</v>
      </c>
      <c r="S1105" s="6" t="s">
        <v>28</v>
      </c>
      <c r="T1105" s="7">
        <f t="shared" si="85"/>
        <v>0.36264827586206899</v>
      </c>
      <c r="U1105" s="6">
        <f t="shared" si="86"/>
        <v>5</v>
      </c>
      <c r="V1105" s="5" t="str">
        <f t="shared" si="87"/>
        <v>GOOD</v>
      </c>
      <c r="W1105" s="6" t="str">
        <f t="shared" si="88"/>
        <v>55+</v>
      </c>
      <c r="X1105" s="6" t="str">
        <f t="shared" si="89"/>
        <v>Upper-Middle</v>
      </c>
    </row>
    <row r="1106" spans="1:24">
      <c r="A1106" s="6" t="s">
        <v>324</v>
      </c>
      <c r="B1106" s="6" t="s">
        <v>2513</v>
      </c>
      <c r="C1106" s="6" t="s">
        <v>31</v>
      </c>
      <c r="D1106" s="6" t="s">
        <v>313</v>
      </c>
      <c r="E1106" s="6" t="s">
        <v>314</v>
      </c>
      <c r="F1106" s="6">
        <v>51</v>
      </c>
      <c r="G1106" s="6" t="s">
        <v>34</v>
      </c>
      <c r="H1106" s="6" t="s">
        <v>2514</v>
      </c>
      <c r="I1106" s="6" t="s">
        <v>4224</v>
      </c>
      <c r="J1106" s="8">
        <v>45532</v>
      </c>
      <c r="K1106" s="8">
        <v>45306</v>
      </c>
      <c r="L1106" s="6">
        <v>17800.900000000001</v>
      </c>
      <c r="M1106" s="6">
        <v>10300.75</v>
      </c>
      <c r="N1106" s="6">
        <v>685</v>
      </c>
      <c r="O1106" s="6">
        <v>61000</v>
      </c>
      <c r="P1106" s="6" t="s">
        <v>26</v>
      </c>
      <c r="Q1106" s="6" t="s">
        <v>43</v>
      </c>
      <c r="R1106" s="6">
        <v>0</v>
      </c>
      <c r="S1106" s="6" t="s">
        <v>28</v>
      </c>
      <c r="T1106" s="7">
        <f t="shared" si="85"/>
        <v>0.16886475409836066</v>
      </c>
      <c r="U1106" s="6">
        <f t="shared" si="86"/>
        <v>0</v>
      </c>
      <c r="V1106" s="5" t="str">
        <f t="shared" si="87"/>
        <v>GOOD</v>
      </c>
      <c r="W1106" s="6" t="str">
        <f t="shared" si="88"/>
        <v>45-54</v>
      </c>
      <c r="X1106" s="6" t="str">
        <f t="shared" si="89"/>
        <v>Low</v>
      </c>
    </row>
    <row r="1107" spans="1:24">
      <c r="A1107" s="6" t="s">
        <v>503</v>
      </c>
      <c r="B1107" s="6" t="s">
        <v>2515</v>
      </c>
      <c r="C1107" s="6" t="s">
        <v>21</v>
      </c>
      <c r="D1107" s="6" t="s">
        <v>32</v>
      </c>
      <c r="E1107" s="6" t="s">
        <v>33</v>
      </c>
      <c r="F1107" s="6">
        <v>83</v>
      </c>
      <c r="G1107" s="6" t="s">
        <v>24</v>
      </c>
      <c r="H1107" s="6" t="s">
        <v>2516</v>
      </c>
      <c r="I1107" s="6" t="s">
        <v>3612</v>
      </c>
      <c r="J1107" s="8">
        <v>43395</v>
      </c>
      <c r="K1107" s="8">
        <v>45299</v>
      </c>
      <c r="L1107" s="6">
        <v>301000.25</v>
      </c>
      <c r="M1107" s="6">
        <v>107000.4</v>
      </c>
      <c r="N1107" s="6">
        <v>840</v>
      </c>
      <c r="O1107" s="6">
        <v>315000</v>
      </c>
      <c r="P1107" s="6" t="s">
        <v>36</v>
      </c>
      <c r="Q1107" s="6" t="s">
        <v>27</v>
      </c>
      <c r="R1107" s="6">
        <v>0</v>
      </c>
      <c r="S1107" s="6" t="s">
        <v>28</v>
      </c>
      <c r="T1107" s="7">
        <f t="shared" si="85"/>
        <v>0.3396838095238095</v>
      </c>
      <c r="U1107" s="6">
        <f t="shared" si="86"/>
        <v>7</v>
      </c>
      <c r="V1107" s="5" t="str">
        <f t="shared" si="87"/>
        <v>EXCEPTIONAL</v>
      </c>
      <c r="W1107" s="6" t="str">
        <f t="shared" si="88"/>
        <v>55+</v>
      </c>
      <c r="X1107" s="6" t="str">
        <f t="shared" si="89"/>
        <v>High</v>
      </c>
    </row>
    <row r="1108" spans="1:24">
      <c r="A1108" s="6" t="s">
        <v>506</v>
      </c>
      <c r="B1108" s="6" t="s">
        <v>2517</v>
      </c>
      <c r="C1108" s="6" t="s">
        <v>39</v>
      </c>
      <c r="D1108" s="6" t="s">
        <v>68</v>
      </c>
      <c r="E1108" s="6" t="s">
        <v>69</v>
      </c>
      <c r="F1108" s="6">
        <v>75</v>
      </c>
      <c r="G1108" s="6" t="s">
        <v>34</v>
      </c>
      <c r="H1108" s="6" t="s">
        <v>2518</v>
      </c>
      <c r="I1108" s="6" t="s">
        <v>4200</v>
      </c>
      <c r="J1108" s="8">
        <v>43912</v>
      </c>
      <c r="K1108" s="8">
        <v>45300</v>
      </c>
      <c r="L1108" s="6">
        <v>181400.4</v>
      </c>
      <c r="M1108" s="6">
        <v>107000.75</v>
      </c>
      <c r="N1108" s="6">
        <v>650</v>
      </c>
      <c r="O1108" s="6">
        <v>210000</v>
      </c>
      <c r="P1108" s="6" t="s">
        <v>76</v>
      </c>
      <c r="Q1108" s="6" t="s">
        <v>27</v>
      </c>
      <c r="R1108" s="6">
        <v>0</v>
      </c>
      <c r="S1108" s="6" t="s">
        <v>28</v>
      </c>
      <c r="T1108" s="7">
        <f t="shared" si="85"/>
        <v>0.50952738095238093</v>
      </c>
      <c r="U1108" s="6">
        <f t="shared" si="86"/>
        <v>6</v>
      </c>
      <c r="V1108" s="5" t="str">
        <f t="shared" si="87"/>
        <v>FAIR</v>
      </c>
      <c r="W1108" s="6" t="str">
        <f t="shared" si="88"/>
        <v>55+</v>
      </c>
      <c r="X1108" s="6" t="str">
        <f t="shared" si="89"/>
        <v>High</v>
      </c>
    </row>
    <row r="1109" spans="1:24">
      <c r="A1109" s="6" t="s">
        <v>509</v>
      </c>
      <c r="B1109" s="6" t="s">
        <v>2519</v>
      </c>
      <c r="C1109" s="6" t="s">
        <v>46</v>
      </c>
      <c r="D1109" s="6" t="s">
        <v>73</v>
      </c>
      <c r="E1109" s="6" t="s">
        <v>126</v>
      </c>
      <c r="F1109" s="6">
        <v>62</v>
      </c>
      <c r="G1109" s="6" t="s">
        <v>24</v>
      </c>
      <c r="H1109" s="6" t="s">
        <v>2520</v>
      </c>
      <c r="I1109" s="6" t="s">
        <v>4225</v>
      </c>
      <c r="J1109" s="8">
        <v>45129</v>
      </c>
      <c r="K1109" s="8">
        <v>45303</v>
      </c>
      <c r="L1109" s="6">
        <v>101900.4</v>
      </c>
      <c r="M1109" s="6">
        <v>57300.25</v>
      </c>
      <c r="N1109" s="6">
        <v>745</v>
      </c>
      <c r="O1109" s="6">
        <v>154000</v>
      </c>
      <c r="P1109" s="6" t="s">
        <v>26</v>
      </c>
      <c r="Q1109" s="6" t="s">
        <v>27</v>
      </c>
      <c r="R1109" s="6">
        <v>0</v>
      </c>
      <c r="S1109" s="6" t="s">
        <v>28</v>
      </c>
      <c r="T1109" s="7">
        <f t="shared" si="85"/>
        <v>0.37207954545454547</v>
      </c>
      <c r="U1109" s="6">
        <f t="shared" si="86"/>
        <v>3</v>
      </c>
      <c r="V1109" s="5" t="str">
        <f t="shared" si="87"/>
        <v>GOOD</v>
      </c>
      <c r="W1109" s="6" t="str">
        <f t="shared" si="88"/>
        <v>55+</v>
      </c>
      <c r="X1109" s="6" t="str">
        <f t="shared" si="89"/>
        <v>Upper-Middle</v>
      </c>
    </row>
    <row r="1110" spans="1:24">
      <c r="A1110" s="6" t="s">
        <v>513</v>
      </c>
      <c r="B1110" s="6" t="s">
        <v>2521</v>
      </c>
      <c r="C1110" s="6" t="s">
        <v>57</v>
      </c>
      <c r="D1110" s="6" t="s">
        <v>58</v>
      </c>
      <c r="E1110" s="6" t="s">
        <v>59</v>
      </c>
      <c r="F1110" s="6">
        <v>57</v>
      </c>
      <c r="G1110" s="6" t="s">
        <v>34</v>
      </c>
      <c r="H1110" s="6" t="s">
        <v>2522</v>
      </c>
      <c r="I1110" s="6" t="s">
        <v>3822</v>
      </c>
      <c r="J1110" s="8">
        <v>45313</v>
      </c>
      <c r="K1110" s="8">
        <v>45302</v>
      </c>
      <c r="L1110" s="6">
        <v>42000.800000000003</v>
      </c>
      <c r="M1110" s="6">
        <v>16400.900000000001</v>
      </c>
      <c r="N1110" s="6">
        <v>765</v>
      </c>
      <c r="O1110" s="6">
        <v>86000</v>
      </c>
      <c r="P1110" s="6" t="s">
        <v>36</v>
      </c>
      <c r="Q1110" s="6" t="s">
        <v>27</v>
      </c>
      <c r="R1110" s="6">
        <v>0</v>
      </c>
      <c r="S1110" s="6" t="s">
        <v>28</v>
      </c>
      <c r="T1110" s="7">
        <f t="shared" si="85"/>
        <v>0.19070813953488375</v>
      </c>
      <c r="U1110" s="6">
        <f t="shared" si="86"/>
        <v>4</v>
      </c>
      <c r="V1110" s="5" t="str">
        <f t="shared" si="87"/>
        <v>VERY GOOD</v>
      </c>
      <c r="W1110" s="6" t="str">
        <f t="shared" si="88"/>
        <v>55+</v>
      </c>
      <c r="X1110" s="6" t="str">
        <f t="shared" si="89"/>
        <v>Lower-Middle</v>
      </c>
    </row>
    <row r="1111" spans="1:24">
      <c r="A1111" s="6" t="s">
        <v>516</v>
      </c>
      <c r="B1111" s="6" t="s">
        <v>2523</v>
      </c>
      <c r="C1111" s="6" t="s">
        <v>52</v>
      </c>
      <c r="D1111" s="6" t="s">
        <v>277</v>
      </c>
      <c r="E1111" s="6" t="s">
        <v>278</v>
      </c>
      <c r="F1111" s="6">
        <v>70</v>
      </c>
      <c r="G1111" s="6" t="s">
        <v>24</v>
      </c>
      <c r="H1111" s="6" t="s">
        <v>2524</v>
      </c>
      <c r="I1111" s="6" t="s">
        <v>3855</v>
      </c>
      <c r="J1111" s="8">
        <v>44583</v>
      </c>
      <c r="K1111" s="8">
        <v>45301</v>
      </c>
      <c r="L1111" s="6">
        <v>75300.75</v>
      </c>
      <c r="M1111" s="6">
        <v>48400.4</v>
      </c>
      <c r="N1111" s="6">
        <v>675</v>
      </c>
      <c r="O1111" s="6">
        <v>126000</v>
      </c>
      <c r="P1111" s="6" t="s">
        <v>26</v>
      </c>
      <c r="Q1111" s="6" t="s">
        <v>27</v>
      </c>
      <c r="R1111" s="6">
        <v>0</v>
      </c>
      <c r="S1111" s="6" t="s">
        <v>28</v>
      </c>
      <c r="T1111" s="7">
        <f t="shared" si="85"/>
        <v>0.38413015873015877</v>
      </c>
      <c r="U1111" s="6">
        <f t="shared" si="86"/>
        <v>5</v>
      </c>
      <c r="V1111" s="5" t="str">
        <f t="shared" si="87"/>
        <v>GOOD</v>
      </c>
      <c r="W1111" s="6" t="str">
        <f t="shared" si="88"/>
        <v>55+</v>
      </c>
      <c r="X1111" s="6" t="str">
        <f t="shared" si="89"/>
        <v>Lower-Middle</v>
      </c>
    </row>
    <row r="1112" spans="1:24">
      <c r="A1112" s="6" t="s">
        <v>519</v>
      </c>
      <c r="B1112" s="6" t="s">
        <v>2525</v>
      </c>
      <c r="C1112" s="6" t="s">
        <v>84</v>
      </c>
      <c r="D1112" s="6" t="s">
        <v>183</v>
      </c>
      <c r="E1112" s="6" t="s">
        <v>273</v>
      </c>
      <c r="F1112" s="6">
        <v>49</v>
      </c>
      <c r="G1112" s="6" t="s">
        <v>34</v>
      </c>
      <c r="H1112" s="6" t="s">
        <v>2526</v>
      </c>
      <c r="I1112" s="6" t="s">
        <v>3824</v>
      </c>
      <c r="J1112" s="8">
        <v>45547</v>
      </c>
      <c r="K1112" s="8">
        <v>45304</v>
      </c>
      <c r="L1112" s="6">
        <v>4700.25</v>
      </c>
      <c r="M1112" s="6">
        <v>15400.6</v>
      </c>
      <c r="N1112" s="6">
        <v>615</v>
      </c>
      <c r="O1112" s="6">
        <v>46000</v>
      </c>
      <c r="P1112" s="6" t="s">
        <v>76</v>
      </c>
      <c r="Q1112" s="6" t="s">
        <v>43</v>
      </c>
      <c r="R1112" s="6">
        <v>0</v>
      </c>
      <c r="S1112" s="6" t="s">
        <v>28</v>
      </c>
      <c r="T1112" s="7">
        <f t="shared" si="85"/>
        <v>0.33479565217391305</v>
      </c>
      <c r="U1112" s="6">
        <f t="shared" si="86"/>
        <v>2</v>
      </c>
      <c r="V1112" s="5" t="str">
        <f t="shared" si="87"/>
        <v>FAIR</v>
      </c>
      <c r="W1112" s="6" t="str">
        <f t="shared" si="88"/>
        <v>45-54</v>
      </c>
      <c r="X1112" s="6" t="str">
        <f t="shared" si="89"/>
        <v>Low</v>
      </c>
    </row>
    <row r="1113" spans="1:24">
      <c r="A1113" s="6" t="s">
        <v>522</v>
      </c>
      <c r="B1113" s="6" t="s">
        <v>2527</v>
      </c>
      <c r="C1113" s="6" t="s">
        <v>39</v>
      </c>
      <c r="D1113" s="6" t="s">
        <v>40</v>
      </c>
      <c r="E1113" s="6" t="s">
        <v>94</v>
      </c>
      <c r="F1113" s="6">
        <v>77</v>
      </c>
      <c r="G1113" s="6" t="s">
        <v>24</v>
      </c>
      <c r="H1113" s="6" t="s">
        <v>2528</v>
      </c>
      <c r="I1113" s="6" t="s">
        <v>3510</v>
      </c>
      <c r="J1113" s="8">
        <v>43883</v>
      </c>
      <c r="K1113" s="8">
        <v>45299</v>
      </c>
      <c r="L1113" s="6">
        <v>216000.8</v>
      </c>
      <c r="M1113" s="6">
        <v>120000.25</v>
      </c>
      <c r="N1113" s="6">
        <v>660</v>
      </c>
      <c r="O1113" s="6">
        <v>245000</v>
      </c>
      <c r="P1113" s="6" t="s">
        <v>76</v>
      </c>
      <c r="Q1113" s="6" t="s">
        <v>27</v>
      </c>
      <c r="R1113" s="6">
        <v>0</v>
      </c>
      <c r="S1113" s="6" t="s">
        <v>28</v>
      </c>
      <c r="T1113" s="7">
        <f t="shared" si="85"/>
        <v>0.48979693877551023</v>
      </c>
      <c r="U1113" s="6">
        <f t="shared" si="86"/>
        <v>7</v>
      </c>
      <c r="V1113" s="5" t="str">
        <f t="shared" si="87"/>
        <v>FAIR</v>
      </c>
      <c r="W1113" s="6" t="str">
        <f t="shared" si="88"/>
        <v>55+</v>
      </c>
      <c r="X1113" s="6" t="str">
        <f t="shared" si="89"/>
        <v>High</v>
      </c>
    </row>
    <row r="1114" spans="1:24">
      <c r="A1114" s="6" t="s">
        <v>306</v>
      </c>
      <c r="B1114" s="6" t="s">
        <v>2529</v>
      </c>
      <c r="C1114" s="6" t="s">
        <v>46</v>
      </c>
      <c r="D1114" s="6" t="s">
        <v>209</v>
      </c>
      <c r="E1114" s="6" t="s">
        <v>210</v>
      </c>
      <c r="F1114" s="6">
        <v>64</v>
      </c>
      <c r="G1114" s="6" t="s">
        <v>34</v>
      </c>
      <c r="H1114" s="6" t="s">
        <v>2530</v>
      </c>
      <c r="I1114" s="6" t="s">
        <v>4065</v>
      </c>
      <c r="J1114" s="8">
        <v>44734</v>
      </c>
      <c r="K1114" s="8">
        <v>45302</v>
      </c>
      <c r="L1114" s="6">
        <v>96400.9</v>
      </c>
      <c r="M1114" s="6">
        <v>54200.75</v>
      </c>
      <c r="N1114" s="6">
        <v>730</v>
      </c>
      <c r="O1114" s="6">
        <v>149000</v>
      </c>
      <c r="P1114" s="6" t="s">
        <v>26</v>
      </c>
      <c r="Q1114" s="6" t="s">
        <v>27</v>
      </c>
      <c r="R1114" s="6">
        <v>0</v>
      </c>
      <c r="S1114" s="6" t="s">
        <v>28</v>
      </c>
      <c r="T1114" s="7">
        <f t="shared" si="85"/>
        <v>0.36376342281879193</v>
      </c>
      <c r="U1114" s="6">
        <f t="shared" si="86"/>
        <v>4</v>
      </c>
      <c r="V1114" s="5" t="str">
        <f t="shared" si="87"/>
        <v>GOOD</v>
      </c>
      <c r="W1114" s="6" t="str">
        <f t="shared" si="88"/>
        <v>55+</v>
      </c>
      <c r="X1114" s="6" t="str">
        <f t="shared" si="89"/>
        <v>Upper-Middle</v>
      </c>
    </row>
    <row r="1115" spans="1:24">
      <c r="A1115" s="6" t="s">
        <v>527</v>
      </c>
      <c r="B1115" s="6" t="s">
        <v>2531</v>
      </c>
      <c r="C1115" s="6" t="s">
        <v>31</v>
      </c>
      <c r="D1115" s="6" t="s">
        <v>32</v>
      </c>
      <c r="E1115" s="6" t="s">
        <v>90</v>
      </c>
      <c r="F1115" s="6">
        <v>53</v>
      </c>
      <c r="G1115" s="6" t="s">
        <v>34</v>
      </c>
      <c r="H1115" s="6" t="s">
        <v>2532</v>
      </c>
      <c r="I1115" s="6" t="s">
        <v>3721</v>
      </c>
      <c r="J1115" s="8">
        <v>45543</v>
      </c>
      <c r="K1115" s="8">
        <v>45305</v>
      </c>
      <c r="L1115" s="6">
        <v>18900.400000000001</v>
      </c>
      <c r="M1115" s="6">
        <v>10400.25</v>
      </c>
      <c r="N1115" s="6">
        <v>705</v>
      </c>
      <c r="O1115" s="6">
        <v>63000</v>
      </c>
      <c r="P1115" s="6" t="s">
        <v>26</v>
      </c>
      <c r="Q1115" s="6" t="s">
        <v>43</v>
      </c>
      <c r="R1115" s="6">
        <v>0</v>
      </c>
      <c r="S1115" s="6" t="s">
        <v>28</v>
      </c>
      <c r="T1115" s="7">
        <f t="shared" si="85"/>
        <v>0.16508333333333333</v>
      </c>
      <c r="U1115" s="6">
        <f t="shared" si="86"/>
        <v>1</v>
      </c>
      <c r="V1115" s="5" t="str">
        <f t="shared" si="87"/>
        <v>GOOD</v>
      </c>
      <c r="W1115" s="6" t="str">
        <f t="shared" si="88"/>
        <v>45-54</v>
      </c>
      <c r="X1115" s="6" t="str">
        <f t="shared" si="89"/>
        <v>Low</v>
      </c>
    </row>
    <row r="1116" spans="1:24">
      <c r="A1116" s="6" t="s">
        <v>530</v>
      </c>
      <c r="B1116" s="6" t="s">
        <v>2533</v>
      </c>
      <c r="C1116" s="6" t="s">
        <v>57</v>
      </c>
      <c r="D1116" s="6" t="s">
        <v>219</v>
      </c>
      <c r="E1116" s="6" t="s">
        <v>220</v>
      </c>
      <c r="F1116" s="6">
        <v>58</v>
      </c>
      <c r="G1116" s="6" t="s">
        <v>24</v>
      </c>
      <c r="H1116" s="6" t="s">
        <v>2534</v>
      </c>
      <c r="I1116" s="6" t="s">
        <v>4226</v>
      </c>
      <c r="J1116" s="8">
        <v>45282</v>
      </c>
      <c r="K1116" s="8">
        <v>45303</v>
      </c>
      <c r="L1116" s="6">
        <v>40900.6</v>
      </c>
      <c r="M1116" s="6">
        <v>15800.8</v>
      </c>
      <c r="N1116" s="6">
        <v>710</v>
      </c>
      <c r="O1116" s="6">
        <v>79000</v>
      </c>
      <c r="P1116" s="6" t="s">
        <v>36</v>
      </c>
      <c r="Q1116" s="6" t="s">
        <v>27</v>
      </c>
      <c r="R1116" s="6">
        <v>0</v>
      </c>
      <c r="S1116" s="6" t="s">
        <v>28</v>
      </c>
      <c r="T1116" s="7">
        <f t="shared" si="85"/>
        <v>0.20001012658227846</v>
      </c>
      <c r="U1116" s="6">
        <f t="shared" si="86"/>
        <v>3</v>
      </c>
      <c r="V1116" s="5" t="str">
        <f t="shared" si="87"/>
        <v>GOOD</v>
      </c>
      <c r="W1116" s="6" t="str">
        <f t="shared" si="88"/>
        <v>55+</v>
      </c>
      <c r="X1116" s="6" t="str">
        <f t="shared" si="89"/>
        <v>Lower-Middle</v>
      </c>
    </row>
    <row r="1117" spans="1:24">
      <c r="A1117" s="6" t="s">
        <v>533</v>
      </c>
      <c r="B1117" s="6" t="s">
        <v>2535</v>
      </c>
      <c r="C1117" s="6" t="s">
        <v>52</v>
      </c>
      <c r="D1117" s="6" t="s">
        <v>204</v>
      </c>
      <c r="E1117" s="6" t="s">
        <v>205</v>
      </c>
      <c r="F1117" s="6">
        <v>65</v>
      </c>
      <c r="G1117" s="6" t="s">
        <v>34</v>
      </c>
      <c r="H1117" s="6" t="s">
        <v>2536</v>
      </c>
      <c r="I1117" s="6" t="s">
        <v>3859</v>
      </c>
      <c r="J1117" s="8">
        <v>44583</v>
      </c>
      <c r="K1117" s="8">
        <v>45301</v>
      </c>
      <c r="L1117" s="6">
        <v>72200.25</v>
      </c>
      <c r="M1117" s="6">
        <v>45300.9</v>
      </c>
      <c r="N1117" s="6">
        <v>695</v>
      </c>
      <c r="O1117" s="6">
        <v>114000</v>
      </c>
      <c r="P1117" s="6" t="s">
        <v>26</v>
      </c>
      <c r="Q1117" s="6" t="s">
        <v>27</v>
      </c>
      <c r="R1117" s="6">
        <v>0</v>
      </c>
      <c r="S1117" s="6" t="s">
        <v>28</v>
      </c>
      <c r="T1117" s="7">
        <f t="shared" si="85"/>
        <v>0.39737631578947369</v>
      </c>
      <c r="U1117" s="6">
        <f t="shared" si="86"/>
        <v>5</v>
      </c>
      <c r="V1117" s="5" t="str">
        <f t="shared" si="87"/>
        <v>GOOD</v>
      </c>
      <c r="W1117" s="6" t="str">
        <f t="shared" si="88"/>
        <v>55+</v>
      </c>
      <c r="X1117" s="6" t="str">
        <f t="shared" si="89"/>
        <v>Lower-Middle</v>
      </c>
    </row>
    <row r="1118" spans="1:24">
      <c r="A1118" s="6" t="s">
        <v>536</v>
      </c>
      <c r="B1118" s="6" t="s">
        <v>2537</v>
      </c>
      <c r="C1118" s="6" t="s">
        <v>39</v>
      </c>
      <c r="D1118" s="6" t="s">
        <v>195</v>
      </c>
      <c r="E1118" s="6" t="s">
        <v>196</v>
      </c>
      <c r="F1118" s="6">
        <v>73</v>
      </c>
      <c r="G1118" s="6" t="s">
        <v>24</v>
      </c>
      <c r="H1118" s="6" t="s">
        <v>2538</v>
      </c>
      <c r="I1118" s="6" t="s">
        <v>4227</v>
      </c>
      <c r="J1118" s="8">
        <v>44034</v>
      </c>
      <c r="K1118" s="8">
        <v>45300</v>
      </c>
      <c r="L1118" s="6">
        <v>148200.4</v>
      </c>
      <c r="M1118" s="6">
        <v>94000.6</v>
      </c>
      <c r="N1118" s="6">
        <v>670</v>
      </c>
      <c r="O1118" s="6">
        <v>181000</v>
      </c>
      <c r="P1118" s="6" t="s">
        <v>76</v>
      </c>
      <c r="Q1118" s="6" t="s">
        <v>27</v>
      </c>
      <c r="R1118" s="6">
        <v>0</v>
      </c>
      <c r="S1118" s="6" t="s">
        <v>28</v>
      </c>
      <c r="T1118" s="7">
        <f t="shared" si="85"/>
        <v>0.51934033149171277</v>
      </c>
      <c r="U1118" s="6">
        <f t="shared" si="86"/>
        <v>6</v>
      </c>
      <c r="V1118" s="5" t="str">
        <f t="shared" si="87"/>
        <v>GOOD</v>
      </c>
      <c r="W1118" s="6" t="str">
        <f t="shared" si="88"/>
        <v>55+</v>
      </c>
      <c r="X1118" s="6" t="str">
        <f t="shared" si="89"/>
        <v>Upper-Middle</v>
      </c>
    </row>
    <row r="1119" spans="1:24">
      <c r="A1119" s="6" t="s">
        <v>539</v>
      </c>
      <c r="B1119" s="6" t="s">
        <v>2539</v>
      </c>
      <c r="C1119" s="6" t="s">
        <v>21</v>
      </c>
      <c r="D1119" s="6" t="s">
        <v>58</v>
      </c>
      <c r="E1119" s="6" t="s">
        <v>122</v>
      </c>
      <c r="F1119" s="6">
        <v>81</v>
      </c>
      <c r="G1119" s="6" t="s">
        <v>34</v>
      </c>
      <c r="H1119" s="6" t="s">
        <v>2540</v>
      </c>
      <c r="I1119" s="6" t="s">
        <v>3829</v>
      </c>
      <c r="J1119" s="8">
        <v>43607</v>
      </c>
      <c r="K1119" s="8">
        <v>45299</v>
      </c>
      <c r="L1119" s="6">
        <v>315100.75</v>
      </c>
      <c r="M1119" s="6">
        <v>111000.8</v>
      </c>
      <c r="N1119" s="6">
        <v>835</v>
      </c>
      <c r="O1119" s="6">
        <v>326000</v>
      </c>
      <c r="P1119" s="6" t="s">
        <v>36</v>
      </c>
      <c r="Q1119" s="6" t="s">
        <v>27</v>
      </c>
      <c r="R1119" s="6">
        <v>0</v>
      </c>
      <c r="S1119" s="6" t="s">
        <v>28</v>
      </c>
      <c r="T1119" s="7">
        <f t="shared" si="85"/>
        <v>0.34049325153374232</v>
      </c>
      <c r="U1119" s="6">
        <f t="shared" si="86"/>
        <v>7</v>
      </c>
      <c r="V1119" s="5" t="str">
        <f t="shared" si="87"/>
        <v>EXCEPTIONAL</v>
      </c>
      <c r="W1119" s="6" t="str">
        <f t="shared" si="88"/>
        <v>55+</v>
      </c>
      <c r="X1119" s="6" t="str">
        <f t="shared" si="89"/>
        <v>High</v>
      </c>
    </row>
    <row r="1120" spans="1:24">
      <c r="A1120" s="6" t="s">
        <v>542</v>
      </c>
      <c r="B1120" s="6" t="s">
        <v>2541</v>
      </c>
      <c r="C1120" s="6" t="s">
        <v>52</v>
      </c>
      <c r="D1120" s="6" t="s">
        <v>68</v>
      </c>
      <c r="E1120" s="6" t="s">
        <v>114</v>
      </c>
      <c r="F1120" s="6">
        <v>68</v>
      </c>
      <c r="G1120" s="6" t="s">
        <v>34</v>
      </c>
      <c r="H1120" s="6" t="s">
        <v>2542</v>
      </c>
      <c r="I1120" s="6" t="s">
        <v>4217</v>
      </c>
      <c r="J1120" s="8">
        <v>44552</v>
      </c>
      <c r="K1120" s="8">
        <v>45302</v>
      </c>
      <c r="L1120" s="6">
        <v>80900.600000000006</v>
      </c>
      <c r="M1120" s="6">
        <v>50900.25</v>
      </c>
      <c r="N1120" s="6">
        <v>665</v>
      </c>
      <c r="O1120" s="6">
        <v>134000</v>
      </c>
      <c r="P1120" s="6" t="s">
        <v>26</v>
      </c>
      <c r="Q1120" s="6" t="s">
        <v>27</v>
      </c>
      <c r="R1120" s="6">
        <v>0</v>
      </c>
      <c r="S1120" s="6" t="s">
        <v>28</v>
      </c>
      <c r="T1120" s="7">
        <f t="shared" si="85"/>
        <v>0.37985261194029851</v>
      </c>
      <c r="U1120" s="6">
        <f t="shared" si="86"/>
        <v>4</v>
      </c>
      <c r="V1120" s="5" t="str">
        <f t="shared" si="87"/>
        <v>FAIR</v>
      </c>
      <c r="W1120" s="6" t="str">
        <f t="shared" si="88"/>
        <v>55+</v>
      </c>
      <c r="X1120" s="6" t="str">
        <f t="shared" si="89"/>
        <v>Upper-Middle</v>
      </c>
    </row>
    <row r="1121" spans="1:24">
      <c r="A1121" s="6" t="s">
        <v>545</v>
      </c>
      <c r="B1121" s="6" t="s">
        <v>2543</v>
      </c>
      <c r="C1121" s="6" t="s">
        <v>46</v>
      </c>
      <c r="D1121" s="6" t="s">
        <v>241</v>
      </c>
      <c r="E1121" s="6" t="s">
        <v>242</v>
      </c>
      <c r="F1121" s="6">
        <v>60</v>
      </c>
      <c r="G1121" s="6" t="s">
        <v>24</v>
      </c>
      <c r="H1121" s="6" t="s">
        <v>2544</v>
      </c>
      <c r="I1121" s="6" t="s">
        <v>4228</v>
      </c>
      <c r="J1121" s="8">
        <v>45191</v>
      </c>
      <c r="K1121" s="8">
        <v>45303</v>
      </c>
      <c r="L1121" s="6">
        <v>104200.8</v>
      </c>
      <c r="M1121" s="6">
        <v>58400.4</v>
      </c>
      <c r="N1121" s="6">
        <v>750</v>
      </c>
      <c r="O1121" s="6">
        <v>160000</v>
      </c>
      <c r="P1121" s="6" t="s">
        <v>26</v>
      </c>
      <c r="Q1121" s="6" t="s">
        <v>27</v>
      </c>
      <c r="R1121" s="6">
        <v>0</v>
      </c>
      <c r="S1121" s="6" t="s">
        <v>28</v>
      </c>
      <c r="T1121" s="7">
        <f t="shared" si="85"/>
        <v>0.36500250000000001</v>
      </c>
      <c r="U1121" s="6">
        <f t="shared" si="86"/>
        <v>3</v>
      </c>
      <c r="V1121" s="5" t="str">
        <f t="shared" si="87"/>
        <v>VERY GOOD</v>
      </c>
      <c r="W1121" s="6" t="str">
        <f t="shared" si="88"/>
        <v>55+</v>
      </c>
      <c r="X1121" s="6" t="str">
        <f t="shared" si="89"/>
        <v>Upper-Middle</v>
      </c>
    </row>
    <row r="1122" spans="1:24">
      <c r="A1122" s="6" t="s">
        <v>548</v>
      </c>
      <c r="B1122" s="6" t="s">
        <v>2545</v>
      </c>
      <c r="C1122" s="6" t="s">
        <v>57</v>
      </c>
      <c r="D1122" s="6" t="s">
        <v>22</v>
      </c>
      <c r="E1122" s="6" t="s">
        <v>282</v>
      </c>
      <c r="F1122" s="6">
        <v>56</v>
      </c>
      <c r="G1122" s="6" t="s">
        <v>34</v>
      </c>
      <c r="H1122" s="6" t="s">
        <v>2546</v>
      </c>
      <c r="I1122" s="6" t="s">
        <v>3706</v>
      </c>
      <c r="J1122" s="8">
        <v>45373</v>
      </c>
      <c r="K1122" s="8">
        <v>45305</v>
      </c>
      <c r="L1122" s="6">
        <v>43100.9</v>
      </c>
      <c r="M1122" s="6">
        <v>16800.75</v>
      </c>
      <c r="N1122" s="6">
        <v>770</v>
      </c>
      <c r="O1122" s="6">
        <v>91000</v>
      </c>
      <c r="P1122" s="6" t="s">
        <v>36</v>
      </c>
      <c r="Q1122" s="6" t="s">
        <v>27</v>
      </c>
      <c r="R1122" s="6">
        <v>0</v>
      </c>
      <c r="S1122" s="6" t="s">
        <v>28</v>
      </c>
      <c r="T1122" s="7">
        <f t="shared" si="85"/>
        <v>0.18462362637362636</v>
      </c>
      <c r="U1122" s="6">
        <f t="shared" si="86"/>
        <v>1</v>
      </c>
      <c r="V1122" s="5" t="str">
        <f t="shared" si="87"/>
        <v>VERY GOOD</v>
      </c>
      <c r="W1122" s="6" t="str">
        <f t="shared" si="88"/>
        <v>55+</v>
      </c>
      <c r="X1122" s="6" t="str">
        <f t="shared" si="89"/>
        <v>Lower-Middle</v>
      </c>
    </row>
    <row r="1123" spans="1:24">
      <c r="A1123" s="6" t="s">
        <v>551</v>
      </c>
      <c r="B1123" s="6" t="s">
        <v>2547</v>
      </c>
      <c r="C1123" s="6" t="s">
        <v>39</v>
      </c>
      <c r="D1123" s="6" t="s">
        <v>313</v>
      </c>
      <c r="E1123" s="6" t="s">
        <v>385</v>
      </c>
      <c r="F1123" s="6">
        <v>79</v>
      </c>
      <c r="G1123" s="6" t="s">
        <v>24</v>
      </c>
      <c r="H1123" s="6" t="s">
        <v>2548</v>
      </c>
      <c r="I1123" s="6" t="s">
        <v>4229</v>
      </c>
      <c r="J1123" s="8">
        <v>43791</v>
      </c>
      <c r="K1123" s="8">
        <v>45299</v>
      </c>
      <c r="L1123" s="6">
        <v>201300.25</v>
      </c>
      <c r="M1123" s="6">
        <v>115000.8</v>
      </c>
      <c r="N1123" s="6">
        <v>645</v>
      </c>
      <c r="O1123" s="6">
        <v>231000</v>
      </c>
      <c r="P1123" s="6" t="s">
        <v>76</v>
      </c>
      <c r="Q1123" s="6" t="s">
        <v>27</v>
      </c>
      <c r="R1123" s="6">
        <v>0</v>
      </c>
      <c r="S1123" s="6" t="s">
        <v>28</v>
      </c>
      <c r="T1123" s="7">
        <f t="shared" si="85"/>
        <v>0.49783896103896103</v>
      </c>
      <c r="U1123" s="6">
        <f t="shared" si="86"/>
        <v>7</v>
      </c>
      <c r="V1123" s="5" t="str">
        <f t="shared" si="87"/>
        <v>FAIR</v>
      </c>
      <c r="W1123" s="6" t="str">
        <f t="shared" si="88"/>
        <v>55+</v>
      </c>
      <c r="X1123" s="6" t="str">
        <f t="shared" si="89"/>
        <v>High</v>
      </c>
    </row>
    <row r="1124" spans="1:24">
      <c r="A1124" s="6" t="s">
        <v>554</v>
      </c>
      <c r="B1124" s="6" t="s">
        <v>2549</v>
      </c>
      <c r="C1124" s="6" t="s">
        <v>31</v>
      </c>
      <c r="D1124" s="6" t="s">
        <v>214</v>
      </c>
      <c r="E1124" s="6" t="s">
        <v>215</v>
      </c>
      <c r="F1124" s="6">
        <v>52</v>
      </c>
      <c r="G1124" s="6" t="s">
        <v>34</v>
      </c>
      <c r="H1124" s="6" t="s">
        <v>2550</v>
      </c>
      <c r="I1124" s="6" t="s">
        <v>4230</v>
      </c>
      <c r="J1124" s="8">
        <v>45547</v>
      </c>
      <c r="K1124" s="8">
        <v>45306</v>
      </c>
      <c r="L1124" s="6">
        <v>36200.5</v>
      </c>
      <c r="M1124" s="6">
        <v>16400.400000000001</v>
      </c>
      <c r="N1124" s="6">
        <v>720</v>
      </c>
      <c r="O1124" s="6">
        <v>68000</v>
      </c>
      <c r="P1124" s="6" t="s">
        <v>36</v>
      </c>
      <c r="Q1124" s="6" t="s">
        <v>27</v>
      </c>
      <c r="R1124" s="6">
        <v>0</v>
      </c>
      <c r="S1124" s="6" t="s">
        <v>28</v>
      </c>
      <c r="T1124" s="7">
        <f t="shared" si="85"/>
        <v>0.24118235294117649</v>
      </c>
      <c r="U1124" s="6">
        <f t="shared" si="86"/>
        <v>0</v>
      </c>
      <c r="V1124" s="5" t="str">
        <f t="shared" si="87"/>
        <v>GOOD</v>
      </c>
      <c r="W1124" s="6" t="str">
        <f t="shared" si="88"/>
        <v>45-54</v>
      </c>
      <c r="X1124" s="6" t="str">
        <f t="shared" si="89"/>
        <v>Low</v>
      </c>
    </row>
    <row r="1125" spans="1:24">
      <c r="A1125" s="6" t="s">
        <v>108</v>
      </c>
      <c r="B1125" s="6" t="s">
        <v>2551</v>
      </c>
      <c r="C1125" s="6" t="s">
        <v>84</v>
      </c>
      <c r="D1125" s="6" t="s">
        <v>32</v>
      </c>
      <c r="E1125" s="6" t="s">
        <v>33</v>
      </c>
      <c r="F1125" s="6">
        <v>48</v>
      </c>
      <c r="G1125" s="6" t="s">
        <v>24</v>
      </c>
      <c r="H1125" s="6" t="s">
        <v>2552</v>
      </c>
      <c r="I1125" s="6" t="s">
        <v>3509</v>
      </c>
      <c r="J1125" s="8">
        <v>45550</v>
      </c>
      <c r="K1125" s="8">
        <v>45304</v>
      </c>
      <c r="L1125" s="6">
        <v>4450.8</v>
      </c>
      <c r="M1125" s="6">
        <v>13800.25</v>
      </c>
      <c r="N1125" s="6">
        <v>605</v>
      </c>
      <c r="O1125" s="6">
        <v>44000</v>
      </c>
      <c r="P1125" s="6" t="s">
        <v>76</v>
      </c>
      <c r="Q1125" s="6" t="s">
        <v>43</v>
      </c>
      <c r="R1125" s="6">
        <v>0</v>
      </c>
      <c r="S1125" s="6" t="s">
        <v>28</v>
      </c>
      <c r="T1125" s="7">
        <f t="shared" si="85"/>
        <v>0.31364204545454544</v>
      </c>
      <c r="U1125" s="6">
        <f t="shared" si="86"/>
        <v>2</v>
      </c>
      <c r="V1125" s="5" t="str">
        <f t="shared" si="87"/>
        <v>FAIR</v>
      </c>
      <c r="W1125" s="6" t="str">
        <f t="shared" si="88"/>
        <v>45-54</v>
      </c>
      <c r="X1125" s="6" t="str">
        <f t="shared" si="89"/>
        <v>Low</v>
      </c>
    </row>
    <row r="1126" spans="1:24">
      <c r="A1126" s="6" t="s">
        <v>559</v>
      </c>
      <c r="B1126" s="6" t="s">
        <v>2553</v>
      </c>
      <c r="C1126" s="6" t="s">
        <v>46</v>
      </c>
      <c r="D1126" s="6" t="s">
        <v>254</v>
      </c>
      <c r="E1126" s="6" t="s">
        <v>255</v>
      </c>
      <c r="F1126" s="6">
        <v>62</v>
      </c>
      <c r="G1126" s="6" t="s">
        <v>34</v>
      </c>
      <c r="H1126" s="6" t="s">
        <v>2554</v>
      </c>
      <c r="I1126" s="6" t="s">
        <v>4231</v>
      </c>
      <c r="J1126" s="8">
        <v>45068</v>
      </c>
      <c r="K1126" s="8">
        <v>45302</v>
      </c>
      <c r="L1126" s="6">
        <v>90900.4</v>
      </c>
      <c r="M1126" s="6">
        <v>53100.75</v>
      </c>
      <c r="N1126" s="6">
        <v>710</v>
      </c>
      <c r="O1126" s="6">
        <v>142000</v>
      </c>
      <c r="P1126" s="6" t="s">
        <v>26</v>
      </c>
      <c r="Q1126" s="6" t="s">
        <v>27</v>
      </c>
      <c r="R1126" s="6">
        <v>0</v>
      </c>
      <c r="S1126" s="6" t="s">
        <v>28</v>
      </c>
      <c r="T1126" s="7">
        <f t="shared" si="85"/>
        <v>0.37394894366197184</v>
      </c>
      <c r="U1126" s="6">
        <f t="shared" si="86"/>
        <v>4</v>
      </c>
      <c r="V1126" s="5" t="str">
        <f t="shared" si="87"/>
        <v>GOOD</v>
      </c>
      <c r="W1126" s="6" t="str">
        <f t="shared" si="88"/>
        <v>55+</v>
      </c>
      <c r="X1126" s="6" t="str">
        <f t="shared" si="89"/>
        <v>Upper-Middle</v>
      </c>
    </row>
    <row r="1127" spans="1:24">
      <c r="A1127" s="6" t="s">
        <v>562</v>
      </c>
      <c r="B1127" s="6" t="s">
        <v>2555</v>
      </c>
      <c r="C1127" s="6" t="s">
        <v>39</v>
      </c>
      <c r="D1127" s="6" t="s">
        <v>47</v>
      </c>
      <c r="E1127" s="6" t="s">
        <v>98</v>
      </c>
      <c r="F1127" s="6">
        <v>76</v>
      </c>
      <c r="G1127" s="6" t="s">
        <v>24</v>
      </c>
      <c r="H1127" s="6" t="s">
        <v>2556</v>
      </c>
      <c r="I1127" s="6" t="s">
        <v>3835</v>
      </c>
      <c r="J1127" s="8">
        <v>43943</v>
      </c>
      <c r="K1127" s="8">
        <v>45300</v>
      </c>
      <c r="L1127" s="6">
        <v>181500.6</v>
      </c>
      <c r="M1127" s="6">
        <v>108000.25</v>
      </c>
      <c r="N1127" s="6">
        <v>675</v>
      </c>
      <c r="O1127" s="6">
        <v>211000</v>
      </c>
      <c r="P1127" s="6" t="s">
        <v>76</v>
      </c>
      <c r="Q1127" s="6" t="s">
        <v>27</v>
      </c>
      <c r="R1127" s="6">
        <v>0</v>
      </c>
      <c r="S1127" s="6" t="s">
        <v>28</v>
      </c>
      <c r="T1127" s="7">
        <f t="shared" si="85"/>
        <v>0.5118495260663507</v>
      </c>
      <c r="U1127" s="6">
        <f t="shared" si="86"/>
        <v>6</v>
      </c>
      <c r="V1127" s="5" t="str">
        <f t="shared" si="87"/>
        <v>GOOD</v>
      </c>
      <c r="W1127" s="6" t="str">
        <f t="shared" si="88"/>
        <v>55+</v>
      </c>
      <c r="X1127" s="6" t="str">
        <f t="shared" si="89"/>
        <v>High</v>
      </c>
    </row>
    <row r="1128" spans="1:24">
      <c r="A1128" s="6" t="s">
        <v>565</v>
      </c>
      <c r="B1128" s="6" t="s">
        <v>2557</v>
      </c>
      <c r="C1128" s="6" t="s">
        <v>52</v>
      </c>
      <c r="D1128" s="6" t="s">
        <v>233</v>
      </c>
      <c r="E1128" s="6" t="s">
        <v>234</v>
      </c>
      <c r="F1128" s="6">
        <v>61</v>
      </c>
      <c r="G1128" s="6" t="s">
        <v>34</v>
      </c>
      <c r="H1128" s="6" t="s">
        <v>2558</v>
      </c>
      <c r="I1128" s="6" t="s">
        <v>3836</v>
      </c>
      <c r="J1128" s="8">
        <v>44856</v>
      </c>
      <c r="K1128" s="8">
        <v>45301</v>
      </c>
      <c r="L1128" s="6">
        <v>67300.75</v>
      </c>
      <c r="M1128" s="6">
        <v>44200.800000000003</v>
      </c>
      <c r="N1128" s="6">
        <v>725</v>
      </c>
      <c r="O1128" s="6">
        <v>108000</v>
      </c>
      <c r="P1128" s="6" t="s">
        <v>26</v>
      </c>
      <c r="Q1128" s="6" t="s">
        <v>27</v>
      </c>
      <c r="R1128" s="6">
        <v>0</v>
      </c>
      <c r="S1128" s="6" t="s">
        <v>28</v>
      </c>
      <c r="T1128" s="7">
        <f t="shared" si="85"/>
        <v>0.40926666666666667</v>
      </c>
      <c r="U1128" s="6">
        <f t="shared" si="86"/>
        <v>5</v>
      </c>
      <c r="V1128" s="5" t="str">
        <f t="shared" si="87"/>
        <v>GOOD</v>
      </c>
      <c r="W1128" s="6" t="str">
        <f t="shared" si="88"/>
        <v>55+</v>
      </c>
      <c r="X1128" s="6" t="str">
        <f t="shared" si="89"/>
        <v>Lower-Middle</v>
      </c>
    </row>
    <row r="1129" spans="1:24">
      <c r="A1129" s="6" t="s">
        <v>568</v>
      </c>
      <c r="B1129" s="6" t="s">
        <v>2559</v>
      </c>
      <c r="C1129" s="6" t="s">
        <v>57</v>
      </c>
      <c r="D1129" s="6" t="s">
        <v>79</v>
      </c>
      <c r="E1129" s="6" t="s">
        <v>80</v>
      </c>
      <c r="F1129" s="6">
        <v>59</v>
      </c>
      <c r="G1129" s="6" t="s">
        <v>24</v>
      </c>
      <c r="H1129" s="6" t="s">
        <v>2560</v>
      </c>
      <c r="I1129" s="6" t="s">
        <v>3837</v>
      </c>
      <c r="J1129" s="8">
        <v>45313</v>
      </c>
      <c r="K1129" s="8">
        <v>45303</v>
      </c>
      <c r="L1129" s="6">
        <v>45300.4</v>
      </c>
      <c r="M1129" s="6">
        <v>17600.900000000001</v>
      </c>
      <c r="N1129" s="6">
        <v>740</v>
      </c>
      <c r="O1129" s="6">
        <v>94000</v>
      </c>
      <c r="P1129" s="6" t="s">
        <v>36</v>
      </c>
      <c r="Q1129" s="6" t="s">
        <v>27</v>
      </c>
      <c r="R1129" s="6">
        <v>0</v>
      </c>
      <c r="S1129" s="6" t="s">
        <v>28</v>
      </c>
      <c r="T1129" s="7">
        <f t="shared" si="85"/>
        <v>0.18724361702127662</v>
      </c>
      <c r="U1129" s="6">
        <f t="shared" si="86"/>
        <v>3</v>
      </c>
      <c r="V1129" s="5" t="str">
        <f t="shared" si="87"/>
        <v>GOOD</v>
      </c>
      <c r="W1129" s="6" t="str">
        <f t="shared" si="88"/>
        <v>55+</v>
      </c>
      <c r="X1129" s="6" t="str">
        <f t="shared" si="89"/>
        <v>Lower-Middle</v>
      </c>
    </row>
    <row r="1130" spans="1:24">
      <c r="A1130" s="6" t="s">
        <v>571</v>
      </c>
      <c r="B1130" s="6" t="s">
        <v>2561</v>
      </c>
      <c r="C1130" s="6" t="s">
        <v>21</v>
      </c>
      <c r="D1130" s="6" t="s">
        <v>63</v>
      </c>
      <c r="E1130" s="6" t="s">
        <v>3514</v>
      </c>
      <c r="F1130" s="6">
        <v>82</v>
      </c>
      <c r="G1130" s="6" t="s">
        <v>34</v>
      </c>
      <c r="H1130" s="6" t="s">
        <v>2562</v>
      </c>
      <c r="I1130" s="6" t="s">
        <v>4232</v>
      </c>
      <c r="J1130" s="8">
        <v>43487</v>
      </c>
      <c r="K1130" s="8">
        <v>45299</v>
      </c>
      <c r="L1130" s="6">
        <v>270400.90000000002</v>
      </c>
      <c r="M1130" s="6">
        <v>98000.6</v>
      </c>
      <c r="N1130" s="6">
        <v>830</v>
      </c>
      <c r="O1130" s="6">
        <v>306000</v>
      </c>
      <c r="P1130" s="6" t="s">
        <v>36</v>
      </c>
      <c r="Q1130" s="6" t="s">
        <v>27</v>
      </c>
      <c r="R1130" s="6">
        <v>0</v>
      </c>
      <c r="S1130" s="6" t="s">
        <v>28</v>
      </c>
      <c r="T1130" s="7">
        <f t="shared" si="85"/>
        <v>0.32026339869281045</v>
      </c>
      <c r="U1130" s="6">
        <f t="shared" si="86"/>
        <v>7</v>
      </c>
      <c r="V1130" s="5" t="str">
        <f t="shared" si="87"/>
        <v>EXCEPTIONAL</v>
      </c>
      <c r="W1130" s="6" t="str">
        <f t="shared" si="88"/>
        <v>55+</v>
      </c>
      <c r="X1130" s="6" t="str">
        <f t="shared" si="89"/>
        <v>High</v>
      </c>
    </row>
    <row r="1131" spans="1:24">
      <c r="A1131" s="6" t="s">
        <v>574</v>
      </c>
      <c r="B1131" s="6" t="s">
        <v>2563</v>
      </c>
      <c r="C1131" s="6" t="s">
        <v>39</v>
      </c>
      <c r="D1131" s="6" t="s">
        <v>68</v>
      </c>
      <c r="E1131" s="6" t="s">
        <v>179</v>
      </c>
      <c r="F1131" s="6">
        <v>74</v>
      </c>
      <c r="G1131" s="6" t="s">
        <v>24</v>
      </c>
      <c r="H1131" s="6" t="s">
        <v>2564</v>
      </c>
      <c r="I1131" s="6" t="s">
        <v>4233</v>
      </c>
      <c r="J1131" s="8">
        <v>44086</v>
      </c>
      <c r="K1131" s="8">
        <v>45300</v>
      </c>
      <c r="L1131" s="6">
        <v>159300.25</v>
      </c>
      <c r="M1131" s="6">
        <v>100000.4</v>
      </c>
      <c r="N1131" s="6">
        <v>655</v>
      </c>
      <c r="O1131" s="6">
        <v>196000</v>
      </c>
      <c r="P1131" s="6" t="s">
        <v>76</v>
      </c>
      <c r="Q1131" s="6" t="s">
        <v>27</v>
      </c>
      <c r="R1131" s="6">
        <v>0</v>
      </c>
      <c r="S1131" s="6" t="s">
        <v>28</v>
      </c>
      <c r="T1131" s="7">
        <f t="shared" si="85"/>
        <v>0.51020612244897956</v>
      </c>
      <c r="U1131" s="6">
        <f t="shared" si="86"/>
        <v>6</v>
      </c>
      <c r="V1131" s="5" t="str">
        <f t="shared" si="87"/>
        <v>FAIR</v>
      </c>
      <c r="W1131" s="6" t="str">
        <f t="shared" si="88"/>
        <v>55+</v>
      </c>
      <c r="X1131" s="6" t="str">
        <f t="shared" si="89"/>
        <v>High</v>
      </c>
    </row>
    <row r="1132" spans="1:24">
      <c r="A1132" s="6" t="s">
        <v>577</v>
      </c>
      <c r="B1132" s="6" t="s">
        <v>2565</v>
      </c>
      <c r="C1132" s="6" t="s">
        <v>46</v>
      </c>
      <c r="D1132" s="6" t="s">
        <v>85</v>
      </c>
      <c r="E1132" s="6" t="s">
        <v>86</v>
      </c>
      <c r="F1132" s="6">
        <v>63</v>
      </c>
      <c r="G1132" s="6" t="s">
        <v>34</v>
      </c>
      <c r="H1132" s="6" t="s">
        <v>2566</v>
      </c>
      <c r="I1132" s="6" t="s">
        <v>3968</v>
      </c>
      <c r="J1132" s="8">
        <v>44979</v>
      </c>
      <c r="K1132" s="8">
        <v>45302</v>
      </c>
      <c r="L1132" s="6">
        <v>109800.6</v>
      </c>
      <c r="M1132" s="6">
        <v>61100.75</v>
      </c>
      <c r="N1132" s="6">
        <v>760</v>
      </c>
      <c r="O1132" s="6">
        <v>165000</v>
      </c>
      <c r="P1132" s="6" t="s">
        <v>26</v>
      </c>
      <c r="Q1132" s="6" t="s">
        <v>27</v>
      </c>
      <c r="R1132" s="6">
        <v>0</v>
      </c>
      <c r="S1132" s="6" t="s">
        <v>28</v>
      </c>
      <c r="T1132" s="7">
        <f t="shared" si="85"/>
        <v>0.37030757575757578</v>
      </c>
      <c r="U1132" s="6">
        <f t="shared" si="86"/>
        <v>4</v>
      </c>
      <c r="V1132" s="5" t="str">
        <f t="shared" si="87"/>
        <v>VERY GOOD</v>
      </c>
      <c r="W1132" s="6" t="str">
        <f t="shared" si="88"/>
        <v>55+</v>
      </c>
      <c r="X1132" s="6" t="str">
        <f t="shared" si="89"/>
        <v>Upper-Middle</v>
      </c>
    </row>
    <row r="1133" spans="1:24">
      <c r="A1133" s="6" t="s">
        <v>458</v>
      </c>
      <c r="B1133" s="6" t="s">
        <v>2567</v>
      </c>
      <c r="C1133" s="6" t="s">
        <v>31</v>
      </c>
      <c r="D1133" s="6" t="s">
        <v>460</v>
      </c>
      <c r="E1133" s="6" t="s">
        <v>663</v>
      </c>
      <c r="F1133" s="6">
        <v>54</v>
      </c>
      <c r="G1133" s="6" t="s">
        <v>24</v>
      </c>
      <c r="H1133" s="6" t="s">
        <v>2568</v>
      </c>
      <c r="I1133" s="6" t="s">
        <v>4234</v>
      </c>
      <c r="J1133" s="8">
        <v>45543</v>
      </c>
      <c r="K1133" s="8">
        <v>45306</v>
      </c>
      <c r="L1133" s="6">
        <v>21400.25</v>
      </c>
      <c r="M1133" s="6">
        <v>12700.8</v>
      </c>
      <c r="N1133" s="6">
        <v>695</v>
      </c>
      <c r="O1133" s="6">
        <v>65000</v>
      </c>
      <c r="P1133" s="6" t="s">
        <v>26</v>
      </c>
      <c r="Q1133" s="6" t="s">
        <v>43</v>
      </c>
      <c r="R1133" s="6">
        <v>0</v>
      </c>
      <c r="S1133" s="6" t="s">
        <v>28</v>
      </c>
      <c r="T1133" s="7">
        <f t="shared" si="85"/>
        <v>0.19539692307692308</v>
      </c>
      <c r="U1133" s="6">
        <f t="shared" si="86"/>
        <v>0</v>
      </c>
      <c r="V1133" s="5" t="str">
        <f t="shared" si="87"/>
        <v>GOOD</v>
      </c>
      <c r="W1133" s="6" t="str">
        <f t="shared" si="88"/>
        <v>45-54</v>
      </c>
      <c r="X1133" s="6" t="str">
        <f t="shared" si="89"/>
        <v>Low</v>
      </c>
    </row>
    <row r="1134" spans="1:24">
      <c r="A1134" s="6" t="s">
        <v>582</v>
      </c>
      <c r="B1134" s="6" t="s">
        <v>2569</v>
      </c>
      <c r="C1134" s="6" t="s">
        <v>57</v>
      </c>
      <c r="D1134" s="6" t="s">
        <v>22</v>
      </c>
      <c r="E1134" s="6" t="s">
        <v>23</v>
      </c>
      <c r="F1134" s="6">
        <v>57</v>
      </c>
      <c r="G1134" s="6" t="s">
        <v>34</v>
      </c>
      <c r="H1134" s="6" t="s">
        <v>2570</v>
      </c>
      <c r="I1134" s="6" t="s">
        <v>3949</v>
      </c>
      <c r="J1134" s="8">
        <v>45252</v>
      </c>
      <c r="K1134" s="8">
        <v>45303</v>
      </c>
      <c r="L1134" s="6">
        <v>44200.9</v>
      </c>
      <c r="M1134" s="6">
        <v>17200.25</v>
      </c>
      <c r="N1134" s="6">
        <v>755</v>
      </c>
      <c r="O1134" s="6">
        <v>87000</v>
      </c>
      <c r="P1134" s="6" t="s">
        <v>36</v>
      </c>
      <c r="Q1134" s="6" t="s">
        <v>27</v>
      </c>
      <c r="R1134" s="6">
        <v>0</v>
      </c>
      <c r="S1134" s="6" t="s">
        <v>28</v>
      </c>
      <c r="T1134" s="7">
        <f t="shared" si="85"/>
        <v>0.19770402298850576</v>
      </c>
      <c r="U1134" s="6">
        <f t="shared" si="86"/>
        <v>3</v>
      </c>
      <c r="V1134" s="5" t="str">
        <f t="shared" si="87"/>
        <v>VERY GOOD</v>
      </c>
      <c r="W1134" s="6" t="str">
        <f t="shared" si="88"/>
        <v>55+</v>
      </c>
      <c r="X1134" s="6" t="str">
        <f t="shared" si="89"/>
        <v>Lower-Middle</v>
      </c>
    </row>
    <row r="1135" spans="1:24">
      <c r="A1135" s="6" t="s">
        <v>55</v>
      </c>
      <c r="B1135" s="6" t="s">
        <v>2571</v>
      </c>
      <c r="C1135" s="6" t="s">
        <v>39</v>
      </c>
      <c r="D1135" s="6" t="s">
        <v>58</v>
      </c>
      <c r="E1135" s="6" t="s">
        <v>122</v>
      </c>
      <c r="F1135" s="6">
        <v>75</v>
      </c>
      <c r="G1135" s="6" t="s">
        <v>24</v>
      </c>
      <c r="H1135" s="6" t="s">
        <v>2572</v>
      </c>
      <c r="I1135" s="6" t="s">
        <v>3843</v>
      </c>
      <c r="J1135" s="8">
        <v>44004</v>
      </c>
      <c r="K1135" s="8">
        <v>45300</v>
      </c>
      <c r="L1135" s="6">
        <v>192200.4</v>
      </c>
      <c r="M1135" s="6">
        <v>113000.75</v>
      </c>
      <c r="N1135" s="6">
        <v>685</v>
      </c>
      <c r="O1135" s="6">
        <v>221000</v>
      </c>
      <c r="P1135" s="6" t="s">
        <v>76</v>
      </c>
      <c r="Q1135" s="6" t="s">
        <v>27</v>
      </c>
      <c r="R1135" s="6">
        <v>0</v>
      </c>
      <c r="S1135" s="6" t="s">
        <v>28</v>
      </c>
      <c r="T1135" s="7">
        <f t="shared" si="85"/>
        <v>0.51131561085972854</v>
      </c>
      <c r="U1135" s="6">
        <f t="shared" si="86"/>
        <v>6</v>
      </c>
      <c r="V1135" s="5" t="str">
        <f t="shared" si="87"/>
        <v>GOOD</v>
      </c>
      <c r="W1135" s="6" t="str">
        <f t="shared" si="88"/>
        <v>55+</v>
      </c>
      <c r="X1135" s="6" t="str">
        <f t="shared" si="89"/>
        <v>High</v>
      </c>
    </row>
    <row r="1136" spans="1:24">
      <c r="A1136" s="6" t="s">
        <v>469</v>
      </c>
      <c r="B1136" s="6" t="s">
        <v>2573</v>
      </c>
      <c r="C1136" s="6" t="s">
        <v>52</v>
      </c>
      <c r="D1136" s="6" t="s">
        <v>471</v>
      </c>
      <c r="E1136" s="6" t="s">
        <v>472</v>
      </c>
      <c r="F1136" s="6">
        <v>66</v>
      </c>
      <c r="G1136" s="6" t="s">
        <v>34</v>
      </c>
      <c r="H1136" s="6" t="s">
        <v>2574</v>
      </c>
      <c r="I1136" s="6" t="s">
        <v>4235</v>
      </c>
      <c r="J1136" s="8">
        <v>44642</v>
      </c>
      <c r="K1136" s="8">
        <v>45301</v>
      </c>
      <c r="L1136" s="6">
        <v>74200.800000000003</v>
      </c>
      <c r="M1136" s="6">
        <v>47300.6</v>
      </c>
      <c r="N1136" s="6">
        <v>715</v>
      </c>
      <c r="O1136" s="6">
        <v>120000</v>
      </c>
      <c r="P1136" s="6" t="s">
        <v>26</v>
      </c>
      <c r="Q1136" s="6" t="s">
        <v>27</v>
      </c>
      <c r="R1136" s="6">
        <v>0</v>
      </c>
      <c r="S1136" s="6" t="s">
        <v>28</v>
      </c>
      <c r="T1136" s="7">
        <f t="shared" si="85"/>
        <v>0.39417166666666664</v>
      </c>
      <c r="U1136" s="6">
        <f t="shared" si="86"/>
        <v>5</v>
      </c>
      <c r="V1136" s="5" t="str">
        <f t="shared" si="87"/>
        <v>GOOD</v>
      </c>
      <c r="W1136" s="6" t="str">
        <f t="shared" si="88"/>
        <v>55+</v>
      </c>
      <c r="X1136" s="6" t="str">
        <f t="shared" si="89"/>
        <v>Lower-Middle</v>
      </c>
    </row>
    <row r="1137" spans="1:24">
      <c r="A1137" s="6" t="s">
        <v>474</v>
      </c>
      <c r="B1137" s="6" t="s">
        <v>2575</v>
      </c>
      <c r="C1137" s="6" t="s">
        <v>46</v>
      </c>
      <c r="D1137" s="6" t="s">
        <v>345</v>
      </c>
      <c r="E1137" s="6" t="s">
        <v>476</v>
      </c>
      <c r="F1137" s="6">
        <v>69</v>
      </c>
      <c r="G1137" s="6" t="s">
        <v>24</v>
      </c>
      <c r="H1137" s="6" t="s">
        <v>2576</v>
      </c>
      <c r="I1137" s="6" t="s">
        <v>3845</v>
      </c>
      <c r="J1137" s="8">
        <v>44552</v>
      </c>
      <c r="K1137" s="8">
        <v>45302</v>
      </c>
      <c r="L1137" s="6">
        <v>102000.25</v>
      </c>
      <c r="M1137" s="6">
        <v>57300.4</v>
      </c>
      <c r="N1137" s="6">
        <v>680</v>
      </c>
      <c r="O1137" s="6">
        <v>149000</v>
      </c>
      <c r="P1137" s="6" t="s">
        <v>26</v>
      </c>
      <c r="Q1137" s="6" t="s">
        <v>27</v>
      </c>
      <c r="R1137" s="6">
        <v>0</v>
      </c>
      <c r="S1137" s="6" t="s">
        <v>28</v>
      </c>
      <c r="T1137" s="7">
        <f t="shared" si="85"/>
        <v>0.38456644295302017</v>
      </c>
      <c r="U1137" s="6">
        <f t="shared" si="86"/>
        <v>4</v>
      </c>
      <c r="V1137" s="5" t="str">
        <f t="shared" si="87"/>
        <v>GOOD</v>
      </c>
      <c r="W1137" s="6" t="str">
        <f t="shared" si="88"/>
        <v>55+</v>
      </c>
      <c r="X1137" s="6" t="str">
        <f t="shared" si="89"/>
        <v>Upper-Middle</v>
      </c>
    </row>
    <row r="1138" spans="1:24">
      <c r="A1138" s="6" t="s">
        <v>592</v>
      </c>
      <c r="B1138" s="6" t="s">
        <v>2577</v>
      </c>
      <c r="C1138" s="6" t="s">
        <v>84</v>
      </c>
      <c r="D1138" s="6" t="s">
        <v>32</v>
      </c>
      <c r="E1138" s="6" t="s">
        <v>90</v>
      </c>
      <c r="F1138" s="6">
        <v>49</v>
      </c>
      <c r="G1138" s="6" t="s">
        <v>34</v>
      </c>
      <c r="H1138" s="6" t="s">
        <v>2578</v>
      </c>
      <c r="I1138" s="6" t="s">
        <v>3634</v>
      </c>
      <c r="J1138" s="8">
        <v>45557</v>
      </c>
      <c r="K1138" s="8">
        <v>45304</v>
      </c>
      <c r="L1138" s="6">
        <v>4550.3999999999996</v>
      </c>
      <c r="M1138" s="6">
        <v>14400.75</v>
      </c>
      <c r="N1138" s="6">
        <v>610</v>
      </c>
      <c r="O1138" s="6">
        <v>45000</v>
      </c>
      <c r="P1138" s="6" t="s">
        <v>76</v>
      </c>
      <c r="Q1138" s="6" t="s">
        <v>43</v>
      </c>
      <c r="R1138" s="6">
        <v>0</v>
      </c>
      <c r="S1138" s="6" t="s">
        <v>28</v>
      </c>
      <c r="T1138" s="7">
        <f t="shared" si="85"/>
        <v>0.32001666666666667</v>
      </c>
      <c r="U1138" s="6">
        <f t="shared" si="86"/>
        <v>2</v>
      </c>
      <c r="V1138" s="5" t="str">
        <f t="shared" si="87"/>
        <v>FAIR</v>
      </c>
      <c r="W1138" s="6" t="str">
        <f t="shared" si="88"/>
        <v>45-54</v>
      </c>
      <c r="X1138" s="6" t="str">
        <f t="shared" si="89"/>
        <v>Low</v>
      </c>
    </row>
    <row r="1139" spans="1:24">
      <c r="A1139" s="6" t="s">
        <v>595</v>
      </c>
      <c r="B1139" s="6" t="s">
        <v>2579</v>
      </c>
      <c r="C1139" s="6" t="s">
        <v>21</v>
      </c>
      <c r="D1139" s="6" t="s">
        <v>209</v>
      </c>
      <c r="E1139" s="6" t="s">
        <v>210</v>
      </c>
      <c r="F1139" s="6">
        <v>81</v>
      </c>
      <c r="G1139" s="6" t="s">
        <v>24</v>
      </c>
      <c r="H1139" s="6" t="s">
        <v>2580</v>
      </c>
      <c r="I1139" s="6" t="s">
        <v>4065</v>
      </c>
      <c r="J1139" s="8">
        <v>43699</v>
      </c>
      <c r="K1139" s="8">
        <v>45299</v>
      </c>
      <c r="L1139" s="6">
        <v>290200.8</v>
      </c>
      <c r="M1139" s="6">
        <v>104000.25</v>
      </c>
      <c r="N1139" s="6">
        <v>825</v>
      </c>
      <c r="O1139" s="6">
        <v>301000</v>
      </c>
      <c r="P1139" s="6" t="s">
        <v>36</v>
      </c>
      <c r="Q1139" s="6" t="s">
        <v>27</v>
      </c>
      <c r="R1139" s="6">
        <v>0</v>
      </c>
      <c r="S1139" s="6" t="s">
        <v>28</v>
      </c>
      <c r="T1139" s="7">
        <f t="shared" si="85"/>
        <v>0.345515780730897</v>
      </c>
      <c r="U1139" s="6">
        <f t="shared" si="86"/>
        <v>7</v>
      </c>
      <c r="V1139" s="5" t="str">
        <f t="shared" si="87"/>
        <v>EXCEPTIONAL</v>
      </c>
      <c r="W1139" s="6" t="str">
        <f t="shared" si="88"/>
        <v>55+</v>
      </c>
      <c r="X1139" s="6" t="str">
        <f t="shared" si="89"/>
        <v>High</v>
      </c>
    </row>
    <row r="1140" spans="1:24">
      <c r="A1140" s="6" t="s">
        <v>226</v>
      </c>
      <c r="B1140" s="6" t="s">
        <v>2581</v>
      </c>
      <c r="C1140" s="6" t="s">
        <v>57</v>
      </c>
      <c r="D1140" s="6" t="s">
        <v>228</v>
      </c>
      <c r="E1140" s="6" t="s">
        <v>229</v>
      </c>
      <c r="F1140" s="6">
        <v>56</v>
      </c>
      <c r="G1140" s="6" t="s">
        <v>34</v>
      </c>
      <c r="H1140" s="6" t="s">
        <v>2582</v>
      </c>
      <c r="I1140" s="6" t="s">
        <v>4236</v>
      </c>
      <c r="J1140" s="8">
        <v>45434</v>
      </c>
      <c r="K1140" s="8">
        <v>45305</v>
      </c>
      <c r="L1140" s="6">
        <v>40900.75</v>
      </c>
      <c r="M1140" s="6">
        <v>15600.4</v>
      </c>
      <c r="N1140" s="6">
        <v>725</v>
      </c>
      <c r="O1140" s="6">
        <v>77000</v>
      </c>
      <c r="P1140" s="6" t="s">
        <v>36</v>
      </c>
      <c r="Q1140" s="6" t="s">
        <v>27</v>
      </c>
      <c r="R1140" s="6">
        <v>0</v>
      </c>
      <c r="S1140" s="6" t="s">
        <v>28</v>
      </c>
      <c r="T1140" s="7">
        <f t="shared" si="85"/>
        <v>0.2026025974025974</v>
      </c>
      <c r="U1140" s="6">
        <f t="shared" si="86"/>
        <v>1</v>
      </c>
      <c r="V1140" s="5" t="str">
        <f t="shared" si="87"/>
        <v>GOOD</v>
      </c>
      <c r="W1140" s="6" t="str">
        <f t="shared" si="88"/>
        <v>55+</v>
      </c>
      <c r="X1140" s="6" t="str">
        <f t="shared" si="89"/>
        <v>Lower-Middle</v>
      </c>
    </row>
    <row r="1141" spans="1:24">
      <c r="A1141" s="6" t="s">
        <v>488</v>
      </c>
      <c r="B1141" s="6" t="s">
        <v>2583</v>
      </c>
      <c r="C1141" s="6" t="s">
        <v>39</v>
      </c>
      <c r="D1141" s="6" t="s">
        <v>304</v>
      </c>
      <c r="E1141" s="6" t="s">
        <v>304</v>
      </c>
      <c r="F1141" s="6">
        <v>73</v>
      </c>
      <c r="G1141" s="6" t="s">
        <v>24</v>
      </c>
      <c r="H1141" s="6" t="s">
        <v>2584</v>
      </c>
      <c r="I1141" s="6" t="s">
        <v>4237</v>
      </c>
      <c r="J1141" s="8">
        <v>44177</v>
      </c>
      <c r="K1141" s="8">
        <v>45300</v>
      </c>
      <c r="L1141" s="6">
        <v>170400.6</v>
      </c>
      <c r="M1141" s="6">
        <v>104000.9</v>
      </c>
      <c r="N1141" s="6">
        <v>675</v>
      </c>
      <c r="O1141" s="6">
        <v>201000</v>
      </c>
      <c r="P1141" s="6" t="s">
        <v>76</v>
      </c>
      <c r="Q1141" s="6" t="s">
        <v>27</v>
      </c>
      <c r="R1141" s="6">
        <v>0</v>
      </c>
      <c r="S1141" s="6" t="s">
        <v>28</v>
      </c>
      <c r="T1141" s="7">
        <f t="shared" si="85"/>
        <v>0.5174174129353234</v>
      </c>
      <c r="U1141" s="6">
        <f t="shared" si="86"/>
        <v>6</v>
      </c>
      <c r="V1141" s="5" t="str">
        <f t="shared" si="87"/>
        <v>GOOD</v>
      </c>
      <c r="W1141" s="6" t="str">
        <f t="shared" si="88"/>
        <v>55+</v>
      </c>
      <c r="X1141" s="6" t="str">
        <f t="shared" si="89"/>
        <v>High</v>
      </c>
    </row>
    <row r="1142" spans="1:24">
      <c r="A1142" s="6" t="s">
        <v>491</v>
      </c>
      <c r="B1142" s="6" t="s">
        <v>2585</v>
      </c>
      <c r="C1142" s="6" t="s">
        <v>52</v>
      </c>
      <c r="D1142" s="6" t="s">
        <v>493</v>
      </c>
      <c r="E1142" s="6" t="s">
        <v>494</v>
      </c>
      <c r="F1142" s="6">
        <v>64</v>
      </c>
      <c r="G1142" s="6" t="s">
        <v>34</v>
      </c>
      <c r="H1142" s="6" t="s">
        <v>2586</v>
      </c>
      <c r="I1142" s="6" t="s">
        <v>4238</v>
      </c>
      <c r="J1142" s="8">
        <v>44948</v>
      </c>
      <c r="K1142" s="8">
        <v>45302</v>
      </c>
      <c r="L1142" s="6">
        <v>68400.399999999994</v>
      </c>
      <c r="M1142" s="6">
        <v>43100.25</v>
      </c>
      <c r="N1142" s="6">
        <v>705</v>
      </c>
      <c r="O1142" s="6">
        <v>109000</v>
      </c>
      <c r="P1142" s="6" t="s">
        <v>26</v>
      </c>
      <c r="Q1142" s="6" t="s">
        <v>27</v>
      </c>
      <c r="R1142" s="6">
        <v>0</v>
      </c>
      <c r="S1142" s="6" t="s">
        <v>28</v>
      </c>
      <c r="T1142" s="7">
        <f t="shared" si="85"/>
        <v>0.39541513761467889</v>
      </c>
      <c r="U1142" s="6">
        <f t="shared" si="86"/>
        <v>4</v>
      </c>
      <c r="V1142" s="5" t="str">
        <f t="shared" si="87"/>
        <v>GOOD</v>
      </c>
      <c r="W1142" s="6" t="str">
        <f t="shared" si="88"/>
        <v>55+</v>
      </c>
      <c r="X1142" s="6" t="str">
        <f t="shared" si="89"/>
        <v>Lower-Middle</v>
      </c>
    </row>
    <row r="1143" spans="1:24">
      <c r="A1143" s="6" t="s">
        <v>496</v>
      </c>
      <c r="B1143" s="6" t="s">
        <v>2587</v>
      </c>
      <c r="C1143" s="6" t="s">
        <v>46</v>
      </c>
      <c r="D1143" s="6" t="s">
        <v>321</v>
      </c>
      <c r="E1143" s="6" t="s">
        <v>322</v>
      </c>
      <c r="F1143" s="6">
        <v>67</v>
      </c>
      <c r="G1143" s="6" t="s">
        <v>24</v>
      </c>
      <c r="H1143" s="6" t="s">
        <v>2588</v>
      </c>
      <c r="I1143" s="6" t="s">
        <v>4239</v>
      </c>
      <c r="J1143" s="8">
        <v>44430</v>
      </c>
      <c r="K1143" s="8">
        <v>45301</v>
      </c>
      <c r="L1143" s="6">
        <v>114100.75</v>
      </c>
      <c r="M1143" s="6">
        <v>64200.800000000003</v>
      </c>
      <c r="N1143" s="6">
        <v>730</v>
      </c>
      <c r="O1143" s="6">
        <v>175000</v>
      </c>
      <c r="P1143" s="6" t="s">
        <v>26</v>
      </c>
      <c r="Q1143" s="6" t="s">
        <v>27</v>
      </c>
      <c r="R1143" s="6">
        <v>0</v>
      </c>
      <c r="S1143" s="6" t="s">
        <v>28</v>
      </c>
      <c r="T1143" s="7">
        <f t="shared" si="85"/>
        <v>0.36686171428571429</v>
      </c>
      <c r="U1143" s="6">
        <f t="shared" si="86"/>
        <v>5</v>
      </c>
      <c r="V1143" s="5" t="str">
        <f t="shared" si="87"/>
        <v>GOOD</v>
      </c>
      <c r="W1143" s="6" t="str">
        <f t="shared" si="88"/>
        <v>55+</v>
      </c>
      <c r="X1143" s="6" t="str">
        <f t="shared" si="89"/>
        <v>Upper-Middle</v>
      </c>
    </row>
    <row r="1144" spans="1:24">
      <c r="A1144" s="6" t="s">
        <v>324</v>
      </c>
      <c r="B1144" s="6" t="s">
        <v>2589</v>
      </c>
      <c r="C1144" s="6" t="s">
        <v>31</v>
      </c>
      <c r="D1144" s="6" t="s">
        <v>313</v>
      </c>
      <c r="E1144" s="6" t="s">
        <v>501</v>
      </c>
      <c r="F1144" s="6">
        <v>52</v>
      </c>
      <c r="G1144" s="6" t="s">
        <v>34</v>
      </c>
      <c r="H1144" s="6" t="s">
        <v>2590</v>
      </c>
      <c r="I1144" s="6" t="s">
        <v>4240</v>
      </c>
      <c r="J1144" s="8">
        <v>45550</v>
      </c>
      <c r="K1144" s="8">
        <v>45306</v>
      </c>
      <c r="L1144" s="6">
        <v>18200.900000000001</v>
      </c>
      <c r="M1144" s="6">
        <v>10500.75</v>
      </c>
      <c r="N1144" s="6">
        <v>685</v>
      </c>
      <c r="O1144" s="6">
        <v>62000</v>
      </c>
      <c r="P1144" s="6" t="s">
        <v>26</v>
      </c>
      <c r="Q1144" s="6" t="s">
        <v>43</v>
      </c>
      <c r="R1144" s="6">
        <v>0</v>
      </c>
      <c r="S1144" s="6" t="s">
        <v>28</v>
      </c>
      <c r="T1144" s="7">
        <f t="shared" si="85"/>
        <v>0.16936693548387097</v>
      </c>
      <c r="U1144" s="6">
        <f t="shared" si="86"/>
        <v>0</v>
      </c>
      <c r="V1144" s="5" t="str">
        <f t="shared" si="87"/>
        <v>GOOD</v>
      </c>
      <c r="W1144" s="6" t="str">
        <f t="shared" si="88"/>
        <v>45-54</v>
      </c>
      <c r="X1144" s="6" t="str">
        <f t="shared" si="89"/>
        <v>Low</v>
      </c>
    </row>
    <row r="1145" spans="1:24">
      <c r="A1145" s="6" t="s">
        <v>503</v>
      </c>
      <c r="B1145" s="6" t="s">
        <v>2591</v>
      </c>
      <c r="C1145" s="6" t="s">
        <v>21</v>
      </c>
      <c r="D1145" s="6" t="s">
        <v>32</v>
      </c>
      <c r="E1145" s="6" t="s">
        <v>33</v>
      </c>
      <c r="F1145" s="6">
        <v>84</v>
      </c>
      <c r="G1145" s="6" t="s">
        <v>24</v>
      </c>
      <c r="H1145" s="6" t="s">
        <v>2592</v>
      </c>
      <c r="I1145" s="6" t="s">
        <v>3852</v>
      </c>
      <c r="J1145" s="8">
        <v>43426</v>
      </c>
      <c r="K1145" s="8">
        <v>45299</v>
      </c>
      <c r="L1145" s="6">
        <v>301100.25</v>
      </c>
      <c r="M1145" s="6">
        <v>108000.4</v>
      </c>
      <c r="N1145" s="6">
        <v>840</v>
      </c>
      <c r="O1145" s="6">
        <v>316000</v>
      </c>
      <c r="P1145" s="6" t="s">
        <v>36</v>
      </c>
      <c r="Q1145" s="6" t="s">
        <v>27</v>
      </c>
      <c r="R1145" s="6">
        <v>0</v>
      </c>
      <c r="S1145" s="6" t="s">
        <v>28</v>
      </c>
      <c r="T1145" s="7">
        <f t="shared" si="85"/>
        <v>0.34177341772151898</v>
      </c>
      <c r="U1145" s="6">
        <f t="shared" si="86"/>
        <v>7</v>
      </c>
      <c r="V1145" s="5" t="str">
        <f t="shared" si="87"/>
        <v>EXCEPTIONAL</v>
      </c>
      <c r="W1145" s="6" t="str">
        <f t="shared" si="88"/>
        <v>55+</v>
      </c>
      <c r="X1145" s="6" t="str">
        <f t="shared" si="89"/>
        <v>High</v>
      </c>
    </row>
    <row r="1146" spans="1:24">
      <c r="A1146" s="6" t="s">
        <v>506</v>
      </c>
      <c r="B1146" s="6" t="s">
        <v>2593</v>
      </c>
      <c r="C1146" s="6" t="s">
        <v>39</v>
      </c>
      <c r="D1146" s="6" t="s">
        <v>68</v>
      </c>
      <c r="E1146" s="6" t="s">
        <v>69</v>
      </c>
      <c r="F1146" s="6">
        <v>76</v>
      </c>
      <c r="G1146" s="6" t="s">
        <v>34</v>
      </c>
      <c r="H1146" s="6" t="s">
        <v>2594</v>
      </c>
      <c r="I1146" s="6" t="s">
        <v>4217</v>
      </c>
      <c r="J1146" s="8">
        <v>43943</v>
      </c>
      <c r="K1146" s="8">
        <v>45300</v>
      </c>
      <c r="L1146" s="6">
        <v>181500.4</v>
      </c>
      <c r="M1146" s="6">
        <v>108000.75</v>
      </c>
      <c r="N1146" s="6">
        <v>650</v>
      </c>
      <c r="O1146" s="6">
        <v>211000</v>
      </c>
      <c r="P1146" s="6" t="s">
        <v>76</v>
      </c>
      <c r="Q1146" s="6" t="s">
        <v>27</v>
      </c>
      <c r="R1146" s="6">
        <v>0</v>
      </c>
      <c r="S1146" s="6" t="s">
        <v>28</v>
      </c>
      <c r="T1146" s="7">
        <f t="shared" si="85"/>
        <v>0.51185189573459711</v>
      </c>
      <c r="U1146" s="6">
        <f t="shared" si="86"/>
        <v>6</v>
      </c>
      <c r="V1146" s="5" t="str">
        <f t="shared" si="87"/>
        <v>FAIR</v>
      </c>
      <c r="W1146" s="6" t="str">
        <f t="shared" si="88"/>
        <v>55+</v>
      </c>
      <c r="X1146" s="6" t="str">
        <f t="shared" si="89"/>
        <v>High</v>
      </c>
    </row>
    <row r="1147" spans="1:24">
      <c r="A1147" s="6" t="s">
        <v>509</v>
      </c>
      <c r="B1147" s="6" t="s">
        <v>2595</v>
      </c>
      <c r="C1147" s="6" t="s">
        <v>46</v>
      </c>
      <c r="D1147" s="6" t="s">
        <v>73</v>
      </c>
      <c r="E1147" s="6" t="s">
        <v>158</v>
      </c>
      <c r="F1147" s="6">
        <v>63</v>
      </c>
      <c r="G1147" s="6" t="s">
        <v>24</v>
      </c>
      <c r="H1147" s="6" t="s">
        <v>2596</v>
      </c>
      <c r="I1147" s="6" t="s">
        <v>4241</v>
      </c>
      <c r="J1147" s="8">
        <v>45160</v>
      </c>
      <c r="K1147" s="8">
        <v>45303</v>
      </c>
      <c r="L1147" s="6">
        <v>102900.4</v>
      </c>
      <c r="M1147" s="6">
        <v>58400.25</v>
      </c>
      <c r="N1147" s="6">
        <v>745</v>
      </c>
      <c r="O1147" s="6">
        <v>155000</v>
      </c>
      <c r="P1147" s="6" t="s">
        <v>26</v>
      </c>
      <c r="Q1147" s="6" t="s">
        <v>27</v>
      </c>
      <c r="R1147" s="6">
        <v>0</v>
      </c>
      <c r="S1147" s="6" t="s">
        <v>28</v>
      </c>
      <c r="T1147" s="7">
        <f t="shared" si="85"/>
        <v>0.3767758064516129</v>
      </c>
      <c r="U1147" s="6">
        <f t="shared" si="86"/>
        <v>3</v>
      </c>
      <c r="V1147" s="5" t="str">
        <f t="shared" si="87"/>
        <v>GOOD</v>
      </c>
      <c r="W1147" s="6" t="str">
        <f t="shared" si="88"/>
        <v>55+</v>
      </c>
      <c r="X1147" s="6" t="str">
        <f t="shared" si="89"/>
        <v>Upper-Middle</v>
      </c>
    </row>
    <row r="1148" spans="1:24">
      <c r="A1148" s="6" t="s">
        <v>513</v>
      </c>
      <c r="B1148" s="6" t="s">
        <v>2597</v>
      </c>
      <c r="C1148" s="6" t="s">
        <v>57</v>
      </c>
      <c r="D1148" s="6" t="s">
        <v>58</v>
      </c>
      <c r="E1148" s="6" t="s">
        <v>59</v>
      </c>
      <c r="F1148" s="6">
        <v>58</v>
      </c>
      <c r="G1148" s="6" t="s">
        <v>34</v>
      </c>
      <c r="H1148" s="6" t="s">
        <v>2598</v>
      </c>
      <c r="I1148" s="6" t="s">
        <v>3854</v>
      </c>
      <c r="J1148" s="8">
        <v>45344</v>
      </c>
      <c r="K1148" s="8">
        <v>45302</v>
      </c>
      <c r="L1148" s="6">
        <v>43100.800000000003</v>
      </c>
      <c r="M1148" s="6">
        <v>16800.900000000001</v>
      </c>
      <c r="N1148" s="6">
        <v>765</v>
      </c>
      <c r="O1148" s="6">
        <v>87000</v>
      </c>
      <c r="P1148" s="6" t="s">
        <v>36</v>
      </c>
      <c r="Q1148" s="6" t="s">
        <v>27</v>
      </c>
      <c r="R1148" s="6">
        <v>0</v>
      </c>
      <c r="S1148" s="6" t="s">
        <v>28</v>
      </c>
      <c r="T1148" s="7">
        <f t="shared" si="85"/>
        <v>0.19311379310344828</v>
      </c>
      <c r="U1148" s="6">
        <f t="shared" si="86"/>
        <v>4</v>
      </c>
      <c r="V1148" s="5" t="str">
        <f t="shared" si="87"/>
        <v>VERY GOOD</v>
      </c>
      <c r="W1148" s="6" t="str">
        <f t="shared" si="88"/>
        <v>55+</v>
      </c>
      <c r="X1148" s="6" t="str">
        <f t="shared" si="89"/>
        <v>Lower-Middle</v>
      </c>
    </row>
    <row r="1149" spans="1:24">
      <c r="A1149" s="6" t="s">
        <v>516</v>
      </c>
      <c r="B1149" s="6" t="s">
        <v>2599</v>
      </c>
      <c r="C1149" s="6" t="s">
        <v>52</v>
      </c>
      <c r="D1149" s="6" t="s">
        <v>277</v>
      </c>
      <c r="E1149" s="6" t="s">
        <v>404</v>
      </c>
      <c r="F1149" s="6">
        <v>71</v>
      </c>
      <c r="G1149" s="6" t="s">
        <v>24</v>
      </c>
      <c r="H1149" s="6" t="s">
        <v>2600</v>
      </c>
      <c r="I1149" s="6" t="s">
        <v>3884</v>
      </c>
      <c r="J1149" s="8">
        <v>44614</v>
      </c>
      <c r="K1149" s="8">
        <v>45301</v>
      </c>
      <c r="L1149" s="6">
        <v>76400.75</v>
      </c>
      <c r="M1149" s="6">
        <v>49500.4</v>
      </c>
      <c r="N1149" s="6">
        <v>675</v>
      </c>
      <c r="O1149" s="6">
        <v>127000</v>
      </c>
      <c r="P1149" s="6" t="s">
        <v>26</v>
      </c>
      <c r="Q1149" s="6" t="s">
        <v>27</v>
      </c>
      <c r="R1149" s="6">
        <v>0</v>
      </c>
      <c r="S1149" s="6" t="s">
        <v>28</v>
      </c>
      <c r="T1149" s="7">
        <f t="shared" si="85"/>
        <v>0.3897669291338583</v>
      </c>
      <c r="U1149" s="6">
        <f t="shared" si="86"/>
        <v>5</v>
      </c>
      <c r="V1149" s="5" t="str">
        <f t="shared" si="87"/>
        <v>GOOD</v>
      </c>
      <c r="W1149" s="6" t="str">
        <f t="shared" si="88"/>
        <v>55+</v>
      </c>
      <c r="X1149" s="6" t="str">
        <f t="shared" si="89"/>
        <v>Upper-Middle</v>
      </c>
    </row>
    <row r="1150" spans="1:24">
      <c r="A1150" s="6" t="s">
        <v>519</v>
      </c>
      <c r="B1150" s="6" t="s">
        <v>2601</v>
      </c>
      <c r="C1150" s="6" t="s">
        <v>84</v>
      </c>
      <c r="D1150" s="6" t="s">
        <v>183</v>
      </c>
      <c r="E1150" s="6" t="s">
        <v>184</v>
      </c>
      <c r="F1150" s="6">
        <v>50</v>
      </c>
      <c r="G1150" s="6" t="s">
        <v>34</v>
      </c>
      <c r="H1150" s="6" t="s">
        <v>2602</v>
      </c>
      <c r="I1150" s="6" t="s">
        <v>3856</v>
      </c>
      <c r="J1150" s="8">
        <v>45563</v>
      </c>
      <c r="K1150" s="8">
        <v>45304</v>
      </c>
      <c r="L1150" s="6">
        <v>4800.25</v>
      </c>
      <c r="M1150" s="6">
        <v>15600.6</v>
      </c>
      <c r="N1150" s="6">
        <v>615</v>
      </c>
      <c r="O1150" s="6">
        <v>47000</v>
      </c>
      <c r="P1150" s="6" t="s">
        <v>76</v>
      </c>
      <c r="Q1150" s="6" t="s">
        <v>43</v>
      </c>
      <c r="R1150" s="6">
        <v>0</v>
      </c>
      <c r="S1150" s="6" t="s">
        <v>28</v>
      </c>
      <c r="T1150" s="7">
        <f t="shared" si="85"/>
        <v>0.33192765957446807</v>
      </c>
      <c r="U1150" s="6">
        <f t="shared" si="86"/>
        <v>2</v>
      </c>
      <c r="V1150" s="5" t="str">
        <f t="shared" si="87"/>
        <v>FAIR</v>
      </c>
      <c r="W1150" s="6" t="str">
        <f t="shared" si="88"/>
        <v>45-54</v>
      </c>
      <c r="X1150" s="6" t="str">
        <f t="shared" si="89"/>
        <v>Low</v>
      </c>
    </row>
    <row r="1151" spans="1:24">
      <c r="A1151" s="6" t="s">
        <v>522</v>
      </c>
      <c r="B1151" s="6" t="s">
        <v>2603</v>
      </c>
      <c r="C1151" s="6" t="s">
        <v>39</v>
      </c>
      <c r="D1151" s="6" t="s">
        <v>40</v>
      </c>
      <c r="E1151" s="6" t="s">
        <v>94</v>
      </c>
      <c r="F1151" s="6">
        <v>78</v>
      </c>
      <c r="G1151" s="6" t="s">
        <v>24</v>
      </c>
      <c r="H1151" s="6" t="s">
        <v>2604</v>
      </c>
      <c r="I1151" s="6" t="s">
        <v>3510</v>
      </c>
      <c r="J1151" s="8">
        <v>43912</v>
      </c>
      <c r="K1151" s="8">
        <v>45299</v>
      </c>
      <c r="L1151" s="6">
        <v>216100.8</v>
      </c>
      <c r="M1151" s="6">
        <v>121000.25</v>
      </c>
      <c r="N1151" s="6">
        <v>660</v>
      </c>
      <c r="O1151" s="6">
        <v>246000</v>
      </c>
      <c r="P1151" s="6" t="s">
        <v>76</v>
      </c>
      <c r="Q1151" s="6" t="s">
        <v>27</v>
      </c>
      <c r="R1151" s="6">
        <v>0</v>
      </c>
      <c r="S1151" s="6" t="s">
        <v>28</v>
      </c>
      <c r="T1151" s="7">
        <f t="shared" si="85"/>
        <v>0.49187093495934958</v>
      </c>
      <c r="U1151" s="6">
        <f t="shared" si="86"/>
        <v>7</v>
      </c>
      <c r="V1151" s="5" t="str">
        <f t="shared" si="87"/>
        <v>FAIR</v>
      </c>
      <c r="W1151" s="6" t="str">
        <f t="shared" si="88"/>
        <v>55+</v>
      </c>
      <c r="X1151" s="6" t="str">
        <f t="shared" si="89"/>
        <v>High</v>
      </c>
    </row>
    <row r="1152" spans="1:24">
      <c r="A1152" s="6" t="s">
        <v>306</v>
      </c>
      <c r="B1152" s="6" t="s">
        <v>2605</v>
      </c>
      <c r="C1152" s="6" t="s">
        <v>46</v>
      </c>
      <c r="D1152" s="6" t="s">
        <v>209</v>
      </c>
      <c r="E1152" s="6" t="s">
        <v>703</v>
      </c>
      <c r="F1152" s="6">
        <v>65</v>
      </c>
      <c r="G1152" s="6" t="s">
        <v>34</v>
      </c>
      <c r="H1152" s="6" t="s">
        <v>2606</v>
      </c>
      <c r="I1152" s="6" t="s">
        <v>4242</v>
      </c>
      <c r="J1152" s="8">
        <v>44764</v>
      </c>
      <c r="K1152" s="8">
        <v>45302</v>
      </c>
      <c r="L1152" s="6">
        <v>97500.9</v>
      </c>
      <c r="M1152" s="6">
        <v>55300.75</v>
      </c>
      <c r="N1152" s="6">
        <v>730</v>
      </c>
      <c r="O1152" s="6">
        <v>150000</v>
      </c>
      <c r="P1152" s="6" t="s">
        <v>26</v>
      </c>
      <c r="Q1152" s="6" t="s">
        <v>27</v>
      </c>
      <c r="R1152" s="6">
        <v>0</v>
      </c>
      <c r="S1152" s="6" t="s">
        <v>28</v>
      </c>
      <c r="T1152" s="7">
        <f t="shared" si="85"/>
        <v>0.36867166666666668</v>
      </c>
      <c r="U1152" s="6">
        <f t="shared" si="86"/>
        <v>4</v>
      </c>
      <c r="V1152" s="5" t="str">
        <f t="shared" si="87"/>
        <v>GOOD</v>
      </c>
      <c r="W1152" s="6" t="str">
        <f t="shared" si="88"/>
        <v>55+</v>
      </c>
      <c r="X1152" s="6" t="str">
        <f t="shared" si="89"/>
        <v>Upper-Middle</v>
      </c>
    </row>
    <row r="1153" spans="1:24">
      <c r="A1153" s="6" t="s">
        <v>527</v>
      </c>
      <c r="B1153" s="6" t="s">
        <v>2607</v>
      </c>
      <c r="C1153" s="6" t="s">
        <v>31</v>
      </c>
      <c r="D1153" s="6" t="s">
        <v>32</v>
      </c>
      <c r="E1153" s="6" t="s">
        <v>90</v>
      </c>
      <c r="F1153" s="6">
        <v>54</v>
      </c>
      <c r="G1153" s="6" t="s">
        <v>34</v>
      </c>
      <c r="H1153" s="6" t="s">
        <v>2608</v>
      </c>
      <c r="I1153" s="6" t="s">
        <v>3620</v>
      </c>
      <c r="J1153" s="8">
        <v>45557</v>
      </c>
      <c r="K1153" s="8">
        <v>45305</v>
      </c>
      <c r="L1153" s="6">
        <v>19300.400000000001</v>
      </c>
      <c r="M1153" s="6">
        <v>10600.25</v>
      </c>
      <c r="N1153" s="6">
        <v>705</v>
      </c>
      <c r="O1153" s="6">
        <v>64000</v>
      </c>
      <c r="P1153" s="6" t="s">
        <v>26</v>
      </c>
      <c r="Q1153" s="6" t="s">
        <v>43</v>
      </c>
      <c r="R1153" s="6">
        <v>0</v>
      </c>
      <c r="S1153" s="6" t="s">
        <v>28</v>
      </c>
      <c r="T1153" s="7">
        <f t="shared" si="85"/>
        <v>0.16562890625000001</v>
      </c>
      <c r="U1153" s="6">
        <f t="shared" si="86"/>
        <v>1</v>
      </c>
      <c r="V1153" s="5" t="str">
        <f t="shared" si="87"/>
        <v>GOOD</v>
      </c>
      <c r="W1153" s="6" t="str">
        <f t="shared" si="88"/>
        <v>45-54</v>
      </c>
      <c r="X1153" s="6" t="str">
        <f t="shared" si="89"/>
        <v>Low</v>
      </c>
    </row>
    <row r="1154" spans="1:24">
      <c r="A1154" s="6" t="s">
        <v>530</v>
      </c>
      <c r="B1154" s="6" t="s">
        <v>2609</v>
      </c>
      <c r="C1154" s="6" t="s">
        <v>57</v>
      </c>
      <c r="D1154" s="6" t="s">
        <v>219</v>
      </c>
      <c r="E1154" s="6" t="s">
        <v>220</v>
      </c>
      <c r="F1154" s="6">
        <v>59</v>
      </c>
      <c r="G1154" s="6" t="s">
        <v>24</v>
      </c>
      <c r="H1154" s="6" t="s">
        <v>2610</v>
      </c>
      <c r="I1154" s="6" t="s">
        <v>4243</v>
      </c>
      <c r="J1154" s="8">
        <v>45313</v>
      </c>
      <c r="K1154" s="8">
        <v>45303</v>
      </c>
      <c r="L1154" s="6">
        <v>42000.6</v>
      </c>
      <c r="M1154" s="6">
        <v>16200.8</v>
      </c>
      <c r="N1154" s="6">
        <v>710</v>
      </c>
      <c r="O1154" s="6">
        <v>80000</v>
      </c>
      <c r="P1154" s="6" t="s">
        <v>36</v>
      </c>
      <c r="Q1154" s="6" t="s">
        <v>27</v>
      </c>
      <c r="R1154" s="6">
        <v>0</v>
      </c>
      <c r="S1154" s="6" t="s">
        <v>28</v>
      </c>
      <c r="T1154" s="7">
        <f t="shared" ref="T1154:T1217" si="90">IFERROR(M1154/O1154,"")</f>
        <v>0.20251</v>
      </c>
      <c r="U1154" s="6">
        <f t="shared" ref="U1154:U1217" si="91">MAX($K$2:$K$1599)-K1154</f>
        <v>3</v>
      </c>
      <c r="V1154" s="5" t="str">
        <f t="shared" ref="V1154:V1217" si="92">IF(N1154&lt;670,"FAIR", IF(N1154&lt;750,"GOOD",IF(N1154&lt;800,"VERY GOOD","EXCEPTIONAL")))</f>
        <v>GOOD</v>
      </c>
      <c r="W1154" s="6" t="str">
        <f t="shared" ref="W1154:W1217" si="93">IF(F1154&lt;25,"18-24",IF(F1154&lt;35,"25-34",IF(F1154&lt;45,"35-44",IF(F1154&lt;55,"45-54","55+"))))</f>
        <v>55+</v>
      </c>
      <c r="X1154" s="6" t="str">
        <f t="shared" ref="X1154:X1217" si="94">IF(O1154&lt;=_xlfn.QUARTILE.INC($O$2:$O$1599,1),"Low",IF(O1154&lt;=_xlfn.QUARTILE.INC($O$2:$O$1599,2),"Lower-Middle",IF(O1154&lt;=_xlfn.QUARTILE.INC($O$2:$O$1599,3),"Upper-Middle","High")))</f>
        <v>Lower-Middle</v>
      </c>
    </row>
    <row r="1155" spans="1:24">
      <c r="A1155" s="6" t="s">
        <v>533</v>
      </c>
      <c r="B1155" s="6" t="s">
        <v>2611</v>
      </c>
      <c r="C1155" s="6" t="s">
        <v>52</v>
      </c>
      <c r="D1155" s="6" t="s">
        <v>204</v>
      </c>
      <c r="E1155" s="6" t="s">
        <v>259</v>
      </c>
      <c r="F1155" s="6">
        <v>66</v>
      </c>
      <c r="G1155" s="6" t="s">
        <v>34</v>
      </c>
      <c r="H1155" s="6" t="s">
        <v>2612</v>
      </c>
      <c r="I1155" s="6" t="s">
        <v>3915</v>
      </c>
      <c r="J1155" s="8">
        <v>44614</v>
      </c>
      <c r="K1155" s="8">
        <v>45301</v>
      </c>
      <c r="L1155" s="6">
        <v>73300.25</v>
      </c>
      <c r="M1155" s="6">
        <v>46400.9</v>
      </c>
      <c r="N1155" s="6">
        <v>695</v>
      </c>
      <c r="O1155" s="6">
        <v>115000</v>
      </c>
      <c r="P1155" s="6" t="s">
        <v>26</v>
      </c>
      <c r="Q1155" s="6" t="s">
        <v>27</v>
      </c>
      <c r="R1155" s="6">
        <v>0</v>
      </c>
      <c r="S1155" s="6" t="s">
        <v>28</v>
      </c>
      <c r="T1155" s="7">
        <f t="shared" si="90"/>
        <v>0.40348608695652177</v>
      </c>
      <c r="U1155" s="6">
        <f t="shared" si="91"/>
        <v>5</v>
      </c>
      <c r="V1155" s="5" t="str">
        <f t="shared" si="92"/>
        <v>GOOD</v>
      </c>
      <c r="W1155" s="6" t="str">
        <f t="shared" si="93"/>
        <v>55+</v>
      </c>
      <c r="X1155" s="6" t="str">
        <f t="shared" si="94"/>
        <v>Lower-Middle</v>
      </c>
    </row>
    <row r="1156" spans="1:24">
      <c r="A1156" s="6" t="s">
        <v>536</v>
      </c>
      <c r="B1156" s="6" t="s">
        <v>2613</v>
      </c>
      <c r="C1156" s="6" t="s">
        <v>39</v>
      </c>
      <c r="D1156" s="6" t="s">
        <v>195</v>
      </c>
      <c r="E1156" s="6" t="s">
        <v>196</v>
      </c>
      <c r="F1156" s="6">
        <v>74</v>
      </c>
      <c r="G1156" s="6" t="s">
        <v>24</v>
      </c>
      <c r="H1156" s="6" t="s">
        <v>2614</v>
      </c>
      <c r="I1156" s="6" t="s">
        <v>4244</v>
      </c>
      <c r="J1156" s="8">
        <v>44065</v>
      </c>
      <c r="K1156" s="8">
        <v>45300</v>
      </c>
      <c r="L1156" s="6">
        <v>148300.4</v>
      </c>
      <c r="M1156" s="6">
        <v>95000.6</v>
      </c>
      <c r="N1156" s="6">
        <v>670</v>
      </c>
      <c r="O1156" s="6">
        <v>182000</v>
      </c>
      <c r="P1156" s="6" t="s">
        <v>76</v>
      </c>
      <c r="Q1156" s="6" t="s">
        <v>27</v>
      </c>
      <c r="R1156" s="6">
        <v>0</v>
      </c>
      <c r="S1156" s="6" t="s">
        <v>28</v>
      </c>
      <c r="T1156" s="7">
        <f t="shared" si="90"/>
        <v>0.5219813186813187</v>
      </c>
      <c r="U1156" s="6">
        <f t="shared" si="91"/>
        <v>6</v>
      </c>
      <c r="V1156" s="5" t="str">
        <f t="shared" si="92"/>
        <v>GOOD</v>
      </c>
      <c r="W1156" s="6" t="str">
        <f t="shared" si="93"/>
        <v>55+</v>
      </c>
      <c r="X1156" s="6" t="str">
        <f t="shared" si="94"/>
        <v>Upper-Middle</v>
      </c>
    </row>
    <row r="1157" spans="1:24">
      <c r="A1157" s="6" t="s">
        <v>539</v>
      </c>
      <c r="B1157" s="6" t="s">
        <v>2615</v>
      </c>
      <c r="C1157" s="6" t="s">
        <v>21</v>
      </c>
      <c r="D1157" s="6" t="s">
        <v>58</v>
      </c>
      <c r="E1157" s="6" t="s">
        <v>59</v>
      </c>
      <c r="F1157" s="6">
        <v>82</v>
      </c>
      <c r="G1157" s="6" t="s">
        <v>34</v>
      </c>
      <c r="H1157" s="6" t="s">
        <v>2616</v>
      </c>
      <c r="I1157" s="6" t="s">
        <v>3861</v>
      </c>
      <c r="J1157" s="8">
        <v>43638</v>
      </c>
      <c r="K1157" s="8">
        <v>45299</v>
      </c>
      <c r="L1157" s="6">
        <v>315200.75</v>
      </c>
      <c r="M1157" s="6">
        <v>112000.8</v>
      </c>
      <c r="N1157" s="6">
        <v>835</v>
      </c>
      <c r="O1157" s="6">
        <v>327000</v>
      </c>
      <c r="P1157" s="6" t="s">
        <v>36</v>
      </c>
      <c r="Q1157" s="6" t="s">
        <v>27</v>
      </c>
      <c r="R1157" s="6">
        <v>0</v>
      </c>
      <c r="S1157" s="6" t="s">
        <v>28</v>
      </c>
      <c r="T1157" s="7">
        <f t="shared" si="90"/>
        <v>0.34251009174311925</v>
      </c>
      <c r="U1157" s="6">
        <f t="shared" si="91"/>
        <v>7</v>
      </c>
      <c r="V1157" s="5" t="str">
        <f t="shared" si="92"/>
        <v>EXCEPTIONAL</v>
      </c>
      <c r="W1157" s="6" t="str">
        <f t="shared" si="93"/>
        <v>55+</v>
      </c>
      <c r="X1157" s="6" t="str">
        <f t="shared" si="94"/>
        <v>High</v>
      </c>
    </row>
    <row r="1158" spans="1:24">
      <c r="A1158" s="6" t="s">
        <v>542</v>
      </c>
      <c r="B1158" s="6" t="s">
        <v>2617</v>
      </c>
      <c r="C1158" s="6" t="s">
        <v>52</v>
      </c>
      <c r="D1158" s="6" t="s">
        <v>68</v>
      </c>
      <c r="E1158" s="6" t="s">
        <v>69</v>
      </c>
      <c r="F1158" s="6">
        <v>69</v>
      </c>
      <c r="G1158" s="6" t="s">
        <v>34</v>
      </c>
      <c r="H1158" s="6" t="s">
        <v>2618</v>
      </c>
      <c r="I1158" s="6" t="s">
        <v>4233</v>
      </c>
      <c r="J1158" s="8">
        <v>44583</v>
      </c>
      <c r="K1158" s="8">
        <v>45302</v>
      </c>
      <c r="L1158" s="6">
        <v>82000.600000000006</v>
      </c>
      <c r="M1158" s="6">
        <v>52000.25</v>
      </c>
      <c r="N1158" s="6">
        <v>665</v>
      </c>
      <c r="O1158" s="6">
        <v>135000</v>
      </c>
      <c r="P1158" s="6" t="s">
        <v>26</v>
      </c>
      <c r="Q1158" s="6" t="s">
        <v>27</v>
      </c>
      <c r="R1158" s="6">
        <v>0</v>
      </c>
      <c r="S1158" s="6" t="s">
        <v>28</v>
      </c>
      <c r="T1158" s="7">
        <f t="shared" si="90"/>
        <v>0.38518703703703705</v>
      </c>
      <c r="U1158" s="6">
        <f t="shared" si="91"/>
        <v>4</v>
      </c>
      <c r="V1158" s="5" t="str">
        <f t="shared" si="92"/>
        <v>FAIR</v>
      </c>
      <c r="W1158" s="6" t="str">
        <f t="shared" si="93"/>
        <v>55+</v>
      </c>
      <c r="X1158" s="6" t="str">
        <f t="shared" si="94"/>
        <v>Upper-Middle</v>
      </c>
    </row>
    <row r="1159" spans="1:24">
      <c r="A1159" s="6" t="s">
        <v>545</v>
      </c>
      <c r="B1159" s="6" t="s">
        <v>2619</v>
      </c>
      <c r="C1159" s="6" t="s">
        <v>46</v>
      </c>
      <c r="D1159" s="6" t="s">
        <v>241</v>
      </c>
      <c r="E1159" s="6" t="s">
        <v>242</v>
      </c>
      <c r="F1159" s="6">
        <v>61</v>
      </c>
      <c r="G1159" s="6" t="s">
        <v>24</v>
      </c>
      <c r="H1159" s="6" t="s">
        <v>2620</v>
      </c>
      <c r="I1159" s="6" t="s">
        <v>4245</v>
      </c>
      <c r="J1159" s="8">
        <v>45221</v>
      </c>
      <c r="K1159" s="8">
        <v>45303</v>
      </c>
      <c r="L1159" s="6">
        <v>105300.8</v>
      </c>
      <c r="M1159" s="6">
        <v>59500.4</v>
      </c>
      <c r="N1159" s="6">
        <v>750</v>
      </c>
      <c r="O1159" s="6">
        <v>161000</v>
      </c>
      <c r="P1159" s="6" t="s">
        <v>26</v>
      </c>
      <c r="Q1159" s="6" t="s">
        <v>27</v>
      </c>
      <c r="R1159" s="6">
        <v>0</v>
      </c>
      <c r="S1159" s="6" t="s">
        <v>28</v>
      </c>
      <c r="T1159" s="7">
        <f t="shared" si="90"/>
        <v>0.36956770186335403</v>
      </c>
      <c r="U1159" s="6">
        <f t="shared" si="91"/>
        <v>3</v>
      </c>
      <c r="V1159" s="5" t="str">
        <f t="shared" si="92"/>
        <v>VERY GOOD</v>
      </c>
      <c r="W1159" s="6" t="str">
        <f t="shared" si="93"/>
        <v>55+</v>
      </c>
      <c r="X1159" s="6" t="str">
        <f t="shared" si="94"/>
        <v>Upper-Middle</v>
      </c>
    </row>
    <row r="1160" spans="1:24">
      <c r="A1160" s="6" t="s">
        <v>548</v>
      </c>
      <c r="B1160" s="6" t="s">
        <v>2621</v>
      </c>
      <c r="C1160" s="6" t="s">
        <v>57</v>
      </c>
      <c r="D1160" s="6" t="s">
        <v>22</v>
      </c>
      <c r="E1160" s="6" t="s">
        <v>118</v>
      </c>
      <c r="F1160" s="6">
        <v>57</v>
      </c>
      <c r="G1160" s="6" t="s">
        <v>34</v>
      </c>
      <c r="H1160" s="6" t="s">
        <v>2622</v>
      </c>
      <c r="I1160" s="6" t="s">
        <v>3641</v>
      </c>
      <c r="J1160" s="8">
        <v>45404</v>
      </c>
      <c r="K1160" s="8">
        <v>45305</v>
      </c>
      <c r="L1160" s="6">
        <v>44200.9</v>
      </c>
      <c r="M1160" s="6">
        <v>17200.75</v>
      </c>
      <c r="N1160" s="6">
        <v>770</v>
      </c>
      <c r="O1160" s="6">
        <v>92000</v>
      </c>
      <c r="P1160" s="6" t="s">
        <v>36</v>
      </c>
      <c r="Q1160" s="6" t="s">
        <v>27</v>
      </c>
      <c r="R1160" s="6">
        <v>0</v>
      </c>
      <c r="S1160" s="6" t="s">
        <v>28</v>
      </c>
      <c r="T1160" s="7">
        <f t="shared" si="90"/>
        <v>0.18696467391304347</v>
      </c>
      <c r="U1160" s="6">
        <f t="shared" si="91"/>
        <v>1</v>
      </c>
      <c r="V1160" s="5" t="str">
        <f t="shared" si="92"/>
        <v>VERY GOOD</v>
      </c>
      <c r="W1160" s="6" t="str">
        <f t="shared" si="93"/>
        <v>55+</v>
      </c>
      <c r="X1160" s="6" t="str">
        <f t="shared" si="94"/>
        <v>Lower-Middle</v>
      </c>
    </row>
    <row r="1161" spans="1:24">
      <c r="A1161" s="6" t="s">
        <v>551</v>
      </c>
      <c r="B1161" s="6" t="s">
        <v>2623</v>
      </c>
      <c r="C1161" s="6" t="s">
        <v>39</v>
      </c>
      <c r="D1161" s="6" t="s">
        <v>313</v>
      </c>
      <c r="E1161" s="6" t="s">
        <v>314</v>
      </c>
      <c r="F1161" s="6">
        <v>80</v>
      </c>
      <c r="G1161" s="6" t="s">
        <v>24</v>
      </c>
      <c r="H1161" s="6" t="s">
        <v>2624</v>
      </c>
      <c r="I1161" s="6" t="s">
        <v>4246</v>
      </c>
      <c r="J1161" s="8">
        <v>43821</v>
      </c>
      <c r="K1161" s="8">
        <v>45299</v>
      </c>
      <c r="L1161" s="6">
        <v>201400.25</v>
      </c>
      <c r="M1161" s="6">
        <v>116000.8</v>
      </c>
      <c r="N1161" s="6">
        <v>645</v>
      </c>
      <c r="O1161" s="6">
        <v>232000</v>
      </c>
      <c r="P1161" s="6" t="s">
        <v>76</v>
      </c>
      <c r="Q1161" s="6" t="s">
        <v>27</v>
      </c>
      <c r="R1161" s="6">
        <v>0</v>
      </c>
      <c r="S1161" s="6" t="s">
        <v>28</v>
      </c>
      <c r="T1161" s="7">
        <f t="shared" si="90"/>
        <v>0.50000344827586207</v>
      </c>
      <c r="U1161" s="6">
        <f t="shared" si="91"/>
        <v>7</v>
      </c>
      <c r="V1161" s="5" t="str">
        <f t="shared" si="92"/>
        <v>FAIR</v>
      </c>
      <c r="W1161" s="6" t="str">
        <f t="shared" si="93"/>
        <v>55+</v>
      </c>
      <c r="X1161" s="6" t="str">
        <f t="shared" si="94"/>
        <v>High</v>
      </c>
    </row>
    <row r="1162" spans="1:24">
      <c r="A1162" s="6" t="s">
        <v>554</v>
      </c>
      <c r="B1162" s="6" t="s">
        <v>2625</v>
      </c>
      <c r="C1162" s="6" t="s">
        <v>31</v>
      </c>
      <c r="D1162" s="6" t="s">
        <v>214</v>
      </c>
      <c r="E1162" s="6" t="s">
        <v>724</v>
      </c>
      <c r="F1162" s="6">
        <v>53</v>
      </c>
      <c r="G1162" s="6" t="s">
        <v>34</v>
      </c>
      <c r="H1162" s="6" t="s">
        <v>2626</v>
      </c>
      <c r="I1162" s="6" t="s">
        <v>4247</v>
      </c>
      <c r="J1162" s="8">
        <v>45563</v>
      </c>
      <c r="K1162" s="8">
        <v>45306</v>
      </c>
      <c r="L1162" s="6">
        <v>37200.5</v>
      </c>
      <c r="M1162" s="6">
        <v>16800.400000000001</v>
      </c>
      <c r="N1162" s="6">
        <v>720</v>
      </c>
      <c r="O1162" s="6">
        <v>69000</v>
      </c>
      <c r="P1162" s="6" t="s">
        <v>36</v>
      </c>
      <c r="Q1162" s="6" t="s">
        <v>27</v>
      </c>
      <c r="R1162" s="6">
        <v>0</v>
      </c>
      <c r="S1162" s="6" t="s">
        <v>28</v>
      </c>
      <c r="T1162" s="7">
        <f t="shared" si="90"/>
        <v>0.24348405797101452</v>
      </c>
      <c r="U1162" s="6">
        <f t="shared" si="91"/>
        <v>0</v>
      </c>
      <c r="V1162" s="5" t="str">
        <f t="shared" si="92"/>
        <v>GOOD</v>
      </c>
      <c r="W1162" s="6" t="str">
        <f t="shared" si="93"/>
        <v>45-54</v>
      </c>
      <c r="X1162" s="6" t="str">
        <f t="shared" si="94"/>
        <v>Low</v>
      </c>
    </row>
    <row r="1163" spans="1:24">
      <c r="A1163" s="6" t="s">
        <v>108</v>
      </c>
      <c r="B1163" s="6" t="s">
        <v>2627</v>
      </c>
      <c r="C1163" s="6" t="s">
        <v>84</v>
      </c>
      <c r="D1163" s="6" t="s">
        <v>32</v>
      </c>
      <c r="E1163" s="6" t="s">
        <v>33</v>
      </c>
      <c r="F1163" s="6">
        <v>49</v>
      </c>
      <c r="G1163" s="6" t="s">
        <v>24</v>
      </c>
      <c r="H1163" s="6" t="s">
        <v>2628</v>
      </c>
      <c r="I1163" s="6" t="s">
        <v>3634</v>
      </c>
      <c r="J1163" s="8">
        <v>45563</v>
      </c>
      <c r="K1163" s="8">
        <v>45304</v>
      </c>
      <c r="L1163" s="6">
        <v>4550.8</v>
      </c>
      <c r="M1163" s="6">
        <v>14000.25</v>
      </c>
      <c r="N1163" s="6">
        <v>605</v>
      </c>
      <c r="O1163" s="6">
        <v>45000</v>
      </c>
      <c r="P1163" s="6" t="s">
        <v>76</v>
      </c>
      <c r="Q1163" s="6" t="s">
        <v>43</v>
      </c>
      <c r="R1163" s="6">
        <v>0</v>
      </c>
      <c r="S1163" s="6" t="s">
        <v>28</v>
      </c>
      <c r="T1163" s="7">
        <f t="shared" si="90"/>
        <v>0.31111666666666665</v>
      </c>
      <c r="U1163" s="6">
        <f t="shared" si="91"/>
        <v>2</v>
      </c>
      <c r="V1163" s="5" t="str">
        <f t="shared" si="92"/>
        <v>FAIR</v>
      </c>
      <c r="W1163" s="6" t="str">
        <f t="shared" si="93"/>
        <v>45-54</v>
      </c>
      <c r="X1163" s="6" t="str">
        <f t="shared" si="94"/>
        <v>Low</v>
      </c>
    </row>
    <row r="1164" spans="1:24">
      <c r="A1164" s="6" t="s">
        <v>559</v>
      </c>
      <c r="B1164" s="6" t="s">
        <v>2629</v>
      </c>
      <c r="C1164" s="6" t="s">
        <v>46</v>
      </c>
      <c r="D1164" s="6" t="s">
        <v>254</v>
      </c>
      <c r="E1164" s="6" t="s">
        <v>255</v>
      </c>
      <c r="F1164" s="6">
        <v>63</v>
      </c>
      <c r="G1164" s="6" t="s">
        <v>34</v>
      </c>
      <c r="H1164" s="6" t="s">
        <v>2630</v>
      </c>
      <c r="I1164" s="6" t="s">
        <v>4248</v>
      </c>
      <c r="J1164" s="8">
        <v>45099</v>
      </c>
      <c r="K1164" s="8">
        <v>45302</v>
      </c>
      <c r="L1164" s="6">
        <v>92000.4</v>
      </c>
      <c r="M1164" s="6">
        <v>54200.75</v>
      </c>
      <c r="N1164" s="6">
        <v>710</v>
      </c>
      <c r="O1164" s="6">
        <v>143000</v>
      </c>
      <c r="P1164" s="6" t="s">
        <v>26</v>
      </c>
      <c r="Q1164" s="6" t="s">
        <v>27</v>
      </c>
      <c r="R1164" s="6">
        <v>0</v>
      </c>
      <c r="S1164" s="6" t="s">
        <v>28</v>
      </c>
      <c r="T1164" s="7">
        <f t="shared" si="90"/>
        <v>0.3790262237762238</v>
      </c>
      <c r="U1164" s="6">
        <f t="shared" si="91"/>
        <v>4</v>
      </c>
      <c r="V1164" s="5" t="str">
        <f t="shared" si="92"/>
        <v>GOOD</v>
      </c>
      <c r="W1164" s="6" t="str">
        <f t="shared" si="93"/>
        <v>55+</v>
      </c>
      <c r="X1164" s="6" t="str">
        <f t="shared" si="94"/>
        <v>Upper-Middle</v>
      </c>
    </row>
    <row r="1165" spans="1:24">
      <c r="A1165" s="6" t="s">
        <v>562</v>
      </c>
      <c r="B1165" s="6" t="s">
        <v>2631</v>
      </c>
      <c r="C1165" s="6" t="s">
        <v>39</v>
      </c>
      <c r="D1165" s="6" t="s">
        <v>47</v>
      </c>
      <c r="E1165" s="6" t="s">
        <v>98</v>
      </c>
      <c r="F1165" s="6">
        <v>77</v>
      </c>
      <c r="G1165" s="6" t="s">
        <v>24</v>
      </c>
      <c r="H1165" s="6" t="s">
        <v>2632</v>
      </c>
      <c r="I1165" s="6" t="s">
        <v>3867</v>
      </c>
      <c r="J1165" s="8">
        <v>43973</v>
      </c>
      <c r="K1165" s="8">
        <v>45300</v>
      </c>
      <c r="L1165" s="6">
        <v>181600.6</v>
      </c>
      <c r="M1165" s="6">
        <v>109000.25</v>
      </c>
      <c r="N1165" s="6">
        <v>675</v>
      </c>
      <c r="O1165" s="6">
        <v>212000</v>
      </c>
      <c r="P1165" s="6" t="s">
        <v>76</v>
      </c>
      <c r="Q1165" s="6" t="s">
        <v>27</v>
      </c>
      <c r="R1165" s="6">
        <v>0</v>
      </c>
      <c r="S1165" s="6" t="s">
        <v>28</v>
      </c>
      <c r="T1165" s="7">
        <f t="shared" si="90"/>
        <v>0.51415212264150945</v>
      </c>
      <c r="U1165" s="6">
        <f t="shared" si="91"/>
        <v>6</v>
      </c>
      <c r="V1165" s="5" t="str">
        <f t="shared" si="92"/>
        <v>GOOD</v>
      </c>
      <c r="W1165" s="6" t="str">
        <f t="shared" si="93"/>
        <v>55+</v>
      </c>
      <c r="X1165" s="6" t="str">
        <f t="shared" si="94"/>
        <v>High</v>
      </c>
    </row>
    <row r="1166" spans="1:24">
      <c r="A1166" s="6" t="s">
        <v>565</v>
      </c>
      <c r="B1166" s="6" t="s">
        <v>2633</v>
      </c>
      <c r="C1166" s="6" t="s">
        <v>52</v>
      </c>
      <c r="D1166" s="6" t="s">
        <v>233</v>
      </c>
      <c r="E1166" s="6" t="s">
        <v>234</v>
      </c>
      <c r="F1166" s="6">
        <v>62</v>
      </c>
      <c r="G1166" s="6" t="s">
        <v>34</v>
      </c>
      <c r="H1166" s="6" t="s">
        <v>2634</v>
      </c>
      <c r="I1166" s="6" t="s">
        <v>3557</v>
      </c>
      <c r="J1166" s="8">
        <v>44887</v>
      </c>
      <c r="K1166" s="8">
        <v>45301</v>
      </c>
      <c r="L1166" s="6">
        <v>68400.75</v>
      </c>
      <c r="M1166" s="6">
        <v>45300.800000000003</v>
      </c>
      <c r="N1166" s="6">
        <v>725</v>
      </c>
      <c r="O1166" s="6">
        <v>109000</v>
      </c>
      <c r="P1166" s="6" t="s">
        <v>26</v>
      </c>
      <c r="Q1166" s="6" t="s">
        <v>27</v>
      </c>
      <c r="R1166" s="6">
        <v>0</v>
      </c>
      <c r="S1166" s="6" t="s">
        <v>28</v>
      </c>
      <c r="T1166" s="7">
        <f t="shared" si="90"/>
        <v>0.41560366972477064</v>
      </c>
      <c r="U1166" s="6">
        <f t="shared" si="91"/>
        <v>5</v>
      </c>
      <c r="V1166" s="5" t="str">
        <f t="shared" si="92"/>
        <v>GOOD</v>
      </c>
      <c r="W1166" s="6" t="str">
        <f t="shared" si="93"/>
        <v>55+</v>
      </c>
      <c r="X1166" s="6" t="str">
        <f t="shared" si="94"/>
        <v>Lower-Middle</v>
      </c>
    </row>
    <row r="1167" spans="1:24">
      <c r="A1167" s="6" t="s">
        <v>568</v>
      </c>
      <c r="B1167" s="6" t="s">
        <v>2635</v>
      </c>
      <c r="C1167" s="6" t="s">
        <v>57</v>
      </c>
      <c r="D1167" s="6" t="s">
        <v>79</v>
      </c>
      <c r="E1167" s="6" t="s">
        <v>80</v>
      </c>
      <c r="F1167" s="6">
        <v>60</v>
      </c>
      <c r="G1167" s="6" t="s">
        <v>24</v>
      </c>
      <c r="H1167" s="6" t="s">
        <v>2636</v>
      </c>
      <c r="I1167" s="6" t="s">
        <v>3519</v>
      </c>
      <c r="J1167" s="8">
        <v>45344</v>
      </c>
      <c r="K1167" s="8">
        <v>45303</v>
      </c>
      <c r="L1167" s="6">
        <v>46400.4</v>
      </c>
      <c r="M1167" s="6">
        <v>18000.900000000001</v>
      </c>
      <c r="N1167" s="6">
        <v>740</v>
      </c>
      <c r="O1167" s="6">
        <v>95000</v>
      </c>
      <c r="P1167" s="6" t="s">
        <v>36</v>
      </c>
      <c r="Q1167" s="6" t="s">
        <v>27</v>
      </c>
      <c r="R1167" s="6">
        <v>0</v>
      </c>
      <c r="S1167" s="6" t="s">
        <v>28</v>
      </c>
      <c r="T1167" s="7">
        <f t="shared" si="90"/>
        <v>0.18948315789473685</v>
      </c>
      <c r="U1167" s="6">
        <f t="shared" si="91"/>
        <v>3</v>
      </c>
      <c r="V1167" s="5" t="str">
        <f t="shared" si="92"/>
        <v>GOOD</v>
      </c>
      <c r="W1167" s="6" t="str">
        <f t="shared" si="93"/>
        <v>55+</v>
      </c>
      <c r="X1167" s="6" t="str">
        <f t="shared" si="94"/>
        <v>Lower-Middle</v>
      </c>
    </row>
    <row r="1168" spans="1:24">
      <c r="A1168" s="6" t="s">
        <v>571</v>
      </c>
      <c r="B1168" s="6" t="s">
        <v>2637</v>
      </c>
      <c r="C1168" s="6" t="s">
        <v>21</v>
      </c>
      <c r="D1168" s="6" t="s">
        <v>63</v>
      </c>
      <c r="E1168" s="6" t="s">
        <v>3514</v>
      </c>
      <c r="F1168" s="6">
        <v>83</v>
      </c>
      <c r="G1168" s="6" t="s">
        <v>34</v>
      </c>
      <c r="H1168" s="6" t="s">
        <v>2638</v>
      </c>
      <c r="I1168" s="6" t="s">
        <v>4079</v>
      </c>
      <c r="J1168" s="8">
        <v>43518</v>
      </c>
      <c r="K1168" s="8">
        <v>45299</v>
      </c>
      <c r="L1168" s="6">
        <v>270500.90000000002</v>
      </c>
      <c r="M1168" s="6">
        <v>99000.6</v>
      </c>
      <c r="N1168" s="6">
        <v>830</v>
      </c>
      <c r="O1168" s="6">
        <v>307000</v>
      </c>
      <c r="P1168" s="6" t="s">
        <v>36</v>
      </c>
      <c r="Q1168" s="6" t="s">
        <v>27</v>
      </c>
      <c r="R1168" s="6">
        <v>0</v>
      </c>
      <c r="S1168" s="6" t="s">
        <v>28</v>
      </c>
      <c r="T1168" s="7">
        <f t="shared" si="90"/>
        <v>0.32247752442996747</v>
      </c>
      <c r="U1168" s="6">
        <f t="shared" si="91"/>
        <v>7</v>
      </c>
      <c r="V1168" s="5" t="str">
        <f t="shared" si="92"/>
        <v>EXCEPTIONAL</v>
      </c>
      <c r="W1168" s="6" t="str">
        <f t="shared" si="93"/>
        <v>55+</v>
      </c>
      <c r="X1168" s="6" t="str">
        <f t="shared" si="94"/>
        <v>High</v>
      </c>
    </row>
    <row r="1169" spans="1:24">
      <c r="A1169" s="6" t="s">
        <v>574</v>
      </c>
      <c r="B1169" s="6" t="s">
        <v>2639</v>
      </c>
      <c r="C1169" s="6" t="s">
        <v>39</v>
      </c>
      <c r="D1169" s="6" t="s">
        <v>68</v>
      </c>
      <c r="E1169" s="6" t="s">
        <v>114</v>
      </c>
      <c r="F1169" s="6">
        <v>75</v>
      </c>
      <c r="G1169" s="6" t="s">
        <v>24</v>
      </c>
      <c r="H1169" s="6" t="s">
        <v>2640</v>
      </c>
      <c r="I1169" s="6" t="s">
        <v>4249</v>
      </c>
      <c r="J1169" s="8">
        <v>44116</v>
      </c>
      <c r="K1169" s="8">
        <v>45300</v>
      </c>
      <c r="L1169" s="6">
        <v>159400.25</v>
      </c>
      <c r="M1169" s="6">
        <v>101000.4</v>
      </c>
      <c r="N1169" s="6">
        <v>655</v>
      </c>
      <c r="O1169" s="6">
        <v>197000</v>
      </c>
      <c r="P1169" s="6" t="s">
        <v>76</v>
      </c>
      <c r="Q1169" s="6" t="s">
        <v>27</v>
      </c>
      <c r="R1169" s="6">
        <v>0</v>
      </c>
      <c r="S1169" s="6" t="s">
        <v>28</v>
      </c>
      <c r="T1169" s="7">
        <f t="shared" si="90"/>
        <v>0.51269238578680199</v>
      </c>
      <c r="U1169" s="6">
        <f t="shared" si="91"/>
        <v>6</v>
      </c>
      <c r="V1169" s="5" t="str">
        <f t="shared" si="92"/>
        <v>FAIR</v>
      </c>
      <c r="W1169" s="6" t="str">
        <f t="shared" si="93"/>
        <v>55+</v>
      </c>
      <c r="X1169" s="6" t="str">
        <f t="shared" si="94"/>
        <v>High</v>
      </c>
    </row>
    <row r="1170" spans="1:24">
      <c r="A1170" s="6" t="s">
        <v>577</v>
      </c>
      <c r="B1170" s="6" t="s">
        <v>2641</v>
      </c>
      <c r="C1170" s="6" t="s">
        <v>46</v>
      </c>
      <c r="D1170" s="6" t="s">
        <v>85</v>
      </c>
      <c r="E1170" s="6" t="s">
        <v>162</v>
      </c>
      <c r="F1170" s="6">
        <v>64</v>
      </c>
      <c r="G1170" s="6" t="s">
        <v>34</v>
      </c>
      <c r="H1170" s="6" t="s">
        <v>2642</v>
      </c>
      <c r="I1170" s="6" t="s">
        <v>3925</v>
      </c>
      <c r="J1170" s="8">
        <v>45007</v>
      </c>
      <c r="K1170" s="8">
        <v>45302</v>
      </c>
      <c r="L1170" s="6">
        <v>110900.6</v>
      </c>
      <c r="M1170" s="6">
        <v>62200.75</v>
      </c>
      <c r="N1170" s="6">
        <v>760</v>
      </c>
      <c r="O1170" s="6">
        <v>166000</v>
      </c>
      <c r="P1170" s="6" t="s">
        <v>26</v>
      </c>
      <c r="Q1170" s="6" t="s">
        <v>27</v>
      </c>
      <c r="R1170" s="6">
        <v>0</v>
      </c>
      <c r="S1170" s="6" t="s">
        <v>28</v>
      </c>
      <c r="T1170" s="7">
        <f t="shared" si="90"/>
        <v>0.37470331325301204</v>
      </c>
      <c r="U1170" s="6">
        <f t="shared" si="91"/>
        <v>4</v>
      </c>
      <c r="V1170" s="5" t="str">
        <f t="shared" si="92"/>
        <v>VERY GOOD</v>
      </c>
      <c r="W1170" s="6" t="str">
        <f t="shared" si="93"/>
        <v>55+</v>
      </c>
      <c r="X1170" s="6" t="str">
        <f t="shared" si="94"/>
        <v>Upper-Middle</v>
      </c>
    </row>
    <row r="1171" spans="1:24">
      <c r="A1171" s="6" t="s">
        <v>458</v>
      </c>
      <c r="B1171" s="6" t="s">
        <v>2643</v>
      </c>
      <c r="C1171" s="6" t="s">
        <v>31</v>
      </c>
      <c r="D1171" s="6" t="s">
        <v>460</v>
      </c>
      <c r="E1171" s="6" t="s">
        <v>461</v>
      </c>
      <c r="F1171" s="6">
        <v>55</v>
      </c>
      <c r="G1171" s="6" t="s">
        <v>24</v>
      </c>
      <c r="H1171" s="6" t="s">
        <v>2644</v>
      </c>
      <c r="I1171" s="6" t="s">
        <v>4250</v>
      </c>
      <c r="J1171" s="8">
        <v>45563</v>
      </c>
      <c r="K1171" s="8">
        <v>45306</v>
      </c>
      <c r="L1171" s="6">
        <v>21900.25</v>
      </c>
      <c r="M1171" s="6">
        <v>13000.8</v>
      </c>
      <c r="N1171" s="6">
        <v>695</v>
      </c>
      <c r="O1171" s="6">
        <v>66000</v>
      </c>
      <c r="P1171" s="6" t="s">
        <v>26</v>
      </c>
      <c r="Q1171" s="6" t="s">
        <v>43</v>
      </c>
      <c r="R1171" s="6">
        <v>0</v>
      </c>
      <c r="S1171" s="6" t="s">
        <v>28</v>
      </c>
      <c r="T1171" s="7">
        <f t="shared" si="90"/>
        <v>0.19698181818181817</v>
      </c>
      <c r="U1171" s="6">
        <f t="shared" si="91"/>
        <v>0</v>
      </c>
      <c r="V1171" s="5" t="str">
        <f t="shared" si="92"/>
        <v>GOOD</v>
      </c>
      <c r="W1171" s="6" t="str">
        <f t="shared" si="93"/>
        <v>55+</v>
      </c>
      <c r="X1171" s="6" t="str">
        <f t="shared" si="94"/>
        <v>Low</v>
      </c>
    </row>
    <row r="1172" spans="1:24">
      <c r="A1172" s="6" t="s">
        <v>582</v>
      </c>
      <c r="B1172" s="6" t="s">
        <v>2645</v>
      </c>
      <c r="C1172" s="6" t="s">
        <v>57</v>
      </c>
      <c r="D1172" s="6" t="s">
        <v>22</v>
      </c>
      <c r="E1172" s="6" t="s">
        <v>53</v>
      </c>
      <c r="F1172" s="6">
        <v>58</v>
      </c>
      <c r="G1172" s="6" t="s">
        <v>34</v>
      </c>
      <c r="H1172" s="6" t="s">
        <v>2646</v>
      </c>
      <c r="I1172" s="6" t="s">
        <v>3605</v>
      </c>
      <c r="J1172" s="8">
        <v>45282</v>
      </c>
      <c r="K1172" s="8">
        <v>45303</v>
      </c>
      <c r="L1172" s="6">
        <v>45300.9</v>
      </c>
      <c r="M1172" s="6">
        <v>17600.25</v>
      </c>
      <c r="N1172" s="6">
        <v>755</v>
      </c>
      <c r="O1172" s="6">
        <v>88000</v>
      </c>
      <c r="P1172" s="6" t="s">
        <v>36</v>
      </c>
      <c r="Q1172" s="6" t="s">
        <v>27</v>
      </c>
      <c r="R1172" s="6">
        <v>0</v>
      </c>
      <c r="S1172" s="6" t="s">
        <v>28</v>
      </c>
      <c r="T1172" s="7">
        <f t="shared" si="90"/>
        <v>0.2000028409090909</v>
      </c>
      <c r="U1172" s="6">
        <f t="shared" si="91"/>
        <v>3</v>
      </c>
      <c r="V1172" s="5" t="str">
        <f t="shared" si="92"/>
        <v>VERY GOOD</v>
      </c>
      <c r="W1172" s="6" t="str">
        <f t="shared" si="93"/>
        <v>55+</v>
      </c>
      <c r="X1172" s="6" t="str">
        <f t="shared" si="94"/>
        <v>Lower-Middle</v>
      </c>
    </row>
    <row r="1173" spans="1:24">
      <c r="A1173" s="6" t="s">
        <v>55</v>
      </c>
      <c r="B1173" s="6" t="s">
        <v>2647</v>
      </c>
      <c r="C1173" s="6" t="s">
        <v>39</v>
      </c>
      <c r="D1173" s="6" t="s">
        <v>58</v>
      </c>
      <c r="E1173" s="6" t="s">
        <v>122</v>
      </c>
      <c r="F1173" s="6">
        <v>76</v>
      </c>
      <c r="G1173" s="6" t="s">
        <v>24</v>
      </c>
      <c r="H1173" s="6" t="s">
        <v>2648</v>
      </c>
      <c r="I1173" s="6" t="s">
        <v>3873</v>
      </c>
      <c r="J1173" s="8">
        <v>44034</v>
      </c>
      <c r="K1173" s="8">
        <v>45300</v>
      </c>
      <c r="L1173" s="6">
        <v>192300.4</v>
      </c>
      <c r="M1173" s="6">
        <v>114000.75</v>
      </c>
      <c r="N1173" s="6">
        <v>685</v>
      </c>
      <c r="O1173" s="6">
        <v>222000</v>
      </c>
      <c r="P1173" s="6" t="s">
        <v>76</v>
      </c>
      <c r="Q1173" s="6" t="s">
        <v>27</v>
      </c>
      <c r="R1173" s="6">
        <v>0</v>
      </c>
      <c r="S1173" s="6" t="s">
        <v>28</v>
      </c>
      <c r="T1173" s="7">
        <f t="shared" si="90"/>
        <v>0.51351689189189187</v>
      </c>
      <c r="U1173" s="6">
        <f t="shared" si="91"/>
        <v>6</v>
      </c>
      <c r="V1173" s="5" t="str">
        <f t="shared" si="92"/>
        <v>GOOD</v>
      </c>
      <c r="W1173" s="6" t="str">
        <f t="shared" si="93"/>
        <v>55+</v>
      </c>
      <c r="X1173" s="6" t="str">
        <f t="shared" si="94"/>
        <v>High</v>
      </c>
    </row>
    <row r="1174" spans="1:24">
      <c r="A1174" s="6" t="s">
        <v>469</v>
      </c>
      <c r="B1174" s="6" t="s">
        <v>2649</v>
      </c>
      <c r="C1174" s="6" t="s">
        <v>52</v>
      </c>
      <c r="D1174" s="6" t="s">
        <v>471</v>
      </c>
      <c r="E1174" s="6" t="s">
        <v>472</v>
      </c>
      <c r="F1174" s="6">
        <v>67</v>
      </c>
      <c r="G1174" s="6" t="s">
        <v>34</v>
      </c>
      <c r="H1174" s="6" t="s">
        <v>2650</v>
      </c>
      <c r="I1174" s="6" t="s">
        <v>4251</v>
      </c>
      <c r="J1174" s="8">
        <v>44673</v>
      </c>
      <c r="K1174" s="8">
        <v>45301</v>
      </c>
      <c r="L1174" s="6">
        <v>75300.800000000003</v>
      </c>
      <c r="M1174" s="6">
        <v>48400.6</v>
      </c>
      <c r="N1174" s="6">
        <v>715</v>
      </c>
      <c r="O1174" s="6">
        <v>121000</v>
      </c>
      <c r="P1174" s="6" t="s">
        <v>26</v>
      </c>
      <c r="Q1174" s="6" t="s">
        <v>27</v>
      </c>
      <c r="R1174" s="6">
        <v>0</v>
      </c>
      <c r="S1174" s="6" t="s">
        <v>28</v>
      </c>
      <c r="T1174" s="7">
        <f t="shared" si="90"/>
        <v>0.40000495867768593</v>
      </c>
      <c r="U1174" s="6">
        <f t="shared" si="91"/>
        <v>5</v>
      </c>
      <c r="V1174" s="5" t="str">
        <f t="shared" si="92"/>
        <v>GOOD</v>
      </c>
      <c r="W1174" s="6" t="str">
        <f t="shared" si="93"/>
        <v>55+</v>
      </c>
      <c r="X1174" s="6" t="str">
        <f t="shared" si="94"/>
        <v>Lower-Middle</v>
      </c>
    </row>
    <row r="1175" spans="1:24">
      <c r="A1175" s="6" t="s">
        <v>474</v>
      </c>
      <c r="B1175" s="6" t="s">
        <v>2651</v>
      </c>
      <c r="C1175" s="6" t="s">
        <v>46</v>
      </c>
      <c r="D1175" s="6" t="s">
        <v>345</v>
      </c>
      <c r="E1175" s="6" t="s">
        <v>346</v>
      </c>
      <c r="F1175" s="6">
        <v>70</v>
      </c>
      <c r="G1175" s="6" t="s">
        <v>24</v>
      </c>
      <c r="H1175" s="6" t="s">
        <v>2652</v>
      </c>
      <c r="I1175" s="6" t="s">
        <v>3875</v>
      </c>
      <c r="J1175" s="8">
        <v>44583</v>
      </c>
      <c r="K1175" s="8">
        <v>45302</v>
      </c>
      <c r="L1175" s="6">
        <v>103100.25</v>
      </c>
      <c r="M1175" s="6">
        <v>58400.4</v>
      </c>
      <c r="N1175" s="6">
        <v>680</v>
      </c>
      <c r="O1175" s="6">
        <v>150000</v>
      </c>
      <c r="P1175" s="6" t="s">
        <v>26</v>
      </c>
      <c r="Q1175" s="6" t="s">
        <v>27</v>
      </c>
      <c r="R1175" s="6">
        <v>0</v>
      </c>
      <c r="S1175" s="6" t="s">
        <v>28</v>
      </c>
      <c r="T1175" s="7">
        <f t="shared" si="90"/>
        <v>0.38933600000000002</v>
      </c>
      <c r="U1175" s="6">
        <f t="shared" si="91"/>
        <v>4</v>
      </c>
      <c r="V1175" s="5" t="str">
        <f t="shared" si="92"/>
        <v>GOOD</v>
      </c>
      <c r="W1175" s="6" t="str">
        <f t="shared" si="93"/>
        <v>55+</v>
      </c>
      <c r="X1175" s="6" t="str">
        <f t="shared" si="94"/>
        <v>Upper-Middle</v>
      </c>
    </row>
    <row r="1176" spans="1:24">
      <c r="A1176" s="6" t="s">
        <v>592</v>
      </c>
      <c r="B1176" s="6" t="s">
        <v>2653</v>
      </c>
      <c r="C1176" s="6" t="s">
        <v>84</v>
      </c>
      <c r="D1176" s="6" t="s">
        <v>32</v>
      </c>
      <c r="E1176" s="6" t="s">
        <v>90</v>
      </c>
      <c r="F1176" s="6">
        <v>50</v>
      </c>
      <c r="G1176" s="6" t="s">
        <v>34</v>
      </c>
      <c r="H1176" s="6" t="s">
        <v>2654</v>
      </c>
      <c r="I1176" s="6" t="s">
        <v>3667</v>
      </c>
      <c r="J1176" s="8">
        <v>45570</v>
      </c>
      <c r="K1176" s="8">
        <v>45304</v>
      </c>
      <c r="L1176" s="6">
        <v>4650.3999999999996</v>
      </c>
      <c r="M1176" s="6">
        <v>14600.75</v>
      </c>
      <c r="N1176" s="6">
        <v>610</v>
      </c>
      <c r="O1176" s="6">
        <v>46000</v>
      </c>
      <c r="P1176" s="6" t="s">
        <v>76</v>
      </c>
      <c r="Q1176" s="6" t="s">
        <v>43</v>
      </c>
      <c r="R1176" s="6">
        <v>0</v>
      </c>
      <c r="S1176" s="6" t="s">
        <v>28</v>
      </c>
      <c r="T1176" s="7">
        <f t="shared" si="90"/>
        <v>0.31740760869565215</v>
      </c>
      <c r="U1176" s="6">
        <f t="shared" si="91"/>
        <v>2</v>
      </c>
      <c r="V1176" s="5" t="str">
        <f t="shared" si="92"/>
        <v>FAIR</v>
      </c>
      <c r="W1176" s="6" t="str">
        <f t="shared" si="93"/>
        <v>45-54</v>
      </c>
      <c r="X1176" s="6" t="str">
        <f t="shared" si="94"/>
        <v>Low</v>
      </c>
    </row>
    <row r="1177" spans="1:24">
      <c r="A1177" s="6" t="s">
        <v>595</v>
      </c>
      <c r="B1177" s="6" t="s">
        <v>2655</v>
      </c>
      <c r="C1177" s="6" t="s">
        <v>21</v>
      </c>
      <c r="D1177" s="6" t="s">
        <v>209</v>
      </c>
      <c r="E1177" s="6" t="s">
        <v>210</v>
      </c>
      <c r="F1177" s="6">
        <v>82</v>
      </c>
      <c r="G1177" s="6" t="s">
        <v>24</v>
      </c>
      <c r="H1177" s="6" t="s">
        <v>2656</v>
      </c>
      <c r="I1177" s="6" t="s">
        <v>4072</v>
      </c>
      <c r="J1177" s="8">
        <v>43730</v>
      </c>
      <c r="K1177" s="8">
        <v>45299</v>
      </c>
      <c r="L1177" s="6">
        <v>290300.79999999999</v>
      </c>
      <c r="M1177" s="6">
        <v>105000.25</v>
      </c>
      <c r="N1177" s="6">
        <v>825</v>
      </c>
      <c r="O1177" s="6">
        <v>302000</v>
      </c>
      <c r="P1177" s="6" t="s">
        <v>36</v>
      </c>
      <c r="Q1177" s="6" t="s">
        <v>27</v>
      </c>
      <c r="R1177" s="6">
        <v>0</v>
      </c>
      <c r="S1177" s="6" t="s">
        <v>28</v>
      </c>
      <c r="T1177" s="7">
        <f t="shared" si="90"/>
        <v>0.34768294701986757</v>
      </c>
      <c r="U1177" s="6">
        <f t="shared" si="91"/>
        <v>7</v>
      </c>
      <c r="V1177" s="5" t="str">
        <f t="shared" si="92"/>
        <v>EXCEPTIONAL</v>
      </c>
      <c r="W1177" s="6" t="str">
        <f t="shared" si="93"/>
        <v>55+</v>
      </c>
      <c r="X1177" s="6" t="str">
        <f t="shared" si="94"/>
        <v>High</v>
      </c>
    </row>
    <row r="1178" spans="1:24">
      <c r="A1178" s="6" t="s">
        <v>226</v>
      </c>
      <c r="B1178" s="6" t="s">
        <v>2657</v>
      </c>
      <c r="C1178" s="6" t="s">
        <v>57</v>
      </c>
      <c r="D1178" s="6" t="s">
        <v>228</v>
      </c>
      <c r="E1178" s="6" t="s">
        <v>229</v>
      </c>
      <c r="F1178" s="6">
        <v>57</v>
      </c>
      <c r="G1178" s="6" t="s">
        <v>34</v>
      </c>
      <c r="H1178" s="6" t="s">
        <v>2658</v>
      </c>
      <c r="I1178" s="6" t="s">
        <v>4252</v>
      </c>
      <c r="J1178" s="8">
        <v>45465</v>
      </c>
      <c r="K1178" s="8">
        <v>45305</v>
      </c>
      <c r="L1178" s="6">
        <v>42000.75</v>
      </c>
      <c r="M1178" s="6">
        <v>16000.4</v>
      </c>
      <c r="N1178" s="6">
        <v>725</v>
      </c>
      <c r="O1178" s="6">
        <v>78000</v>
      </c>
      <c r="P1178" s="6" t="s">
        <v>36</v>
      </c>
      <c r="Q1178" s="6" t="s">
        <v>27</v>
      </c>
      <c r="R1178" s="6">
        <v>0</v>
      </c>
      <c r="S1178" s="6" t="s">
        <v>28</v>
      </c>
      <c r="T1178" s="7">
        <f t="shared" si="90"/>
        <v>0.20513333333333333</v>
      </c>
      <c r="U1178" s="6">
        <f t="shared" si="91"/>
        <v>1</v>
      </c>
      <c r="V1178" s="5" t="str">
        <f t="shared" si="92"/>
        <v>GOOD</v>
      </c>
      <c r="W1178" s="6" t="str">
        <f t="shared" si="93"/>
        <v>55+</v>
      </c>
      <c r="X1178" s="6" t="str">
        <f t="shared" si="94"/>
        <v>Lower-Middle</v>
      </c>
    </row>
    <row r="1179" spans="1:24">
      <c r="A1179" s="6" t="s">
        <v>488</v>
      </c>
      <c r="B1179" s="6" t="s">
        <v>2659</v>
      </c>
      <c r="C1179" s="6" t="s">
        <v>39</v>
      </c>
      <c r="D1179" s="6" t="s">
        <v>304</v>
      </c>
      <c r="E1179" s="6" t="s">
        <v>304</v>
      </c>
      <c r="F1179" s="6">
        <v>74</v>
      </c>
      <c r="G1179" s="6" t="s">
        <v>24</v>
      </c>
      <c r="H1179" s="6" t="s">
        <v>2660</v>
      </c>
      <c r="I1179" s="6" t="s">
        <v>4253</v>
      </c>
      <c r="J1179" s="8">
        <v>44208</v>
      </c>
      <c r="K1179" s="8">
        <v>45300</v>
      </c>
      <c r="L1179" s="6">
        <v>170500.6</v>
      </c>
      <c r="M1179" s="6">
        <v>105000.9</v>
      </c>
      <c r="N1179" s="6">
        <v>675</v>
      </c>
      <c r="O1179" s="6">
        <v>202000</v>
      </c>
      <c r="P1179" s="6" t="s">
        <v>76</v>
      </c>
      <c r="Q1179" s="6" t="s">
        <v>27</v>
      </c>
      <c r="R1179" s="6">
        <v>0</v>
      </c>
      <c r="S1179" s="6" t="s">
        <v>28</v>
      </c>
      <c r="T1179" s="7">
        <f t="shared" si="90"/>
        <v>0.51980643564356432</v>
      </c>
      <c r="U1179" s="6">
        <f t="shared" si="91"/>
        <v>6</v>
      </c>
      <c r="V1179" s="5" t="str">
        <f t="shared" si="92"/>
        <v>GOOD</v>
      </c>
      <c r="W1179" s="6" t="str">
        <f t="shared" si="93"/>
        <v>55+</v>
      </c>
      <c r="X1179" s="6" t="str">
        <f t="shared" si="94"/>
        <v>High</v>
      </c>
    </row>
    <row r="1180" spans="1:24">
      <c r="A1180" s="6" t="s">
        <v>491</v>
      </c>
      <c r="B1180" s="6" t="s">
        <v>2661</v>
      </c>
      <c r="C1180" s="6" t="s">
        <v>52</v>
      </c>
      <c r="D1180" s="6" t="s">
        <v>493</v>
      </c>
      <c r="E1180" s="6" t="s">
        <v>494</v>
      </c>
      <c r="F1180" s="6">
        <v>65</v>
      </c>
      <c r="G1180" s="6" t="s">
        <v>34</v>
      </c>
      <c r="H1180" s="6" t="s">
        <v>2662</v>
      </c>
      <c r="I1180" s="6" t="s">
        <v>4254</v>
      </c>
      <c r="J1180" s="8">
        <v>44979</v>
      </c>
      <c r="K1180" s="8">
        <v>45302</v>
      </c>
      <c r="L1180" s="6">
        <v>69500.399999999994</v>
      </c>
      <c r="M1180" s="6">
        <v>44200.25</v>
      </c>
      <c r="N1180" s="6">
        <v>705</v>
      </c>
      <c r="O1180" s="6">
        <v>110000</v>
      </c>
      <c r="P1180" s="6" t="s">
        <v>26</v>
      </c>
      <c r="Q1180" s="6" t="s">
        <v>27</v>
      </c>
      <c r="R1180" s="6">
        <v>0</v>
      </c>
      <c r="S1180" s="6" t="s">
        <v>28</v>
      </c>
      <c r="T1180" s="7">
        <f t="shared" si="90"/>
        <v>0.40182045454545456</v>
      </c>
      <c r="U1180" s="6">
        <f t="shared" si="91"/>
        <v>4</v>
      </c>
      <c r="V1180" s="5" t="str">
        <f t="shared" si="92"/>
        <v>GOOD</v>
      </c>
      <c r="W1180" s="6" t="str">
        <f t="shared" si="93"/>
        <v>55+</v>
      </c>
      <c r="X1180" s="6" t="str">
        <f t="shared" si="94"/>
        <v>Lower-Middle</v>
      </c>
    </row>
    <row r="1181" spans="1:24">
      <c r="A1181" s="6" t="s">
        <v>496</v>
      </c>
      <c r="B1181" s="6" t="s">
        <v>2663</v>
      </c>
      <c r="C1181" s="6" t="s">
        <v>46</v>
      </c>
      <c r="D1181" s="6" t="s">
        <v>321</v>
      </c>
      <c r="E1181" s="6" t="s">
        <v>322</v>
      </c>
      <c r="F1181" s="6">
        <v>68</v>
      </c>
      <c r="G1181" s="6" t="s">
        <v>24</v>
      </c>
      <c r="H1181" s="6" t="s">
        <v>2664</v>
      </c>
      <c r="I1181" s="6" t="s">
        <v>4255</v>
      </c>
      <c r="J1181" s="8">
        <v>44461</v>
      </c>
      <c r="K1181" s="8">
        <v>45301</v>
      </c>
      <c r="L1181" s="6">
        <v>115100.75</v>
      </c>
      <c r="M1181" s="6">
        <v>65300.800000000003</v>
      </c>
      <c r="N1181" s="6">
        <v>730</v>
      </c>
      <c r="O1181" s="6">
        <v>176000</v>
      </c>
      <c r="P1181" s="6" t="s">
        <v>26</v>
      </c>
      <c r="Q1181" s="6" t="s">
        <v>27</v>
      </c>
      <c r="R1181" s="6">
        <v>0</v>
      </c>
      <c r="S1181" s="6" t="s">
        <v>28</v>
      </c>
      <c r="T1181" s="7">
        <f t="shared" si="90"/>
        <v>0.37102727272727276</v>
      </c>
      <c r="U1181" s="6">
        <f t="shared" si="91"/>
        <v>5</v>
      </c>
      <c r="V1181" s="5" t="str">
        <f t="shared" si="92"/>
        <v>GOOD</v>
      </c>
      <c r="W1181" s="6" t="str">
        <f t="shared" si="93"/>
        <v>55+</v>
      </c>
      <c r="X1181" s="6" t="str">
        <f t="shared" si="94"/>
        <v>Upper-Middle</v>
      </c>
    </row>
    <row r="1182" spans="1:24">
      <c r="A1182" s="6" t="s">
        <v>324</v>
      </c>
      <c r="B1182" s="6" t="s">
        <v>2665</v>
      </c>
      <c r="C1182" s="6" t="s">
        <v>31</v>
      </c>
      <c r="D1182" s="6" t="s">
        <v>313</v>
      </c>
      <c r="E1182" s="6" t="s">
        <v>385</v>
      </c>
      <c r="F1182" s="6">
        <v>53</v>
      </c>
      <c r="G1182" s="6" t="s">
        <v>34</v>
      </c>
      <c r="H1182" s="6" t="s">
        <v>2666</v>
      </c>
      <c r="I1182" s="6" t="s">
        <v>4256</v>
      </c>
      <c r="J1182" s="8">
        <v>45563</v>
      </c>
      <c r="K1182" s="8">
        <v>45306</v>
      </c>
      <c r="L1182" s="6">
        <v>18600.900000000001</v>
      </c>
      <c r="M1182" s="6">
        <v>10700.75</v>
      </c>
      <c r="N1182" s="6">
        <v>685</v>
      </c>
      <c r="O1182" s="6">
        <v>63000</v>
      </c>
      <c r="P1182" s="6" t="s">
        <v>26</v>
      </c>
      <c r="Q1182" s="6" t="s">
        <v>43</v>
      </c>
      <c r="R1182" s="6">
        <v>0</v>
      </c>
      <c r="S1182" s="6" t="s">
        <v>28</v>
      </c>
      <c r="T1182" s="7">
        <f t="shared" si="90"/>
        <v>0.16985317460317462</v>
      </c>
      <c r="U1182" s="6">
        <f t="shared" si="91"/>
        <v>0</v>
      </c>
      <c r="V1182" s="5" t="str">
        <f t="shared" si="92"/>
        <v>GOOD</v>
      </c>
      <c r="W1182" s="6" t="str">
        <f t="shared" si="93"/>
        <v>45-54</v>
      </c>
      <c r="X1182" s="6" t="str">
        <f t="shared" si="94"/>
        <v>Low</v>
      </c>
    </row>
    <row r="1183" spans="1:24">
      <c r="A1183" s="6" t="s">
        <v>503</v>
      </c>
      <c r="B1183" s="6" t="s">
        <v>2667</v>
      </c>
      <c r="C1183" s="6" t="s">
        <v>21</v>
      </c>
      <c r="D1183" s="6" t="s">
        <v>32</v>
      </c>
      <c r="E1183" s="6" t="s">
        <v>33</v>
      </c>
      <c r="F1183" s="6">
        <v>85</v>
      </c>
      <c r="G1183" s="6" t="s">
        <v>24</v>
      </c>
      <c r="H1183" s="6" t="s">
        <v>2668</v>
      </c>
      <c r="I1183" s="6" t="s">
        <v>3881</v>
      </c>
      <c r="J1183" s="8">
        <v>43456</v>
      </c>
      <c r="K1183" s="8">
        <v>45299</v>
      </c>
      <c r="L1183" s="6">
        <v>301200.25</v>
      </c>
      <c r="M1183" s="6">
        <v>109000.4</v>
      </c>
      <c r="N1183" s="6">
        <v>840</v>
      </c>
      <c r="O1183" s="6">
        <v>317000</v>
      </c>
      <c r="P1183" s="6" t="s">
        <v>36</v>
      </c>
      <c r="Q1183" s="6" t="s">
        <v>27</v>
      </c>
      <c r="R1183" s="6">
        <v>0</v>
      </c>
      <c r="S1183" s="6" t="s">
        <v>28</v>
      </c>
      <c r="T1183" s="7">
        <f t="shared" si="90"/>
        <v>0.34384984227129334</v>
      </c>
      <c r="U1183" s="6">
        <f t="shared" si="91"/>
        <v>7</v>
      </c>
      <c r="V1183" s="5" t="str">
        <f t="shared" si="92"/>
        <v>EXCEPTIONAL</v>
      </c>
      <c r="W1183" s="6" t="str">
        <f t="shared" si="93"/>
        <v>55+</v>
      </c>
      <c r="X1183" s="6" t="str">
        <f t="shared" si="94"/>
        <v>High</v>
      </c>
    </row>
    <row r="1184" spans="1:24">
      <c r="A1184" s="6" t="s">
        <v>506</v>
      </c>
      <c r="B1184" s="6" t="s">
        <v>2669</v>
      </c>
      <c r="C1184" s="6" t="s">
        <v>39</v>
      </c>
      <c r="D1184" s="6" t="s">
        <v>68</v>
      </c>
      <c r="E1184" s="6" t="s">
        <v>69</v>
      </c>
      <c r="F1184" s="6">
        <v>77</v>
      </c>
      <c r="G1184" s="6" t="s">
        <v>34</v>
      </c>
      <c r="H1184" s="6" t="s">
        <v>2670</v>
      </c>
      <c r="I1184" s="6" t="s">
        <v>4233</v>
      </c>
      <c r="J1184" s="8">
        <v>43973</v>
      </c>
      <c r="K1184" s="8">
        <v>45300</v>
      </c>
      <c r="L1184" s="6">
        <v>181600.4</v>
      </c>
      <c r="M1184" s="6">
        <v>109000.75</v>
      </c>
      <c r="N1184" s="6">
        <v>650</v>
      </c>
      <c r="O1184" s="6">
        <v>212000</v>
      </c>
      <c r="P1184" s="6" t="s">
        <v>76</v>
      </c>
      <c r="Q1184" s="6" t="s">
        <v>27</v>
      </c>
      <c r="R1184" s="6">
        <v>0</v>
      </c>
      <c r="S1184" s="6" t="s">
        <v>28</v>
      </c>
      <c r="T1184" s="7">
        <f t="shared" si="90"/>
        <v>0.51415448113207551</v>
      </c>
      <c r="U1184" s="6">
        <f t="shared" si="91"/>
        <v>6</v>
      </c>
      <c r="V1184" s="5" t="str">
        <f t="shared" si="92"/>
        <v>FAIR</v>
      </c>
      <c r="W1184" s="6" t="str">
        <f t="shared" si="93"/>
        <v>55+</v>
      </c>
      <c r="X1184" s="6" t="str">
        <f t="shared" si="94"/>
        <v>High</v>
      </c>
    </row>
    <row r="1185" spans="1:24">
      <c r="A1185" s="6" t="s">
        <v>509</v>
      </c>
      <c r="B1185" s="6" t="s">
        <v>2671</v>
      </c>
      <c r="C1185" s="6" t="s">
        <v>46</v>
      </c>
      <c r="D1185" s="6" t="s">
        <v>73</v>
      </c>
      <c r="E1185" s="6" t="s">
        <v>74</v>
      </c>
      <c r="F1185" s="6">
        <v>64</v>
      </c>
      <c r="G1185" s="6" t="s">
        <v>24</v>
      </c>
      <c r="H1185" s="6" t="s">
        <v>2672</v>
      </c>
      <c r="I1185" s="6" t="s">
        <v>4257</v>
      </c>
      <c r="J1185" s="8">
        <v>45191</v>
      </c>
      <c r="K1185" s="8">
        <v>45303</v>
      </c>
      <c r="L1185" s="6">
        <v>103900.4</v>
      </c>
      <c r="M1185" s="6">
        <v>59500.25</v>
      </c>
      <c r="N1185" s="6">
        <v>745</v>
      </c>
      <c r="O1185" s="6">
        <v>156000</v>
      </c>
      <c r="P1185" s="6" t="s">
        <v>26</v>
      </c>
      <c r="Q1185" s="6" t="s">
        <v>27</v>
      </c>
      <c r="R1185" s="6">
        <v>0</v>
      </c>
      <c r="S1185" s="6" t="s">
        <v>28</v>
      </c>
      <c r="T1185" s="7">
        <f t="shared" si="90"/>
        <v>0.38141185897435897</v>
      </c>
      <c r="U1185" s="6">
        <f t="shared" si="91"/>
        <v>3</v>
      </c>
      <c r="V1185" s="5" t="str">
        <f t="shared" si="92"/>
        <v>GOOD</v>
      </c>
      <c r="W1185" s="6" t="str">
        <f t="shared" si="93"/>
        <v>55+</v>
      </c>
      <c r="X1185" s="6" t="str">
        <f t="shared" si="94"/>
        <v>Upper-Middle</v>
      </c>
    </row>
    <row r="1186" spans="1:24">
      <c r="A1186" s="6" t="s">
        <v>513</v>
      </c>
      <c r="B1186" s="6" t="s">
        <v>2673</v>
      </c>
      <c r="C1186" s="6" t="s">
        <v>57</v>
      </c>
      <c r="D1186" s="6" t="s">
        <v>58</v>
      </c>
      <c r="E1186" s="6" t="s">
        <v>122</v>
      </c>
      <c r="F1186" s="6">
        <v>59</v>
      </c>
      <c r="G1186" s="6" t="s">
        <v>34</v>
      </c>
      <c r="H1186" s="6" t="s">
        <v>2674</v>
      </c>
      <c r="I1186" s="6" t="s">
        <v>3883</v>
      </c>
      <c r="J1186" s="8">
        <v>45373</v>
      </c>
      <c r="K1186" s="8">
        <v>45302</v>
      </c>
      <c r="L1186" s="6">
        <v>44200.800000000003</v>
      </c>
      <c r="M1186" s="6">
        <v>17200.900000000001</v>
      </c>
      <c r="N1186" s="6">
        <v>765</v>
      </c>
      <c r="O1186" s="6">
        <v>88000</v>
      </c>
      <c r="P1186" s="6" t="s">
        <v>36</v>
      </c>
      <c r="Q1186" s="6" t="s">
        <v>27</v>
      </c>
      <c r="R1186" s="6">
        <v>0</v>
      </c>
      <c r="S1186" s="6" t="s">
        <v>28</v>
      </c>
      <c r="T1186" s="7">
        <f t="shared" si="90"/>
        <v>0.19546477272727275</v>
      </c>
      <c r="U1186" s="6">
        <f t="shared" si="91"/>
        <v>4</v>
      </c>
      <c r="V1186" s="5" t="str">
        <f t="shared" si="92"/>
        <v>VERY GOOD</v>
      </c>
      <c r="W1186" s="6" t="str">
        <f t="shared" si="93"/>
        <v>55+</v>
      </c>
      <c r="X1186" s="6" t="str">
        <f t="shared" si="94"/>
        <v>Lower-Middle</v>
      </c>
    </row>
    <row r="1187" spans="1:24">
      <c r="A1187" s="6" t="s">
        <v>516</v>
      </c>
      <c r="B1187" s="6" t="s">
        <v>2675</v>
      </c>
      <c r="C1187" s="6" t="s">
        <v>52</v>
      </c>
      <c r="D1187" s="6" t="s">
        <v>277</v>
      </c>
      <c r="E1187" s="6" t="s">
        <v>404</v>
      </c>
      <c r="F1187" s="6">
        <v>72</v>
      </c>
      <c r="G1187" s="6" t="s">
        <v>24</v>
      </c>
      <c r="H1187" s="6" t="s">
        <v>2676</v>
      </c>
      <c r="I1187" s="6" t="s">
        <v>3911</v>
      </c>
      <c r="J1187" s="8">
        <v>44642</v>
      </c>
      <c r="K1187" s="8">
        <v>45301</v>
      </c>
      <c r="L1187" s="6">
        <v>77500.75</v>
      </c>
      <c r="M1187" s="6">
        <v>50600.4</v>
      </c>
      <c r="N1187" s="6">
        <v>675</v>
      </c>
      <c r="O1187" s="6">
        <v>128000</v>
      </c>
      <c r="P1187" s="6" t="s">
        <v>26</v>
      </c>
      <c r="Q1187" s="6" t="s">
        <v>27</v>
      </c>
      <c r="R1187" s="6">
        <v>0</v>
      </c>
      <c r="S1187" s="6" t="s">
        <v>28</v>
      </c>
      <c r="T1187" s="7">
        <f t="shared" si="90"/>
        <v>0.395315625</v>
      </c>
      <c r="U1187" s="6">
        <f t="shared" si="91"/>
        <v>5</v>
      </c>
      <c r="V1187" s="5" t="str">
        <f t="shared" si="92"/>
        <v>GOOD</v>
      </c>
      <c r="W1187" s="6" t="str">
        <f t="shared" si="93"/>
        <v>55+</v>
      </c>
      <c r="X1187" s="6" t="str">
        <f t="shared" si="94"/>
        <v>Upper-Middle</v>
      </c>
    </row>
    <row r="1188" spans="1:24">
      <c r="A1188" s="6" t="s">
        <v>519</v>
      </c>
      <c r="B1188" s="6" t="s">
        <v>2677</v>
      </c>
      <c r="C1188" s="6" t="s">
        <v>84</v>
      </c>
      <c r="D1188" s="6" t="s">
        <v>183</v>
      </c>
      <c r="E1188" s="6" t="s">
        <v>184</v>
      </c>
      <c r="F1188" s="6">
        <v>51</v>
      </c>
      <c r="G1188" s="6" t="s">
        <v>34</v>
      </c>
      <c r="H1188" s="6" t="s">
        <v>2678</v>
      </c>
      <c r="I1188" s="6" t="s">
        <v>3546</v>
      </c>
      <c r="J1188" s="8">
        <v>45577</v>
      </c>
      <c r="K1188" s="8">
        <v>45304</v>
      </c>
      <c r="L1188" s="6">
        <v>4900.25</v>
      </c>
      <c r="M1188" s="6">
        <v>15800.6</v>
      </c>
      <c r="N1188" s="6">
        <v>615</v>
      </c>
      <c r="O1188" s="6">
        <v>48000</v>
      </c>
      <c r="P1188" s="6" t="s">
        <v>76</v>
      </c>
      <c r="Q1188" s="6" t="s">
        <v>43</v>
      </c>
      <c r="R1188" s="6">
        <v>0</v>
      </c>
      <c r="S1188" s="6" t="s">
        <v>28</v>
      </c>
      <c r="T1188" s="7">
        <f t="shared" si="90"/>
        <v>0.32917916666666669</v>
      </c>
      <c r="U1188" s="6">
        <f t="shared" si="91"/>
        <v>2</v>
      </c>
      <c r="V1188" s="5" t="str">
        <f t="shared" si="92"/>
        <v>FAIR</v>
      </c>
      <c r="W1188" s="6" t="str">
        <f t="shared" si="93"/>
        <v>45-54</v>
      </c>
      <c r="X1188" s="6" t="str">
        <f t="shared" si="94"/>
        <v>Low</v>
      </c>
    </row>
    <row r="1189" spans="1:24">
      <c r="A1189" s="6" t="s">
        <v>522</v>
      </c>
      <c r="B1189" s="6" t="s">
        <v>2679</v>
      </c>
      <c r="C1189" s="6" t="s">
        <v>39</v>
      </c>
      <c r="D1189" s="6" t="s">
        <v>40</v>
      </c>
      <c r="E1189" s="6" t="s">
        <v>41</v>
      </c>
      <c r="F1189" s="6">
        <v>79</v>
      </c>
      <c r="G1189" s="6" t="s">
        <v>24</v>
      </c>
      <c r="H1189" s="6" t="s">
        <v>2680</v>
      </c>
      <c r="I1189" s="6" t="s">
        <v>3510</v>
      </c>
      <c r="J1189" s="8">
        <v>43943</v>
      </c>
      <c r="K1189" s="8">
        <v>45299</v>
      </c>
      <c r="L1189" s="6">
        <v>216200.8</v>
      </c>
      <c r="M1189" s="6">
        <v>122000.25</v>
      </c>
      <c r="N1189" s="6">
        <v>660</v>
      </c>
      <c r="O1189" s="6">
        <v>247000</v>
      </c>
      <c r="P1189" s="6" t="s">
        <v>76</v>
      </c>
      <c r="Q1189" s="6" t="s">
        <v>27</v>
      </c>
      <c r="R1189" s="6">
        <v>0</v>
      </c>
      <c r="S1189" s="6" t="s">
        <v>28</v>
      </c>
      <c r="T1189" s="7">
        <f t="shared" si="90"/>
        <v>0.49392813765182186</v>
      </c>
      <c r="U1189" s="6">
        <f t="shared" si="91"/>
        <v>7</v>
      </c>
      <c r="V1189" s="5" t="str">
        <f t="shared" si="92"/>
        <v>FAIR</v>
      </c>
      <c r="W1189" s="6" t="str">
        <f t="shared" si="93"/>
        <v>55+</v>
      </c>
      <c r="X1189" s="6" t="str">
        <f t="shared" si="94"/>
        <v>High</v>
      </c>
    </row>
    <row r="1190" spans="1:24">
      <c r="A1190" s="6" t="s">
        <v>306</v>
      </c>
      <c r="B1190" s="6" t="s">
        <v>2681</v>
      </c>
      <c r="C1190" s="6" t="s">
        <v>46</v>
      </c>
      <c r="D1190" s="6" t="s">
        <v>209</v>
      </c>
      <c r="E1190" s="6" t="s">
        <v>447</v>
      </c>
      <c r="F1190" s="6">
        <v>66</v>
      </c>
      <c r="G1190" s="6" t="s">
        <v>34</v>
      </c>
      <c r="H1190" s="6" t="s">
        <v>2682</v>
      </c>
      <c r="I1190" s="6" t="s">
        <v>4258</v>
      </c>
      <c r="J1190" s="8">
        <v>44795</v>
      </c>
      <c r="K1190" s="8">
        <v>45302</v>
      </c>
      <c r="L1190" s="6">
        <v>98600.9</v>
      </c>
      <c r="M1190" s="6">
        <v>56400.75</v>
      </c>
      <c r="N1190" s="6">
        <v>730</v>
      </c>
      <c r="O1190" s="6">
        <v>151000</v>
      </c>
      <c r="P1190" s="6" t="s">
        <v>26</v>
      </c>
      <c r="Q1190" s="6" t="s">
        <v>27</v>
      </c>
      <c r="R1190" s="6">
        <v>0</v>
      </c>
      <c r="S1190" s="6" t="s">
        <v>28</v>
      </c>
      <c r="T1190" s="7">
        <f t="shared" si="90"/>
        <v>0.37351490066225168</v>
      </c>
      <c r="U1190" s="6">
        <f t="shared" si="91"/>
        <v>4</v>
      </c>
      <c r="V1190" s="5" t="str">
        <f t="shared" si="92"/>
        <v>GOOD</v>
      </c>
      <c r="W1190" s="6" t="str">
        <f t="shared" si="93"/>
        <v>55+</v>
      </c>
      <c r="X1190" s="6" t="str">
        <f t="shared" si="94"/>
        <v>Upper-Middle</v>
      </c>
    </row>
    <row r="1191" spans="1:24">
      <c r="A1191" s="6" t="s">
        <v>527</v>
      </c>
      <c r="B1191" s="6" t="s">
        <v>2683</v>
      </c>
      <c r="C1191" s="6" t="s">
        <v>31</v>
      </c>
      <c r="D1191" s="6" t="s">
        <v>32</v>
      </c>
      <c r="E1191" s="6" t="s">
        <v>90</v>
      </c>
      <c r="F1191" s="6">
        <v>55</v>
      </c>
      <c r="G1191" s="6" t="s">
        <v>34</v>
      </c>
      <c r="H1191" s="6" t="s">
        <v>2684</v>
      </c>
      <c r="I1191" s="6" t="s">
        <v>3578</v>
      </c>
      <c r="J1191" s="8">
        <v>45573</v>
      </c>
      <c r="K1191" s="8">
        <v>45305</v>
      </c>
      <c r="L1191" s="6">
        <v>19700.400000000001</v>
      </c>
      <c r="M1191" s="6">
        <v>10800.25</v>
      </c>
      <c r="N1191" s="6">
        <v>705</v>
      </c>
      <c r="O1191" s="6">
        <v>65000</v>
      </c>
      <c r="P1191" s="6" t="s">
        <v>26</v>
      </c>
      <c r="Q1191" s="6" t="s">
        <v>43</v>
      </c>
      <c r="R1191" s="6">
        <v>0</v>
      </c>
      <c r="S1191" s="6" t="s">
        <v>28</v>
      </c>
      <c r="T1191" s="7">
        <f t="shared" si="90"/>
        <v>0.16615769230769231</v>
      </c>
      <c r="U1191" s="6">
        <f t="shared" si="91"/>
        <v>1</v>
      </c>
      <c r="V1191" s="5" t="str">
        <f t="shared" si="92"/>
        <v>GOOD</v>
      </c>
      <c r="W1191" s="6" t="str">
        <f t="shared" si="93"/>
        <v>55+</v>
      </c>
      <c r="X1191" s="6" t="str">
        <f t="shared" si="94"/>
        <v>Low</v>
      </c>
    </row>
    <row r="1192" spans="1:24">
      <c r="A1192" s="6" t="s">
        <v>530</v>
      </c>
      <c r="B1192" s="6" t="s">
        <v>2685</v>
      </c>
      <c r="C1192" s="6" t="s">
        <v>57</v>
      </c>
      <c r="D1192" s="6" t="s">
        <v>219</v>
      </c>
      <c r="E1192" s="6" t="s">
        <v>220</v>
      </c>
      <c r="F1192" s="6">
        <v>60</v>
      </c>
      <c r="G1192" s="6" t="s">
        <v>24</v>
      </c>
      <c r="H1192" s="6" t="s">
        <v>2686</v>
      </c>
      <c r="I1192" s="6" t="s">
        <v>4259</v>
      </c>
      <c r="J1192" s="8">
        <v>45344</v>
      </c>
      <c r="K1192" s="8">
        <v>45303</v>
      </c>
      <c r="L1192" s="6">
        <v>43100.6</v>
      </c>
      <c r="M1192" s="6">
        <v>16600.8</v>
      </c>
      <c r="N1192" s="6">
        <v>710</v>
      </c>
      <c r="O1192" s="6">
        <v>81000</v>
      </c>
      <c r="P1192" s="6" t="s">
        <v>36</v>
      </c>
      <c r="Q1192" s="6" t="s">
        <v>27</v>
      </c>
      <c r="R1192" s="6">
        <v>0</v>
      </c>
      <c r="S1192" s="6" t="s">
        <v>28</v>
      </c>
      <c r="T1192" s="7">
        <f t="shared" si="90"/>
        <v>0.20494814814814813</v>
      </c>
      <c r="U1192" s="6">
        <f t="shared" si="91"/>
        <v>3</v>
      </c>
      <c r="V1192" s="5" t="str">
        <f t="shared" si="92"/>
        <v>GOOD</v>
      </c>
      <c r="W1192" s="6" t="str">
        <f t="shared" si="93"/>
        <v>55+</v>
      </c>
      <c r="X1192" s="6" t="str">
        <f t="shared" si="94"/>
        <v>Lower-Middle</v>
      </c>
    </row>
    <row r="1193" spans="1:24">
      <c r="A1193" s="6" t="s">
        <v>533</v>
      </c>
      <c r="B1193" s="6" t="s">
        <v>2687</v>
      </c>
      <c r="C1193" s="6" t="s">
        <v>52</v>
      </c>
      <c r="D1193" s="6" t="s">
        <v>204</v>
      </c>
      <c r="E1193" s="6" t="s">
        <v>259</v>
      </c>
      <c r="F1193" s="6">
        <v>67</v>
      </c>
      <c r="G1193" s="6" t="s">
        <v>34</v>
      </c>
      <c r="H1193" s="6" t="s">
        <v>2688</v>
      </c>
      <c r="I1193" s="6" t="s">
        <v>3563</v>
      </c>
      <c r="J1193" s="8">
        <v>44642</v>
      </c>
      <c r="K1193" s="8">
        <v>45301</v>
      </c>
      <c r="L1193" s="6">
        <v>74400.25</v>
      </c>
      <c r="M1193" s="6">
        <v>47500.9</v>
      </c>
      <c r="N1193" s="6">
        <v>695</v>
      </c>
      <c r="O1193" s="6">
        <v>116000</v>
      </c>
      <c r="P1193" s="6" t="s">
        <v>26</v>
      </c>
      <c r="Q1193" s="6" t="s">
        <v>27</v>
      </c>
      <c r="R1193" s="6">
        <v>0</v>
      </c>
      <c r="S1193" s="6" t="s">
        <v>28</v>
      </c>
      <c r="T1193" s="7">
        <f t="shared" si="90"/>
        <v>0.4094905172413793</v>
      </c>
      <c r="U1193" s="6">
        <f t="shared" si="91"/>
        <v>5</v>
      </c>
      <c r="V1193" s="5" t="str">
        <f t="shared" si="92"/>
        <v>GOOD</v>
      </c>
      <c r="W1193" s="6" t="str">
        <f t="shared" si="93"/>
        <v>55+</v>
      </c>
      <c r="X1193" s="6" t="str">
        <f t="shared" si="94"/>
        <v>Lower-Middle</v>
      </c>
    </row>
    <row r="1194" spans="1:24">
      <c r="A1194" s="6" t="s">
        <v>536</v>
      </c>
      <c r="B1194" s="6" t="s">
        <v>2689</v>
      </c>
      <c r="C1194" s="6" t="s">
        <v>39</v>
      </c>
      <c r="D1194" s="6" t="s">
        <v>195</v>
      </c>
      <c r="E1194" s="6" t="s">
        <v>300</v>
      </c>
      <c r="F1194" s="6">
        <v>75</v>
      </c>
      <c r="G1194" s="6" t="s">
        <v>24</v>
      </c>
      <c r="H1194" s="6" t="s">
        <v>2690</v>
      </c>
      <c r="I1194" s="6" t="s">
        <v>4260</v>
      </c>
      <c r="J1194" s="8">
        <v>44096</v>
      </c>
      <c r="K1194" s="8">
        <v>45300</v>
      </c>
      <c r="L1194" s="6">
        <v>148400.4</v>
      </c>
      <c r="M1194" s="6">
        <v>96000.6</v>
      </c>
      <c r="N1194" s="6">
        <v>670</v>
      </c>
      <c r="O1194" s="6">
        <v>183000</v>
      </c>
      <c r="P1194" s="6" t="s">
        <v>76</v>
      </c>
      <c r="Q1194" s="6" t="s">
        <v>27</v>
      </c>
      <c r="R1194" s="6">
        <v>0</v>
      </c>
      <c r="S1194" s="6" t="s">
        <v>28</v>
      </c>
      <c r="T1194" s="7">
        <f t="shared" si="90"/>
        <v>0.52459344262295082</v>
      </c>
      <c r="U1194" s="6">
        <f t="shared" si="91"/>
        <v>6</v>
      </c>
      <c r="V1194" s="5" t="str">
        <f t="shared" si="92"/>
        <v>GOOD</v>
      </c>
      <c r="W1194" s="6" t="str">
        <f t="shared" si="93"/>
        <v>55+</v>
      </c>
      <c r="X1194" s="6" t="str">
        <f t="shared" si="94"/>
        <v>Upper-Middle</v>
      </c>
    </row>
    <row r="1195" spans="1:24">
      <c r="A1195" s="6" t="s">
        <v>539</v>
      </c>
      <c r="B1195" s="6" t="s">
        <v>2691</v>
      </c>
      <c r="C1195" s="6" t="s">
        <v>21</v>
      </c>
      <c r="D1195" s="6" t="s">
        <v>58</v>
      </c>
      <c r="E1195" s="6" t="s">
        <v>59</v>
      </c>
      <c r="F1195" s="6">
        <v>83</v>
      </c>
      <c r="G1195" s="6" t="s">
        <v>34</v>
      </c>
      <c r="H1195" s="6" t="s">
        <v>2692</v>
      </c>
      <c r="I1195" s="6" t="s">
        <v>3888</v>
      </c>
      <c r="J1195" s="8">
        <v>43668</v>
      </c>
      <c r="K1195" s="8">
        <v>45299</v>
      </c>
      <c r="L1195" s="6">
        <v>315300.75</v>
      </c>
      <c r="M1195" s="6">
        <v>113000.8</v>
      </c>
      <c r="N1195" s="6">
        <v>835</v>
      </c>
      <c r="O1195" s="6">
        <v>328000</v>
      </c>
      <c r="P1195" s="6" t="s">
        <v>36</v>
      </c>
      <c r="Q1195" s="6" t="s">
        <v>27</v>
      </c>
      <c r="R1195" s="6">
        <v>0</v>
      </c>
      <c r="S1195" s="6" t="s">
        <v>28</v>
      </c>
      <c r="T1195" s="7">
        <f t="shared" si="90"/>
        <v>0.34451463414634148</v>
      </c>
      <c r="U1195" s="6">
        <f t="shared" si="91"/>
        <v>7</v>
      </c>
      <c r="V1195" s="5" t="str">
        <f t="shared" si="92"/>
        <v>EXCEPTIONAL</v>
      </c>
      <c r="W1195" s="6" t="str">
        <f t="shared" si="93"/>
        <v>55+</v>
      </c>
      <c r="X1195" s="6" t="str">
        <f t="shared" si="94"/>
        <v>High</v>
      </c>
    </row>
    <row r="1196" spans="1:24">
      <c r="A1196" s="6" t="s">
        <v>542</v>
      </c>
      <c r="B1196" s="6" t="s">
        <v>2693</v>
      </c>
      <c r="C1196" s="6" t="s">
        <v>52</v>
      </c>
      <c r="D1196" s="6" t="s">
        <v>68</v>
      </c>
      <c r="E1196" s="6" t="s">
        <v>179</v>
      </c>
      <c r="F1196" s="6">
        <v>70</v>
      </c>
      <c r="G1196" s="6" t="s">
        <v>34</v>
      </c>
      <c r="H1196" s="6" t="s">
        <v>2694</v>
      </c>
      <c r="I1196" s="6" t="s">
        <v>4249</v>
      </c>
      <c r="J1196" s="8">
        <v>44614</v>
      </c>
      <c r="K1196" s="8">
        <v>45302</v>
      </c>
      <c r="L1196" s="6">
        <v>83100.600000000006</v>
      </c>
      <c r="M1196" s="6">
        <v>53100.25</v>
      </c>
      <c r="N1196" s="6">
        <v>665</v>
      </c>
      <c r="O1196" s="6">
        <v>136000</v>
      </c>
      <c r="P1196" s="6" t="s">
        <v>26</v>
      </c>
      <c r="Q1196" s="6" t="s">
        <v>27</v>
      </c>
      <c r="R1196" s="6">
        <v>0</v>
      </c>
      <c r="S1196" s="6" t="s">
        <v>28</v>
      </c>
      <c r="T1196" s="7">
        <f t="shared" si="90"/>
        <v>0.39044301470588233</v>
      </c>
      <c r="U1196" s="6">
        <f t="shared" si="91"/>
        <v>4</v>
      </c>
      <c r="V1196" s="5" t="str">
        <f t="shared" si="92"/>
        <v>FAIR</v>
      </c>
      <c r="W1196" s="6" t="str">
        <f t="shared" si="93"/>
        <v>55+</v>
      </c>
      <c r="X1196" s="6" t="str">
        <f t="shared" si="94"/>
        <v>Upper-Middle</v>
      </c>
    </row>
    <row r="1197" spans="1:24">
      <c r="A1197" s="6" t="s">
        <v>545</v>
      </c>
      <c r="B1197" s="6" t="s">
        <v>2695</v>
      </c>
      <c r="C1197" s="6" t="s">
        <v>46</v>
      </c>
      <c r="D1197" s="6" t="s">
        <v>241</v>
      </c>
      <c r="E1197" s="6" t="s">
        <v>389</v>
      </c>
      <c r="F1197" s="6">
        <v>62</v>
      </c>
      <c r="G1197" s="6" t="s">
        <v>24</v>
      </c>
      <c r="H1197" s="6" t="s">
        <v>2696</v>
      </c>
      <c r="I1197" s="6" t="s">
        <v>4261</v>
      </c>
      <c r="J1197" s="8">
        <v>45252</v>
      </c>
      <c r="K1197" s="8">
        <v>45303</v>
      </c>
      <c r="L1197" s="6">
        <v>106400.8</v>
      </c>
      <c r="M1197" s="6">
        <v>60600.4</v>
      </c>
      <c r="N1197" s="6">
        <v>750</v>
      </c>
      <c r="O1197" s="6">
        <v>162000</v>
      </c>
      <c r="P1197" s="6" t="s">
        <v>26</v>
      </c>
      <c r="Q1197" s="6" t="s">
        <v>27</v>
      </c>
      <c r="R1197" s="6">
        <v>0</v>
      </c>
      <c r="S1197" s="6" t="s">
        <v>28</v>
      </c>
      <c r="T1197" s="7">
        <f t="shared" si="90"/>
        <v>0.37407654320987654</v>
      </c>
      <c r="U1197" s="6">
        <f t="shared" si="91"/>
        <v>3</v>
      </c>
      <c r="V1197" s="5" t="str">
        <f t="shared" si="92"/>
        <v>VERY GOOD</v>
      </c>
      <c r="W1197" s="6" t="str">
        <f t="shared" si="93"/>
        <v>55+</v>
      </c>
      <c r="X1197" s="6" t="str">
        <f t="shared" si="94"/>
        <v>Upper-Middle</v>
      </c>
    </row>
    <row r="1198" spans="1:24">
      <c r="A1198" s="6" t="s">
        <v>548</v>
      </c>
      <c r="B1198" s="6" t="s">
        <v>2697</v>
      </c>
      <c r="C1198" s="6" t="s">
        <v>57</v>
      </c>
      <c r="D1198" s="6" t="s">
        <v>22</v>
      </c>
      <c r="E1198" s="6" t="s">
        <v>381</v>
      </c>
      <c r="F1198" s="6">
        <v>58</v>
      </c>
      <c r="G1198" s="6" t="s">
        <v>34</v>
      </c>
      <c r="H1198" s="6" t="s">
        <v>2698</v>
      </c>
      <c r="I1198" s="6" t="s">
        <v>3941</v>
      </c>
      <c r="J1198" s="8">
        <v>45434</v>
      </c>
      <c r="K1198" s="8">
        <v>45305</v>
      </c>
      <c r="L1198" s="6">
        <v>45300.9</v>
      </c>
      <c r="M1198" s="6">
        <v>17600.75</v>
      </c>
      <c r="N1198" s="6">
        <v>770</v>
      </c>
      <c r="O1198" s="6">
        <v>93000</v>
      </c>
      <c r="P1198" s="6" t="s">
        <v>36</v>
      </c>
      <c r="Q1198" s="6" t="s">
        <v>27</v>
      </c>
      <c r="R1198" s="6">
        <v>0</v>
      </c>
      <c r="S1198" s="6" t="s">
        <v>28</v>
      </c>
      <c r="T1198" s="7">
        <f t="shared" si="90"/>
        <v>0.18925537634408601</v>
      </c>
      <c r="U1198" s="6">
        <f t="shared" si="91"/>
        <v>1</v>
      </c>
      <c r="V1198" s="5" t="str">
        <f t="shared" si="92"/>
        <v>VERY GOOD</v>
      </c>
      <c r="W1198" s="6" t="str">
        <f t="shared" si="93"/>
        <v>55+</v>
      </c>
      <c r="X1198" s="6" t="str">
        <f t="shared" si="94"/>
        <v>Lower-Middle</v>
      </c>
    </row>
    <row r="1199" spans="1:24">
      <c r="A1199" s="6" t="s">
        <v>551</v>
      </c>
      <c r="B1199" s="6" t="s">
        <v>2699</v>
      </c>
      <c r="C1199" s="6" t="s">
        <v>39</v>
      </c>
      <c r="D1199" s="6" t="s">
        <v>313</v>
      </c>
      <c r="E1199" s="6" t="s">
        <v>501</v>
      </c>
      <c r="F1199" s="6">
        <v>81</v>
      </c>
      <c r="G1199" s="6" t="s">
        <v>24</v>
      </c>
      <c r="H1199" s="6" t="s">
        <v>2700</v>
      </c>
      <c r="I1199" s="6" t="s">
        <v>4262</v>
      </c>
      <c r="J1199" s="8">
        <v>43852</v>
      </c>
      <c r="K1199" s="8">
        <v>45299</v>
      </c>
      <c r="L1199" s="6">
        <v>201500.25</v>
      </c>
      <c r="M1199" s="6">
        <v>117000.8</v>
      </c>
      <c r="N1199" s="6">
        <v>645</v>
      </c>
      <c r="O1199" s="6">
        <v>233000</v>
      </c>
      <c r="P1199" s="6" t="s">
        <v>76</v>
      </c>
      <c r="Q1199" s="6" t="s">
        <v>27</v>
      </c>
      <c r="R1199" s="6">
        <v>0</v>
      </c>
      <c r="S1199" s="6" t="s">
        <v>28</v>
      </c>
      <c r="T1199" s="7">
        <f t="shared" si="90"/>
        <v>0.50214935622317602</v>
      </c>
      <c r="U1199" s="6">
        <f t="shared" si="91"/>
        <v>7</v>
      </c>
      <c r="V1199" s="5" t="str">
        <f t="shared" si="92"/>
        <v>FAIR</v>
      </c>
      <c r="W1199" s="6" t="str">
        <f t="shared" si="93"/>
        <v>55+</v>
      </c>
      <c r="X1199" s="6" t="str">
        <f t="shared" si="94"/>
        <v>High</v>
      </c>
    </row>
    <row r="1200" spans="1:24">
      <c r="A1200" s="6" t="s">
        <v>554</v>
      </c>
      <c r="B1200" s="6" t="s">
        <v>2701</v>
      </c>
      <c r="C1200" s="6" t="s">
        <v>31</v>
      </c>
      <c r="D1200" s="6" t="s">
        <v>214</v>
      </c>
      <c r="E1200" s="6" t="s">
        <v>483</v>
      </c>
      <c r="F1200" s="6">
        <v>54</v>
      </c>
      <c r="G1200" s="6" t="s">
        <v>34</v>
      </c>
      <c r="H1200" s="6" t="s">
        <v>2702</v>
      </c>
      <c r="I1200" s="6" t="s">
        <v>4263</v>
      </c>
      <c r="J1200" s="8">
        <v>45577</v>
      </c>
      <c r="K1200" s="8">
        <v>45306</v>
      </c>
      <c r="L1200" s="6">
        <v>38200.5</v>
      </c>
      <c r="M1200" s="6">
        <v>17200.400000000001</v>
      </c>
      <c r="N1200" s="6">
        <v>720</v>
      </c>
      <c r="O1200" s="6">
        <v>70000</v>
      </c>
      <c r="P1200" s="6" t="s">
        <v>36</v>
      </c>
      <c r="Q1200" s="6" t="s">
        <v>27</v>
      </c>
      <c r="R1200" s="6">
        <v>0</v>
      </c>
      <c r="S1200" s="6" t="s">
        <v>28</v>
      </c>
      <c r="T1200" s="7">
        <f t="shared" si="90"/>
        <v>0.24572000000000002</v>
      </c>
      <c r="U1200" s="6">
        <f t="shared" si="91"/>
        <v>0</v>
      </c>
      <c r="V1200" s="5" t="str">
        <f t="shared" si="92"/>
        <v>GOOD</v>
      </c>
      <c r="W1200" s="6" t="str">
        <f t="shared" si="93"/>
        <v>45-54</v>
      </c>
      <c r="X1200" s="6" t="str">
        <f t="shared" si="94"/>
        <v>Low</v>
      </c>
    </row>
    <row r="1201" spans="1:24">
      <c r="A1201" s="6" t="s">
        <v>108</v>
      </c>
      <c r="B1201" s="6" t="s">
        <v>2703</v>
      </c>
      <c r="C1201" s="6" t="s">
        <v>84</v>
      </c>
      <c r="D1201" s="6" t="s">
        <v>32</v>
      </c>
      <c r="E1201" s="6" t="s">
        <v>33</v>
      </c>
      <c r="F1201" s="6">
        <v>50</v>
      </c>
      <c r="G1201" s="6" t="s">
        <v>24</v>
      </c>
      <c r="H1201" s="6" t="s">
        <v>2704</v>
      </c>
      <c r="I1201" s="6" t="s">
        <v>3578</v>
      </c>
      <c r="J1201" s="8">
        <v>45580</v>
      </c>
      <c r="K1201" s="8">
        <v>45304</v>
      </c>
      <c r="L1201" s="6">
        <v>4650.8</v>
      </c>
      <c r="M1201" s="6">
        <v>14200.25</v>
      </c>
      <c r="N1201" s="6">
        <v>605</v>
      </c>
      <c r="O1201" s="6">
        <v>46000</v>
      </c>
      <c r="P1201" s="6" t="s">
        <v>76</v>
      </c>
      <c r="Q1201" s="6" t="s">
        <v>43</v>
      </c>
      <c r="R1201" s="6">
        <v>0</v>
      </c>
      <c r="S1201" s="6" t="s">
        <v>28</v>
      </c>
      <c r="T1201" s="7">
        <f t="shared" si="90"/>
        <v>0.30870108695652176</v>
      </c>
      <c r="U1201" s="6">
        <f t="shared" si="91"/>
        <v>2</v>
      </c>
      <c r="V1201" s="5" t="str">
        <f t="shared" si="92"/>
        <v>FAIR</v>
      </c>
      <c r="W1201" s="6" t="str">
        <f t="shared" si="93"/>
        <v>45-54</v>
      </c>
      <c r="X1201" s="6" t="str">
        <f t="shared" si="94"/>
        <v>Low</v>
      </c>
    </row>
    <row r="1202" spans="1:24">
      <c r="A1202" s="6" t="s">
        <v>559</v>
      </c>
      <c r="B1202" s="6" t="s">
        <v>2705</v>
      </c>
      <c r="C1202" s="6" t="s">
        <v>46</v>
      </c>
      <c r="D1202" s="6" t="s">
        <v>254</v>
      </c>
      <c r="E1202" s="6" t="s">
        <v>255</v>
      </c>
      <c r="F1202" s="6">
        <v>64</v>
      </c>
      <c r="G1202" s="6" t="s">
        <v>34</v>
      </c>
      <c r="H1202" s="6" t="s">
        <v>2706</v>
      </c>
      <c r="I1202" s="6" t="s">
        <v>4264</v>
      </c>
      <c r="J1202" s="8">
        <v>45129</v>
      </c>
      <c r="K1202" s="8">
        <v>45302</v>
      </c>
      <c r="L1202" s="6">
        <v>93100.4</v>
      </c>
      <c r="M1202" s="6">
        <v>55300.75</v>
      </c>
      <c r="N1202" s="6">
        <v>710</v>
      </c>
      <c r="O1202" s="6">
        <v>144000</v>
      </c>
      <c r="P1202" s="6" t="s">
        <v>26</v>
      </c>
      <c r="Q1202" s="6" t="s">
        <v>27</v>
      </c>
      <c r="R1202" s="6">
        <v>0</v>
      </c>
      <c r="S1202" s="6" t="s">
        <v>28</v>
      </c>
      <c r="T1202" s="7">
        <f t="shared" si="90"/>
        <v>0.38403298611111109</v>
      </c>
      <c r="U1202" s="6">
        <f t="shared" si="91"/>
        <v>4</v>
      </c>
      <c r="V1202" s="5" t="str">
        <f t="shared" si="92"/>
        <v>GOOD</v>
      </c>
      <c r="W1202" s="6" t="str">
        <f t="shared" si="93"/>
        <v>55+</v>
      </c>
      <c r="X1202" s="6" t="str">
        <f t="shared" si="94"/>
        <v>Upper-Middle</v>
      </c>
    </row>
    <row r="1203" spans="1:24">
      <c r="A1203" s="6" t="s">
        <v>562</v>
      </c>
      <c r="B1203" s="6" t="s">
        <v>2707</v>
      </c>
      <c r="C1203" s="6" t="s">
        <v>39</v>
      </c>
      <c r="D1203" s="6" t="s">
        <v>47</v>
      </c>
      <c r="E1203" s="6" t="s">
        <v>48</v>
      </c>
      <c r="F1203" s="6">
        <v>78</v>
      </c>
      <c r="G1203" s="6" t="s">
        <v>24</v>
      </c>
      <c r="H1203" s="6" t="s">
        <v>2708</v>
      </c>
      <c r="I1203" s="6" t="s">
        <v>3894</v>
      </c>
      <c r="J1203" s="8">
        <v>44004</v>
      </c>
      <c r="K1203" s="8">
        <v>45300</v>
      </c>
      <c r="L1203" s="6">
        <v>181700.6</v>
      </c>
      <c r="M1203" s="6">
        <v>110000.25</v>
      </c>
      <c r="N1203" s="6">
        <v>675</v>
      </c>
      <c r="O1203" s="6">
        <v>213000</v>
      </c>
      <c r="P1203" s="6" t="s">
        <v>76</v>
      </c>
      <c r="Q1203" s="6" t="s">
        <v>27</v>
      </c>
      <c r="R1203" s="6">
        <v>0</v>
      </c>
      <c r="S1203" s="6" t="s">
        <v>28</v>
      </c>
      <c r="T1203" s="7">
        <f t="shared" si="90"/>
        <v>0.51643309859154929</v>
      </c>
      <c r="U1203" s="6">
        <f t="shared" si="91"/>
        <v>6</v>
      </c>
      <c r="V1203" s="5" t="str">
        <f t="shared" si="92"/>
        <v>GOOD</v>
      </c>
      <c r="W1203" s="6" t="str">
        <f t="shared" si="93"/>
        <v>55+</v>
      </c>
      <c r="X1203" s="6" t="str">
        <f t="shared" si="94"/>
        <v>High</v>
      </c>
    </row>
    <row r="1204" spans="1:24">
      <c r="A1204" s="6" t="s">
        <v>565</v>
      </c>
      <c r="B1204" s="6" t="s">
        <v>2709</v>
      </c>
      <c r="C1204" s="6" t="s">
        <v>52</v>
      </c>
      <c r="D1204" s="6" t="s">
        <v>233</v>
      </c>
      <c r="E1204" s="6" t="s">
        <v>296</v>
      </c>
      <c r="F1204" s="6">
        <v>63</v>
      </c>
      <c r="G1204" s="6" t="s">
        <v>34</v>
      </c>
      <c r="H1204" s="6" t="s">
        <v>2710</v>
      </c>
      <c r="I1204" s="6" t="s">
        <v>3590</v>
      </c>
      <c r="J1204" s="8">
        <v>44917</v>
      </c>
      <c r="K1204" s="8">
        <v>45301</v>
      </c>
      <c r="L1204" s="6">
        <v>69500.75</v>
      </c>
      <c r="M1204" s="6">
        <v>46400.800000000003</v>
      </c>
      <c r="N1204" s="6">
        <v>725</v>
      </c>
      <c r="O1204" s="6">
        <v>110000</v>
      </c>
      <c r="P1204" s="6" t="s">
        <v>26</v>
      </c>
      <c r="Q1204" s="6" t="s">
        <v>27</v>
      </c>
      <c r="R1204" s="6">
        <v>0</v>
      </c>
      <c r="S1204" s="6" t="s">
        <v>28</v>
      </c>
      <c r="T1204" s="7">
        <f t="shared" si="90"/>
        <v>0.42182545454545456</v>
      </c>
      <c r="U1204" s="6">
        <f t="shared" si="91"/>
        <v>5</v>
      </c>
      <c r="V1204" s="5" t="str">
        <f t="shared" si="92"/>
        <v>GOOD</v>
      </c>
      <c r="W1204" s="6" t="str">
        <f t="shared" si="93"/>
        <v>55+</v>
      </c>
      <c r="X1204" s="6" t="str">
        <f t="shared" si="94"/>
        <v>Lower-Middle</v>
      </c>
    </row>
    <row r="1205" spans="1:24">
      <c r="A1205" s="6" t="s">
        <v>568</v>
      </c>
      <c r="B1205" s="6" t="s">
        <v>2711</v>
      </c>
      <c r="C1205" s="6" t="s">
        <v>57</v>
      </c>
      <c r="D1205" s="6" t="s">
        <v>79</v>
      </c>
      <c r="E1205" s="6" t="s">
        <v>102</v>
      </c>
      <c r="F1205" s="6">
        <v>61</v>
      </c>
      <c r="G1205" s="6" t="s">
        <v>24</v>
      </c>
      <c r="H1205" s="6" t="s">
        <v>2712</v>
      </c>
      <c r="I1205" s="6" t="s">
        <v>3895</v>
      </c>
      <c r="J1205" s="8">
        <v>45373</v>
      </c>
      <c r="K1205" s="8">
        <v>45303</v>
      </c>
      <c r="L1205" s="6">
        <v>47500.4</v>
      </c>
      <c r="M1205" s="6">
        <v>18400.900000000001</v>
      </c>
      <c r="N1205" s="6">
        <v>740</v>
      </c>
      <c r="O1205" s="6">
        <v>96000</v>
      </c>
      <c r="P1205" s="6" t="s">
        <v>36</v>
      </c>
      <c r="Q1205" s="6" t="s">
        <v>27</v>
      </c>
      <c r="R1205" s="6">
        <v>0</v>
      </c>
      <c r="S1205" s="6" t="s">
        <v>28</v>
      </c>
      <c r="T1205" s="7">
        <f t="shared" si="90"/>
        <v>0.19167604166666669</v>
      </c>
      <c r="U1205" s="6">
        <f t="shared" si="91"/>
        <v>3</v>
      </c>
      <c r="V1205" s="5" t="str">
        <f t="shared" si="92"/>
        <v>GOOD</v>
      </c>
      <c r="W1205" s="6" t="str">
        <f t="shared" si="93"/>
        <v>55+</v>
      </c>
      <c r="X1205" s="6" t="str">
        <f t="shared" si="94"/>
        <v>Lower-Middle</v>
      </c>
    </row>
    <row r="1206" spans="1:24">
      <c r="A1206" s="6" t="s">
        <v>571</v>
      </c>
      <c r="B1206" s="6" t="s">
        <v>2713</v>
      </c>
      <c r="C1206" s="6" t="s">
        <v>21</v>
      </c>
      <c r="D1206" s="6" t="s">
        <v>63</v>
      </c>
      <c r="E1206" s="6" t="s">
        <v>106</v>
      </c>
      <c r="F1206" s="6">
        <v>84</v>
      </c>
      <c r="G1206" s="6" t="s">
        <v>34</v>
      </c>
      <c r="H1206" s="6" t="s">
        <v>2714</v>
      </c>
      <c r="I1206" s="6" t="s">
        <v>4265</v>
      </c>
      <c r="J1206" s="8">
        <v>43546</v>
      </c>
      <c r="K1206" s="8">
        <v>45299</v>
      </c>
      <c r="L1206" s="6">
        <v>270600.90000000002</v>
      </c>
      <c r="M1206" s="6">
        <v>100000.6</v>
      </c>
      <c r="N1206" s="6">
        <v>830</v>
      </c>
      <c r="O1206" s="6">
        <v>308000</v>
      </c>
      <c r="P1206" s="6" t="s">
        <v>36</v>
      </c>
      <c r="Q1206" s="6" t="s">
        <v>27</v>
      </c>
      <c r="R1206" s="6">
        <v>0</v>
      </c>
      <c r="S1206" s="6" t="s">
        <v>28</v>
      </c>
      <c r="T1206" s="7">
        <f t="shared" si="90"/>
        <v>0.32467727272727276</v>
      </c>
      <c r="U1206" s="6">
        <f t="shared" si="91"/>
        <v>7</v>
      </c>
      <c r="V1206" s="5" t="str">
        <f t="shared" si="92"/>
        <v>EXCEPTIONAL</v>
      </c>
      <c r="W1206" s="6" t="str">
        <f t="shared" si="93"/>
        <v>55+</v>
      </c>
      <c r="X1206" s="6" t="str">
        <f t="shared" si="94"/>
        <v>High</v>
      </c>
    </row>
    <row r="1207" spans="1:24">
      <c r="A1207" s="6" t="s">
        <v>574</v>
      </c>
      <c r="B1207" s="6" t="s">
        <v>2715</v>
      </c>
      <c r="C1207" s="6" t="s">
        <v>39</v>
      </c>
      <c r="D1207" s="6" t="s">
        <v>68</v>
      </c>
      <c r="E1207" s="6" t="s">
        <v>114</v>
      </c>
      <c r="F1207" s="6">
        <v>76</v>
      </c>
      <c r="G1207" s="6" t="s">
        <v>24</v>
      </c>
      <c r="H1207" s="6" t="s">
        <v>2716</v>
      </c>
      <c r="I1207" s="6" t="s">
        <v>4266</v>
      </c>
      <c r="J1207" s="8">
        <v>44147</v>
      </c>
      <c r="K1207" s="8">
        <v>45300</v>
      </c>
      <c r="L1207" s="6">
        <v>159500.25</v>
      </c>
      <c r="M1207" s="6">
        <v>102000.4</v>
      </c>
      <c r="N1207" s="6">
        <v>655</v>
      </c>
      <c r="O1207" s="6">
        <v>198000</v>
      </c>
      <c r="P1207" s="6" t="s">
        <v>76</v>
      </c>
      <c r="Q1207" s="6" t="s">
        <v>27</v>
      </c>
      <c r="R1207" s="6">
        <v>0</v>
      </c>
      <c r="S1207" s="6" t="s">
        <v>28</v>
      </c>
      <c r="T1207" s="7">
        <f t="shared" si="90"/>
        <v>0.51515353535353536</v>
      </c>
      <c r="U1207" s="6">
        <f t="shared" si="91"/>
        <v>6</v>
      </c>
      <c r="V1207" s="5" t="str">
        <f t="shared" si="92"/>
        <v>FAIR</v>
      </c>
      <c r="W1207" s="6" t="str">
        <f t="shared" si="93"/>
        <v>55+</v>
      </c>
      <c r="X1207" s="6" t="str">
        <f t="shared" si="94"/>
        <v>High</v>
      </c>
    </row>
    <row r="1208" spans="1:24">
      <c r="A1208" s="6" t="s">
        <v>577</v>
      </c>
      <c r="B1208" s="6" t="s">
        <v>2717</v>
      </c>
      <c r="C1208" s="6" t="s">
        <v>46</v>
      </c>
      <c r="D1208" s="6" t="s">
        <v>85</v>
      </c>
      <c r="E1208" s="6" t="s">
        <v>130</v>
      </c>
      <c r="F1208" s="6">
        <v>65</v>
      </c>
      <c r="G1208" s="6" t="s">
        <v>34</v>
      </c>
      <c r="H1208" s="6" t="s">
        <v>2718</v>
      </c>
      <c r="I1208" s="6" t="s">
        <v>3870</v>
      </c>
      <c r="J1208" s="8">
        <v>45038</v>
      </c>
      <c r="K1208" s="8">
        <v>45302</v>
      </c>
      <c r="L1208" s="6">
        <v>112000.6</v>
      </c>
      <c r="M1208" s="6">
        <v>63300.75</v>
      </c>
      <c r="N1208" s="6">
        <v>760</v>
      </c>
      <c r="O1208" s="6">
        <v>167000</v>
      </c>
      <c r="P1208" s="6" t="s">
        <v>26</v>
      </c>
      <c r="Q1208" s="6" t="s">
        <v>27</v>
      </c>
      <c r="R1208" s="6">
        <v>0</v>
      </c>
      <c r="S1208" s="6" t="s">
        <v>28</v>
      </c>
      <c r="T1208" s="7">
        <f t="shared" si="90"/>
        <v>0.37904640718562876</v>
      </c>
      <c r="U1208" s="6">
        <f t="shared" si="91"/>
        <v>4</v>
      </c>
      <c r="V1208" s="5" t="str">
        <f t="shared" si="92"/>
        <v>VERY GOOD</v>
      </c>
      <c r="W1208" s="6" t="str">
        <f t="shared" si="93"/>
        <v>55+</v>
      </c>
      <c r="X1208" s="6" t="str">
        <f t="shared" si="94"/>
        <v>Upper-Middle</v>
      </c>
    </row>
    <row r="1209" spans="1:24">
      <c r="A1209" s="6" t="s">
        <v>458</v>
      </c>
      <c r="B1209" s="6" t="s">
        <v>2719</v>
      </c>
      <c r="C1209" s="6" t="s">
        <v>31</v>
      </c>
      <c r="D1209" s="6" t="s">
        <v>460</v>
      </c>
      <c r="E1209" s="6" t="s">
        <v>663</v>
      </c>
      <c r="F1209" s="6">
        <v>56</v>
      </c>
      <c r="G1209" s="6" t="s">
        <v>24</v>
      </c>
      <c r="H1209" s="6" t="s">
        <v>2720</v>
      </c>
      <c r="I1209" s="6" t="s">
        <v>4267</v>
      </c>
      <c r="J1209" s="8">
        <v>45573</v>
      </c>
      <c r="K1209" s="8">
        <v>45306</v>
      </c>
      <c r="L1209" s="6">
        <v>22400.25</v>
      </c>
      <c r="M1209" s="6">
        <v>13300.8</v>
      </c>
      <c r="N1209" s="6">
        <v>695</v>
      </c>
      <c r="O1209" s="6">
        <v>67000</v>
      </c>
      <c r="P1209" s="6" t="s">
        <v>26</v>
      </c>
      <c r="Q1209" s="6" t="s">
        <v>43</v>
      </c>
      <c r="R1209" s="6">
        <v>0</v>
      </c>
      <c r="S1209" s="6" t="s">
        <v>28</v>
      </c>
      <c r="T1209" s="7">
        <f t="shared" si="90"/>
        <v>0.19851940298507462</v>
      </c>
      <c r="U1209" s="6">
        <f t="shared" si="91"/>
        <v>0</v>
      </c>
      <c r="V1209" s="5" t="str">
        <f t="shared" si="92"/>
        <v>GOOD</v>
      </c>
      <c r="W1209" s="6" t="str">
        <f t="shared" si="93"/>
        <v>55+</v>
      </c>
      <c r="X1209" s="6" t="str">
        <f t="shared" si="94"/>
        <v>Low</v>
      </c>
    </row>
    <row r="1210" spans="1:24">
      <c r="A1210" s="6" t="s">
        <v>582</v>
      </c>
      <c r="B1210" s="6" t="s">
        <v>2721</v>
      </c>
      <c r="C1210" s="6" t="s">
        <v>57</v>
      </c>
      <c r="D1210" s="6" t="s">
        <v>22</v>
      </c>
      <c r="E1210" s="6" t="s">
        <v>23</v>
      </c>
      <c r="F1210" s="6">
        <v>59</v>
      </c>
      <c r="G1210" s="6" t="s">
        <v>34</v>
      </c>
      <c r="H1210" s="6" t="s">
        <v>2722</v>
      </c>
      <c r="I1210" s="6" t="s">
        <v>3990</v>
      </c>
      <c r="J1210" s="8">
        <v>45313</v>
      </c>
      <c r="K1210" s="8">
        <v>45303</v>
      </c>
      <c r="L1210" s="6">
        <v>46400.9</v>
      </c>
      <c r="M1210" s="6">
        <v>18000.25</v>
      </c>
      <c r="N1210" s="6">
        <v>755</v>
      </c>
      <c r="O1210" s="6">
        <v>89000</v>
      </c>
      <c r="P1210" s="6" t="s">
        <v>36</v>
      </c>
      <c r="Q1210" s="6" t="s">
        <v>27</v>
      </c>
      <c r="R1210" s="6">
        <v>0</v>
      </c>
      <c r="S1210" s="6" t="s">
        <v>28</v>
      </c>
      <c r="T1210" s="7">
        <f t="shared" si="90"/>
        <v>0.20225000000000001</v>
      </c>
      <c r="U1210" s="6">
        <f t="shared" si="91"/>
        <v>3</v>
      </c>
      <c r="V1210" s="5" t="str">
        <f t="shared" si="92"/>
        <v>VERY GOOD</v>
      </c>
      <c r="W1210" s="6" t="str">
        <f t="shared" si="93"/>
        <v>55+</v>
      </c>
      <c r="X1210" s="6" t="str">
        <f t="shared" si="94"/>
        <v>Lower-Middle</v>
      </c>
    </row>
    <row r="1211" spans="1:24">
      <c r="A1211" s="6" t="s">
        <v>55</v>
      </c>
      <c r="B1211" s="6" t="s">
        <v>2723</v>
      </c>
      <c r="C1211" s="6" t="s">
        <v>39</v>
      </c>
      <c r="D1211" s="6" t="s">
        <v>58</v>
      </c>
      <c r="E1211" s="6" t="s">
        <v>122</v>
      </c>
      <c r="F1211" s="6">
        <v>77</v>
      </c>
      <c r="G1211" s="6" t="s">
        <v>24</v>
      </c>
      <c r="H1211" s="6" t="s">
        <v>2724</v>
      </c>
      <c r="I1211" s="6" t="s">
        <v>3617</v>
      </c>
      <c r="J1211" s="8">
        <v>44065</v>
      </c>
      <c r="K1211" s="8">
        <v>45300</v>
      </c>
      <c r="L1211" s="6">
        <v>192400.4</v>
      </c>
      <c r="M1211" s="6">
        <v>115000.75</v>
      </c>
      <c r="N1211" s="6">
        <v>685</v>
      </c>
      <c r="O1211" s="6">
        <v>223000</v>
      </c>
      <c r="P1211" s="6" t="s">
        <v>76</v>
      </c>
      <c r="Q1211" s="6" t="s">
        <v>27</v>
      </c>
      <c r="R1211" s="6">
        <v>0</v>
      </c>
      <c r="S1211" s="6" t="s">
        <v>28</v>
      </c>
      <c r="T1211" s="7">
        <f t="shared" si="90"/>
        <v>0.51569843049327357</v>
      </c>
      <c r="U1211" s="6">
        <f t="shared" si="91"/>
        <v>6</v>
      </c>
      <c r="V1211" s="5" t="str">
        <f t="shared" si="92"/>
        <v>GOOD</v>
      </c>
      <c r="W1211" s="6" t="str">
        <f t="shared" si="93"/>
        <v>55+</v>
      </c>
      <c r="X1211" s="6" t="str">
        <f t="shared" si="94"/>
        <v>High</v>
      </c>
    </row>
    <row r="1212" spans="1:24">
      <c r="A1212" s="6" t="s">
        <v>469</v>
      </c>
      <c r="B1212" s="6" t="s">
        <v>2725</v>
      </c>
      <c r="C1212" s="6" t="s">
        <v>52</v>
      </c>
      <c r="D1212" s="6" t="s">
        <v>471</v>
      </c>
      <c r="E1212" s="6" t="s">
        <v>472</v>
      </c>
      <c r="F1212" s="6">
        <v>68</v>
      </c>
      <c r="G1212" s="6" t="s">
        <v>34</v>
      </c>
      <c r="H1212" s="6" t="s">
        <v>2726</v>
      </c>
      <c r="I1212" s="6" t="s">
        <v>4268</v>
      </c>
      <c r="J1212" s="8">
        <v>44703</v>
      </c>
      <c r="K1212" s="8">
        <v>45301</v>
      </c>
      <c r="L1212" s="6">
        <v>76400.800000000003</v>
      </c>
      <c r="M1212" s="6">
        <v>49500.6</v>
      </c>
      <c r="N1212" s="6">
        <v>715</v>
      </c>
      <c r="O1212" s="6">
        <v>122000</v>
      </c>
      <c r="P1212" s="6" t="s">
        <v>26</v>
      </c>
      <c r="Q1212" s="6" t="s">
        <v>27</v>
      </c>
      <c r="R1212" s="6">
        <v>0</v>
      </c>
      <c r="S1212" s="6" t="s">
        <v>28</v>
      </c>
      <c r="T1212" s="7">
        <f t="shared" si="90"/>
        <v>0.40574262295081964</v>
      </c>
      <c r="U1212" s="6">
        <f t="shared" si="91"/>
        <v>5</v>
      </c>
      <c r="V1212" s="5" t="str">
        <f t="shared" si="92"/>
        <v>GOOD</v>
      </c>
      <c r="W1212" s="6" t="str">
        <f t="shared" si="93"/>
        <v>55+</v>
      </c>
      <c r="X1212" s="6" t="str">
        <f t="shared" si="94"/>
        <v>Lower-Middle</v>
      </c>
    </row>
    <row r="1213" spans="1:24">
      <c r="A1213" s="6" t="s">
        <v>474</v>
      </c>
      <c r="B1213" s="6" t="s">
        <v>2727</v>
      </c>
      <c r="C1213" s="6" t="s">
        <v>46</v>
      </c>
      <c r="D1213" s="6" t="s">
        <v>345</v>
      </c>
      <c r="E1213" s="6" t="s">
        <v>476</v>
      </c>
      <c r="F1213" s="6">
        <v>71</v>
      </c>
      <c r="G1213" s="6" t="s">
        <v>24</v>
      </c>
      <c r="H1213" s="6" t="s">
        <v>2728</v>
      </c>
      <c r="I1213" s="6" t="s">
        <v>3902</v>
      </c>
      <c r="J1213" s="8">
        <v>44614</v>
      </c>
      <c r="K1213" s="8">
        <v>45302</v>
      </c>
      <c r="L1213" s="6">
        <v>104200.25</v>
      </c>
      <c r="M1213" s="6">
        <v>59500.4</v>
      </c>
      <c r="N1213" s="6">
        <v>680</v>
      </c>
      <c r="O1213" s="6">
        <v>151000</v>
      </c>
      <c r="P1213" s="6" t="s">
        <v>26</v>
      </c>
      <c r="Q1213" s="6" t="s">
        <v>27</v>
      </c>
      <c r="R1213" s="6">
        <v>0</v>
      </c>
      <c r="S1213" s="6" t="s">
        <v>28</v>
      </c>
      <c r="T1213" s="7">
        <f t="shared" si="90"/>
        <v>0.39404238410596026</v>
      </c>
      <c r="U1213" s="6">
        <f t="shared" si="91"/>
        <v>4</v>
      </c>
      <c r="V1213" s="5" t="str">
        <f t="shared" si="92"/>
        <v>GOOD</v>
      </c>
      <c r="W1213" s="6" t="str">
        <f t="shared" si="93"/>
        <v>55+</v>
      </c>
      <c r="X1213" s="6" t="str">
        <f t="shared" si="94"/>
        <v>Upper-Middle</v>
      </c>
    </row>
    <row r="1214" spans="1:24">
      <c r="A1214" s="6" t="s">
        <v>592</v>
      </c>
      <c r="B1214" s="6" t="s">
        <v>2729</v>
      </c>
      <c r="C1214" s="6" t="s">
        <v>84</v>
      </c>
      <c r="D1214" s="6" t="s">
        <v>32</v>
      </c>
      <c r="E1214" s="6" t="s">
        <v>90</v>
      </c>
      <c r="F1214" s="6">
        <v>51</v>
      </c>
      <c r="G1214" s="6" t="s">
        <v>34</v>
      </c>
      <c r="H1214" s="6" t="s">
        <v>2730</v>
      </c>
      <c r="I1214" s="6" t="s">
        <v>3644</v>
      </c>
      <c r="J1214" s="8">
        <v>45587</v>
      </c>
      <c r="K1214" s="8">
        <v>45304</v>
      </c>
      <c r="L1214" s="6">
        <v>4750.3999999999996</v>
      </c>
      <c r="M1214" s="6">
        <v>14800.75</v>
      </c>
      <c r="N1214" s="6">
        <v>610</v>
      </c>
      <c r="O1214" s="6">
        <v>47000</v>
      </c>
      <c r="P1214" s="6" t="s">
        <v>76</v>
      </c>
      <c r="Q1214" s="6" t="s">
        <v>43</v>
      </c>
      <c r="R1214" s="6">
        <v>0</v>
      </c>
      <c r="S1214" s="6" t="s">
        <v>28</v>
      </c>
      <c r="T1214" s="7">
        <f t="shared" si="90"/>
        <v>0.3149095744680851</v>
      </c>
      <c r="U1214" s="6">
        <f t="shared" si="91"/>
        <v>2</v>
      </c>
      <c r="V1214" s="5" t="str">
        <f t="shared" si="92"/>
        <v>FAIR</v>
      </c>
      <c r="W1214" s="6" t="str">
        <f t="shared" si="93"/>
        <v>45-54</v>
      </c>
      <c r="X1214" s="6" t="str">
        <f t="shared" si="94"/>
        <v>Low</v>
      </c>
    </row>
    <row r="1215" spans="1:24">
      <c r="A1215" s="6" t="s">
        <v>595</v>
      </c>
      <c r="B1215" s="6" t="s">
        <v>2731</v>
      </c>
      <c r="C1215" s="6" t="s">
        <v>21</v>
      </c>
      <c r="D1215" s="6" t="s">
        <v>209</v>
      </c>
      <c r="E1215" s="6" t="s">
        <v>210</v>
      </c>
      <c r="F1215" s="6">
        <v>83</v>
      </c>
      <c r="G1215" s="6" t="s">
        <v>24</v>
      </c>
      <c r="H1215" s="6" t="s">
        <v>2732</v>
      </c>
      <c r="I1215" s="6" t="s">
        <v>4100</v>
      </c>
      <c r="J1215" s="8">
        <v>43760</v>
      </c>
      <c r="K1215" s="8">
        <v>45299</v>
      </c>
      <c r="L1215" s="6">
        <v>290400.8</v>
      </c>
      <c r="M1215" s="6">
        <v>106000.25</v>
      </c>
      <c r="N1215" s="6">
        <v>825</v>
      </c>
      <c r="O1215" s="6">
        <v>303000</v>
      </c>
      <c r="P1215" s="6" t="s">
        <v>36</v>
      </c>
      <c r="Q1215" s="6" t="s">
        <v>27</v>
      </c>
      <c r="R1215" s="6">
        <v>0</v>
      </c>
      <c r="S1215" s="6" t="s">
        <v>28</v>
      </c>
      <c r="T1215" s="7">
        <f t="shared" si="90"/>
        <v>0.34983580858085811</v>
      </c>
      <c r="U1215" s="6">
        <f t="shared" si="91"/>
        <v>7</v>
      </c>
      <c r="V1215" s="5" t="str">
        <f t="shared" si="92"/>
        <v>EXCEPTIONAL</v>
      </c>
      <c r="W1215" s="6" t="str">
        <f t="shared" si="93"/>
        <v>55+</v>
      </c>
      <c r="X1215" s="6" t="str">
        <f t="shared" si="94"/>
        <v>High</v>
      </c>
    </row>
    <row r="1216" spans="1:24">
      <c r="A1216" s="6" t="s">
        <v>226</v>
      </c>
      <c r="B1216" s="6" t="s">
        <v>2733</v>
      </c>
      <c r="C1216" s="6" t="s">
        <v>57</v>
      </c>
      <c r="D1216" s="6" t="s">
        <v>228</v>
      </c>
      <c r="E1216" s="6" t="s">
        <v>678</v>
      </c>
      <c r="F1216" s="6">
        <v>58</v>
      </c>
      <c r="G1216" s="6" t="s">
        <v>34</v>
      </c>
      <c r="H1216" s="6" t="s">
        <v>2734</v>
      </c>
      <c r="I1216" s="6" t="s">
        <v>4269</v>
      </c>
      <c r="J1216" s="8">
        <v>45495</v>
      </c>
      <c r="K1216" s="8">
        <v>45305</v>
      </c>
      <c r="L1216" s="6">
        <v>43100.75</v>
      </c>
      <c r="M1216" s="6">
        <v>16400.400000000001</v>
      </c>
      <c r="N1216" s="6">
        <v>725</v>
      </c>
      <c r="O1216" s="6">
        <v>79000</v>
      </c>
      <c r="P1216" s="6" t="s">
        <v>36</v>
      </c>
      <c r="Q1216" s="6" t="s">
        <v>27</v>
      </c>
      <c r="R1216" s="6">
        <v>0</v>
      </c>
      <c r="S1216" s="6" t="s">
        <v>28</v>
      </c>
      <c r="T1216" s="7">
        <f t="shared" si="90"/>
        <v>0.20760000000000001</v>
      </c>
      <c r="U1216" s="6">
        <f t="shared" si="91"/>
        <v>1</v>
      </c>
      <c r="V1216" s="5" t="str">
        <f t="shared" si="92"/>
        <v>GOOD</v>
      </c>
      <c r="W1216" s="6" t="str">
        <f t="shared" si="93"/>
        <v>55+</v>
      </c>
      <c r="X1216" s="6" t="str">
        <f t="shared" si="94"/>
        <v>Lower-Middle</v>
      </c>
    </row>
    <row r="1217" spans="1:24">
      <c r="A1217" s="6" t="s">
        <v>488</v>
      </c>
      <c r="B1217" s="6" t="s">
        <v>2735</v>
      </c>
      <c r="C1217" s="6" t="s">
        <v>39</v>
      </c>
      <c r="D1217" s="6" t="s">
        <v>304</v>
      </c>
      <c r="E1217" s="6" t="s">
        <v>304</v>
      </c>
      <c r="F1217" s="6">
        <v>75</v>
      </c>
      <c r="G1217" s="6" t="s">
        <v>24</v>
      </c>
      <c r="H1217" s="6" t="s">
        <v>2736</v>
      </c>
      <c r="I1217" s="6" t="s">
        <v>4270</v>
      </c>
      <c r="J1217" s="8">
        <v>44239</v>
      </c>
      <c r="K1217" s="8">
        <v>45300</v>
      </c>
      <c r="L1217" s="6">
        <v>170600.6</v>
      </c>
      <c r="M1217" s="6">
        <v>106000.9</v>
      </c>
      <c r="N1217" s="6">
        <v>675</v>
      </c>
      <c r="O1217" s="6">
        <v>203000</v>
      </c>
      <c r="P1217" s="6" t="s">
        <v>76</v>
      </c>
      <c r="Q1217" s="6" t="s">
        <v>27</v>
      </c>
      <c r="R1217" s="6">
        <v>0</v>
      </c>
      <c r="S1217" s="6" t="s">
        <v>28</v>
      </c>
      <c r="T1217" s="7">
        <f t="shared" si="90"/>
        <v>0.52217192118226596</v>
      </c>
      <c r="U1217" s="6">
        <f t="shared" si="91"/>
        <v>6</v>
      </c>
      <c r="V1217" s="5" t="str">
        <f t="shared" si="92"/>
        <v>GOOD</v>
      </c>
      <c r="W1217" s="6" t="str">
        <f t="shared" si="93"/>
        <v>55+</v>
      </c>
      <c r="X1217" s="6" t="str">
        <f t="shared" si="94"/>
        <v>High</v>
      </c>
    </row>
    <row r="1218" spans="1:24">
      <c r="A1218" s="6" t="s">
        <v>491</v>
      </c>
      <c r="B1218" s="6" t="s">
        <v>2737</v>
      </c>
      <c r="C1218" s="6" t="s">
        <v>52</v>
      </c>
      <c r="D1218" s="6" t="s">
        <v>493</v>
      </c>
      <c r="E1218" s="6" t="s">
        <v>494</v>
      </c>
      <c r="F1218" s="6">
        <v>66</v>
      </c>
      <c r="G1218" s="6" t="s">
        <v>34</v>
      </c>
      <c r="H1218" s="6" t="s">
        <v>2738</v>
      </c>
      <c r="I1218" s="6" t="s">
        <v>4271</v>
      </c>
      <c r="J1218" s="8">
        <v>45007</v>
      </c>
      <c r="K1218" s="8">
        <v>45302</v>
      </c>
      <c r="L1218" s="6">
        <v>70600.399999999994</v>
      </c>
      <c r="M1218" s="6">
        <v>45300.25</v>
      </c>
      <c r="N1218" s="6">
        <v>705</v>
      </c>
      <c r="O1218" s="6">
        <v>111000</v>
      </c>
      <c r="P1218" s="6" t="s">
        <v>26</v>
      </c>
      <c r="Q1218" s="6" t="s">
        <v>27</v>
      </c>
      <c r="R1218" s="6">
        <v>0</v>
      </c>
      <c r="S1218" s="6" t="s">
        <v>28</v>
      </c>
      <c r="T1218" s="7">
        <f t="shared" ref="T1218:T1281" si="95">IFERROR(M1218/O1218,"")</f>
        <v>0.40811036036036036</v>
      </c>
      <c r="U1218" s="6">
        <f t="shared" ref="U1218:U1281" si="96">MAX($K$2:$K$1599)-K1218</f>
        <v>4</v>
      </c>
      <c r="V1218" s="5" t="str">
        <f t="shared" ref="V1218:V1281" si="97">IF(N1218&lt;670,"FAIR", IF(N1218&lt;750,"GOOD",IF(N1218&lt;800,"VERY GOOD","EXCEPTIONAL")))</f>
        <v>GOOD</v>
      </c>
      <c r="W1218" s="6" t="str">
        <f t="shared" ref="W1218:W1281" si="98">IF(F1218&lt;25,"18-24",IF(F1218&lt;35,"25-34",IF(F1218&lt;45,"35-44",IF(F1218&lt;55,"45-54","55+"))))</f>
        <v>55+</v>
      </c>
      <c r="X1218" s="6" t="str">
        <f t="shared" ref="X1218:X1281" si="99">IF(O1218&lt;=_xlfn.QUARTILE.INC($O$2:$O$1599,1),"Low",IF(O1218&lt;=_xlfn.QUARTILE.INC($O$2:$O$1599,2),"Lower-Middle",IF(O1218&lt;=_xlfn.QUARTILE.INC($O$2:$O$1599,3),"Upper-Middle","High")))</f>
        <v>Lower-Middle</v>
      </c>
    </row>
    <row r="1219" spans="1:24">
      <c r="A1219" s="6" t="s">
        <v>496</v>
      </c>
      <c r="B1219" s="6" t="s">
        <v>2739</v>
      </c>
      <c r="C1219" s="6" t="s">
        <v>46</v>
      </c>
      <c r="D1219" s="6" t="s">
        <v>321</v>
      </c>
      <c r="E1219" s="6" t="s">
        <v>498</v>
      </c>
      <c r="F1219" s="6">
        <v>69</v>
      </c>
      <c r="G1219" s="6" t="s">
        <v>24</v>
      </c>
      <c r="H1219" s="6" t="s">
        <v>2740</v>
      </c>
      <c r="I1219" s="6" t="s">
        <v>4272</v>
      </c>
      <c r="J1219" s="8">
        <v>44491</v>
      </c>
      <c r="K1219" s="8">
        <v>45301</v>
      </c>
      <c r="L1219" s="6">
        <v>116100.75</v>
      </c>
      <c r="M1219" s="6">
        <v>66400.800000000003</v>
      </c>
      <c r="N1219" s="6">
        <v>730</v>
      </c>
      <c r="O1219" s="6">
        <v>177000</v>
      </c>
      <c r="P1219" s="6" t="s">
        <v>26</v>
      </c>
      <c r="Q1219" s="6" t="s">
        <v>27</v>
      </c>
      <c r="R1219" s="6">
        <v>0</v>
      </c>
      <c r="S1219" s="6" t="s">
        <v>28</v>
      </c>
      <c r="T1219" s="7">
        <f t="shared" si="95"/>
        <v>0.37514576271186445</v>
      </c>
      <c r="U1219" s="6">
        <f t="shared" si="96"/>
        <v>5</v>
      </c>
      <c r="V1219" s="5" t="str">
        <f t="shared" si="97"/>
        <v>GOOD</v>
      </c>
      <c r="W1219" s="6" t="str">
        <f t="shared" si="98"/>
        <v>55+</v>
      </c>
      <c r="X1219" s="6" t="str">
        <f t="shared" si="99"/>
        <v>Upper-Middle</v>
      </c>
    </row>
    <row r="1220" spans="1:24">
      <c r="A1220" s="6" t="s">
        <v>324</v>
      </c>
      <c r="B1220" s="6" t="s">
        <v>2741</v>
      </c>
      <c r="C1220" s="6" t="s">
        <v>31</v>
      </c>
      <c r="D1220" s="6" t="s">
        <v>313</v>
      </c>
      <c r="E1220" s="6" t="s">
        <v>314</v>
      </c>
      <c r="F1220" s="6">
        <v>54</v>
      </c>
      <c r="G1220" s="6" t="s">
        <v>34</v>
      </c>
      <c r="H1220" s="6" t="s">
        <v>2742</v>
      </c>
      <c r="I1220" s="6" t="s">
        <v>4273</v>
      </c>
      <c r="J1220" s="8">
        <v>45580</v>
      </c>
      <c r="K1220" s="8">
        <v>45306</v>
      </c>
      <c r="L1220" s="6">
        <v>19000.900000000001</v>
      </c>
      <c r="M1220" s="6">
        <v>10900.75</v>
      </c>
      <c r="N1220" s="6">
        <v>685</v>
      </c>
      <c r="O1220" s="6">
        <v>64000</v>
      </c>
      <c r="P1220" s="6" t="s">
        <v>26</v>
      </c>
      <c r="Q1220" s="6" t="s">
        <v>43</v>
      </c>
      <c r="R1220" s="6">
        <v>0</v>
      </c>
      <c r="S1220" s="6" t="s">
        <v>28</v>
      </c>
      <c r="T1220" s="7">
        <f t="shared" si="95"/>
        <v>0.17032421875000001</v>
      </c>
      <c r="U1220" s="6">
        <f t="shared" si="96"/>
        <v>0</v>
      </c>
      <c r="V1220" s="5" t="str">
        <f t="shared" si="97"/>
        <v>GOOD</v>
      </c>
      <c r="W1220" s="6" t="str">
        <f t="shared" si="98"/>
        <v>45-54</v>
      </c>
      <c r="X1220" s="6" t="str">
        <f t="shared" si="99"/>
        <v>Low</v>
      </c>
    </row>
    <row r="1221" spans="1:24">
      <c r="A1221" s="6" t="s">
        <v>503</v>
      </c>
      <c r="B1221" s="6" t="s">
        <v>2743</v>
      </c>
      <c r="C1221" s="6" t="s">
        <v>21</v>
      </c>
      <c r="D1221" s="6" t="s">
        <v>32</v>
      </c>
      <c r="E1221" s="6" t="s">
        <v>33</v>
      </c>
      <c r="F1221" s="6">
        <v>86</v>
      </c>
      <c r="G1221" s="6" t="s">
        <v>24</v>
      </c>
      <c r="H1221" s="6" t="s">
        <v>2744</v>
      </c>
      <c r="I1221" s="6" t="s">
        <v>3908</v>
      </c>
      <c r="J1221" s="8">
        <v>43487</v>
      </c>
      <c r="K1221" s="8">
        <v>45299</v>
      </c>
      <c r="L1221" s="6">
        <v>301300.25</v>
      </c>
      <c r="M1221" s="6">
        <v>110000.4</v>
      </c>
      <c r="N1221" s="6">
        <v>840</v>
      </c>
      <c r="O1221" s="6">
        <v>318000</v>
      </c>
      <c r="P1221" s="6" t="s">
        <v>36</v>
      </c>
      <c r="Q1221" s="6" t="s">
        <v>27</v>
      </c>
      <c r="R1221" s="6">
        <v>0</v>
      </c>
      <c r="S1221" s="6" t="s">
        <v>28</v>
      </c>
      <c r="T1221" s="7">
        <f t="shared" si="95"/>
        <v>0.34591320754716981</v>
      </c>
      <c r="U1221" s="6">
        <f t="shared" si="96"/>
        <v>7</v>
      </c>
      <c r="V1221" s="5" t="str">
        <f t="shared" si="97"/>
        <v>EXCEPTIONAL</v>
      </c>
      <c r="W1221" s="6" t="str">
        <f t="shared" si="98"/>
        <v>55+</v>
      </c>
      <c r="X1221" s="6" t="str">
        <f t="shared" si="99"/>
        <v>High</v>
      </c>
    </row>
    <row r="1222" spans="1:24">
      <c r="A1222" s="6" t="s">
        <v>506</v>
      </c>
      <c r="B1222" s="6" t="s">
        <v>2745</v>
      </c>
      <c r="C1222" s="6" t="s">
        <v>39</v>
      </c>
      <c r="D1222" s="6" t="s">
        <v>68</v>
      </c>
      <c r="E1222" s="6" t="s">
        <v>69</v>
      </c>
      <c r="F1222" s="6">
        <v>78</v>
      </c>
      <c r="G1222" s="6" t="s">
        <v>34</v>
      </c>
      <c r="H1222" s="6" t="s">
        <v>2746</v>
      </c>
      <c r="I1222" s="6" t="s">
        <v>4249</v>
      </c>
      <c r="J1222" s="8">
        <v>44004</v>
      </c>
      <c r="K1222" s="8">
        <v>45300</v>
      </c>
      <c r="L1222" s="6">
        <v>181700.4</v>
      </c>
      <c r="M1222" s="6">
        <v>110000.75</v>
      </c>
      <c r="N1222" s="6">
        <v>650</v>
      </c>
      <c r="O1222" s="6">
        <v>213000</v>
      </c>
      <c r="P1222" s="6" t="s">
        <v>76</v>
      </c>
      <c r="Q1222" s="6" t="s">
        <v>27</v>
      </c>
      <c r="R1222" s="6">
        <v>0</v>
      </c>
      <c r="S1222" s="6" t="s">
        <v>28</v>
      </c>
      <c r="T1222" s="7">
        <f t="shared" si="95"/>
        <v>0.51643544600938962</v>
      </c>
      <c r="U1222" s="6">
        <f t="shared" si="96"/>
        <v>6</v>
      </c>
      <c r="V1222" s="5" t="str">
        <f t="shared" si="97"/>
        <v>FAIR</v>
      </c>
      <c r="W1222" s="6" t="str">
        <f t="shared" si="98"/>
        <v>55+</v>
      </c>
      <c r="X1222" s="6" t="str">
        <f t="shared" si="99"/>
        <v>High</v>
      </c>
    </row>
    <row r="1223" spans="1:24">
      <c r="A1223" s="6" t="s">
        <v>509</v>
      </c>
      <c r="B1223" s="6" t="s">
        <v>2747</v>
      </c>
      <c r="C1223" s="6" t="s">
        <v>46</v>
      </c>
      <c r="D1223" s="6" t="s">
        <v>73</v>
      </c>
      <c r="E1223" s="6" t="s">
        <v>126</v>
      </c>
      <c r="F1223" s="6">
        <v>65</v>
      </c>
      <c r="G1223" s="6" t="s">
        <v>24</v>
      </c>
      <c r="H1223" s="6" t="s">
        <v>2748</v>
      </c>
      <c r="I1223" s="6" t="s">
        <v>4274</v>
      </c>
      <c r="J1223" s="8">
        <v>45221</v>
      </c>
      <c r="K1223" s="8">
        <v>45303</v>
      </c>
      <c r="L1223" s="6">
        <v>104900.4</v>
      </c>
      <c r="M1223" s="6">
        <v>60600.25</v>
      </c>
      <c r="N1223" s="6">
        <v>745</v>
      </c>
      <c r="O1223" s="6">
        <v>157000</v>
      </c>
      <c r="P1223" s="6" t="s">
        <v>26</v>
      </c>
      <c r="Q1223" s="6" t="s">
        <v>27</v>
      </c>
      <c r="R1223" s="6">
        <v>0</v>
      </c>
      <c r="S1223" s="6" t="s">
        <v>28</v>
      </c>
      <c r="T1223" s="7">
        <f t="shared" si="95"/>
        <v>0.38598885350318474</v>
      </c>
      <c r="U1223" s="6">
        <f t="shared" si="96"/>
        <v>3</v>
      </c>
      <c r="V1223" s="5" t="str">
        <f t="shared" si="97"/>
        <v>GOOD</v>
      </c>
      <c r="W1223" s="6" t="str">
        <f t="shared" si="98"/>
        <v>55+</v>
      </c>
      <c r="X1223" s="6" t="str">
        <f t="shared" si="99"/>
        <v>Upper-Middle</v>
      </c>
    </row>
    <row r="1224" spans="1:24">
      <c r="A1224" s="6" t="s">
        <v>513</v>
      </c>
      <c r="B1224" s="6" t="s">
        <v>2749</v>
      </c>
      <c r="C1224" s="6" t="s">
        <v>57</v>
      </c>
      <c r="D1224" s="6" t="s">
        <v>58</v>
      </c>
      <c r="E1224" s="6" t="s">
        <v>122</v>
      </c>
      <c r="F1224" s="6">
        <v>60</v>
      </c>
      <c r="G1224" s="6" t="s">
        <v>34</v>
      </c>
      <c r="H1224" s="6" t="s">
        <v>2750</v>
      </c>
      <c r="I1224" s="6" t="s">
        <v>3910</v>
      </c>
      <c r="J1224" s="8">
        <v>45404</v>
      </c>
      <c r="K1224" s="8">
        <v>45302</v>
      </c>
      <c r="L1224" s="6">
        <v>45300.800000000003</v>
      </c>
      <c r="M1224" s="6">
        <v>17600.900000000001</v>
      </c>
      <c r="N1224" s="6">
        <v>765</v>
      </c>
      <c r="O1224" s="6">
        <v>89000</v>
      </c>
      <c r="P1224" s="6" t="s">
        <v>36</v>
      </c>
      <c r="Q1224" s="6" t="s">
        <v>27</v>
      </c>
      <c r="R1224" s="6">
        <v>0</v>
      </c>
      <c r="S1224" s="6" t="s">
        <v>28</v>
      </c>
      <c r="T1224" s="7">
        <f t="shared" si="95"/>
        <v>0.19776292134831464</v>
      </c>
      <c r="U1224" s="6">
        <f t="shared" si="96"/>
        <v>4</v>
      </c>
      <c r="V1224" s="5" t="str">
        <f t="shared" si="97"/>
        <v>VERY GOOD</v>
      </c>
      <c r="W1224" s="6" t="str">
        <f t="shared" si="98"/>
        <v>55+</v>
      </c>
      <c r="X1224" s="6" t="str">
        <f t="shared" si="99"/>
        <v>Lower-Middle</v>
      </c>
    </row>
    <row r="1225" spans="1:24">
      <c r="A1225" s="6" t="s">
        <v>516</v>
      </c>
      <c r="B1225" s="6" t="s">
        <v>2751</v>
      </c>
      <c r="C1225" s="6" t="s">
        <v>52</v>
      </c>
      <c r="D1225" s="6" t="s">
        <v>277</v>
      </c>
      <c r="E1225" s="6" t="s">
        <v>278</v>
      </c>
      <c r="F1225" s="6">
        <v>73</v>
      </c>
      <c r="G1225" s="6" t="s">
        <v>24</v>
      </c>
      <c r="H1225" s="6" t="s">
        <v>2752</v>
      </c>
      <c r="I1225" s="6" t="s">
        <v>3958</v>
      </c>
      <c r="J1225" s="8">
        <v>44673</v>
      </c>
      <c r="K1225" s="8">
        <v>45301</v>
      </c>
      <c r="L1225" s="6">
        <v>78600.75</v>
      </c>
      <c r="M1225" s="6">
        <v>51700.4</v>
      </c>
      <c r="N1225" s="6">
        <v>675</v>
      </c>
      <c r="O1225" s="6">
        <v>129000</v>
      </c>
      <c r="P1225" s="6" t="s">
        <v>26</v>
      </c>
      <c r="Q1225" s="6" t="s">
        <v>27</v>
      </c>
      <c r="R1225" s="6">
        <v>0</v>
      </c>
      <c r="S1225" s="6" t="s">
        <v>28</v>
      </c>
      <c r="T1225" s="7">
        <f t="shared" si="95"/>
        <v>0.40077829457364345</v>
      </c>
      <c r="U1225" s="6">
        <f t="shared" si="96"/>
        <v>5</v>
      </c>
      <c r="V1225" s="5" t="str">
        <f t="shared" si="97"/>
        <v>GOOD</v>
      </c>
      <c r="W1225" s="6" t="str">
        <f t="shared" si="98"/>
        <v>55+</v>
      </c>
      <c r="X1225" s="6" t="str">
        <f t="shared" si="99"/>
        <v>Upper-Middle</v>
      </c>
    </row>
    <row r="1226" spans="1:24">
      <c r="A1226" s="6" t="s">
        <v>519</v>
      </c>
      <c r="B1226" s="6" t="s">
        <v>2753</v>
      </c>
      <c r="C1226" s="6" t="s">
        <v>84</v>
      </c>
      <c r="D1226" s="6" t="s">
        <v>183</v>
      </c>
      <c r="E1226" s="6" t="s">
        <v>273</v>
      </c>
      <c r="F1226" s="6">
        <v>52</v>
      </c>
      <c r="G1226" s="6" t="s">
        <v>34</v>
      </c>
      <c r="H1226" s="6" t="s">
        <v>2754</v>
      </c>
      <c r="I1226" s="6" t="s">
        <v>3912</v>
      </c>
      <c r="J1226" s="8">
        <v>45593</v>
      </c>
      <c r="K1226" s="8">
        <v>45304</v>
      </c>
      <c r="L1226" s="6">
        <v>5000.25</v>
      </c>
      <c r="M1226" s="6">
        <v>16000.6</v>
      </c>
      <c r="N1226" s="6">
        <v>615</v>
      </c>
      <c r="O1226" s="6">
        <v>49000</v>
      </c>
      <c r="P1226" s="6" t="s">
        <v>76</v>
      </c>
      <c r="Q1226" s="6" t="s">
        <v>43</v>
      </c>
      <c r="R1226" s="6">
        <v>0</v>
      </c>
      <c r="S1226" s="6" t="s">
        <v>28</v>
      </c>
      <c r="T1226" s="7">
        <f t="shared" si="95"/>
        <v>0.32654285714285713</v>
      </c>
      <c r="U1226" s="6">
        <f t="shared" si="96"/>
        <v>2</v>
      </c>
      <c r="V1226" s="5" t="str">
        <f t="shared" si="97"/>
        <v>FAIR</v>
      </c>
      <c r="W1226" s="6" t="str">
        <f t="shared" si="98"/>
        <v>45-54</v>
      </c>
      <c r="X1226" s="6" t="str">
        <f t="shared" si="99"/>
        <v>Low</v>
      </c>
    </row>
    <row r="1227" spans="1:24">
      <c r="A1227" s="6" t="s">
        <v>522</v>
      </c>
      <c r="B1227" s="6" t="s">
        <v>2755</v>
      </c>
      <c r="C1227" s="6" t="s">
        <v>39</v>
      </c>
      <c r="D1227" s="6" t="s">
        <v>40</v>
      </c>
      <c r="E1227" s="6" t="s">
        <v>94</v>
      </c>
      <c r="F1227" s="6">
        <v>80</v>
      </c>
      <c r="G1227" s="6" t="s">
        <v>24</v>
      </c>
      <c r="H1227" s="6" t="s">
        <v>2756</v>
      </c>
      <c r="I1227" s="6" t="s">
        <v>3510</v>
      </c>
      <c r="J1227" s="8">
        <v>43973</v>
      </c>
      <c r="K1227" s="8">
        <v>45299</v>
      </c>
      <c r="L1227" s="6">
        <v>216300.79999999999</v>
      </c>
      <c r="M1227" s="6">
        <v>123000.25</v>
      </c>
      <c r="N1227" s="6">
        <v>660</v>
      </c>
      <c r="O1227" s="6">
        <v>248000</v>
      </c>
      <c r="P1227" s="6" t="s">
        <v>76</v>
      </c>
      <c r="Q1227" s="6" t="s">
        <v>27</v>
      </c>
      <c r="R1227" s="6">
        <v>0</v>
      </c>
      <c r="S1227" s="6" t="s">
        <v>28</v>
      </c>
      <c r="T1227" s="7">
        <f t="shared" si="95"/>
        <v>0.49596875000000001</v>
      </c>
      <c r="U1227" s="6">
        <f t="shared" si="96"/>
        <v>7</v>
      </c>
      <c r="V1227" s="5" t="str">
        <f t="shared" si="97"/>
        <v>FAIR</v>
      </c>
      <c r="W1227" s="6" t="str">
        <f t="shared" si="98"/>
        <v>55+</v>
      </c>
      <c r="X1227" s="6" t="str">
        <f t="shared" si="99"/>
        <v>High</v>
      </c>
    </row>
    <row r="1228" spans="1:24">
      <c r="A1228" s="6" t="s">
        <v>306</v>
      </c>
      <c r="B1228" s="6" t="s">
        <v>2757</v>
      </c>
      <c r="C1228" s="6" t="s">
        <v>46</v>
      </c>
      <c r="D1228" s="6" t="s">
        <v>209</v>
      </c>
      <c r="E1228" s="6" t="s">
        <v>210</v>
      </c>
      <c r="F1228" s="6">
        <v>67</v>
      </c>
      <c r="G1228" s="6" t="s">
        <v>34</v>
      </c>
      <c r="H1228" s="6" t="s">
        <v>2758</v>
      </c>
      <c r="I1228" s="6" t="s">
        <v>4118</v>
      </c>
      <c r="J1228" s="8">
        <v>44826</v>
      </c>
      <c r="K1228" s="8">
        <v>45302</v>
      </c>
      <c r="L1228" s="6">
        <v>99700.9</v>
      </c>
      <c r="M1228" s="6">
        <v>57500.75</v>
      </c>
      <c r="N1228" s="6">
        <v>730</v>
      </c>
      <c r="O1228" s="6">
        <v>152000</v>
      </c>
      <c r="P1228" s="6" t="s">
        <v>26</v>
      </c>
      <c r="Q1228" s="6" t="s">
        <v>27</v>
      </c>
      <c r="R1228" s="6">
        <v>0</v>
      </c>
      <c r="S1228" s="6" t="s">
        <v>28</v>
      </c>
      <c r="T1228" s="7">
        <f t="shared" si="95"/>
        <v>0.37829440789473684</v>
      </c>
      <c r="U1228" s="6">
        <f t="shared" si="96"/>
        <v>4</v>
      </c>
      <c r="V1228" s="5" t="str">
        <f t="shared" si="97"/>
        <v>GOOD</v>
      </c>
      <c r="W1228" s="6" t="str">
        <f t="shared" si="98"/>
        <v>55+</v>
      </c>
      <c r="X1228" s="6" t="str">
        <f t="shared" si="99"/>
        <v>Upper-Middle</v>
      </c>
    </row>
    <row r="1229" spans="1:24">
      <c r="A1229" s="6" t="s">
        <v>527</v>
      </c>
      <c r="B1229" s="6" t="s">
        <v>2759</v>
      </c>
      <c r="C1229" s="6" t="s">
        <v>31</v>
      </c>
      <c r="D1229" s="6" t="s">
        <v>32</v>
      </c>
      <c r="E1229" s="6" t="s">
        <v>90</v>
      </c>
      <c r="F1229" s="6">
        <v>56</v>
      </c>
      <c r="G1229" s="6" t="s">
        <v>34</v>
      </c>
      <c r="H1229" s="6" t="s">
        <v>2760</v>
      </c>
      <c r="I1229" s="6" t="s">
        <v>3644</v>
      </c>
      <c r="J1229" s="8">
        <v>45587</v>
      </c>
      <c r="K1229" s="8">
        <v>45305</v>
      </c>
      <c r="L1229" s="6">
        <v>20100.400000000001</v>
      </c>
      <c r="M1229" s="6">
        <v>11000.25</v>
      </c>
      <c r="N1229" s="6">
        <v>705</v>
      </c>
      <c r="O1229" s="6">
        <v>66000</v>
      </c>
      <c r="P1229" s="6" t="s">
        <v>26</v>
      </c>
      <c r="Q1229" s="6" t="s">
        <v>43</v>
      </c>
      <c r="R1229" s="6">
        <v>0</v>
      </c>
      <c r="S1229" s="6" t="s">
        <v>28</v>
      </c>
      <c r="T1229" s="7">
        <f t="shared" si="95"/>
        <v>0.16667045454545454</v>
      </c>
      <c r="U1229" s="6">
        <f t="shared" si="96"/>
        <v>1</v>
      </c>
      <c r="V1229" s="5" t="str">
        <f t="shared" si="97"/>
        <v>GOOD</v>
      </c>
      <c r="W1229" s="6" t="str">
        <f t="shared" si="98"/>
        <v>55+</v>
      </c>
      <c r="X1229" s="6" t="str">
        <f t="shared" si="99"/>
        <v>Low</v>
      </c>
    </row>
    <row r="1230" spans="1:24">
      <c r="A1230" s="6" t="s">
        <v>530</v>
      </c>
      <c r="B1230" s="6" t="s">
        <v>2761</v>
      </c>
      <c r="C1230" s="6" t="s">
        <v>57</v>
      </c>
      <c r="D1230" s="6" t="s">
        <v>219</v>
      </c>
      <c r="E1230" s="6" t="s">
        <v>220</v>
      </c>
      <c r="F1230" s="6">
        <v>61</v>
      </c>
      <c r="G1230" s="6" t="s">
        <v>24</v>
      </c>
      <c r="H1230" s="6" t="s">
        <v>2762</v>
      </c>
      <c r="I1230" s="6" t="s">
        <v>4275</v>
      </c>
      <c r="J1230" s="8">
        <v>45373</v>
      </c>
      <c r="K1230" s="8">
        <v>45303</v>
      </c>
      <c r="L1230" s="6">
        <v>44200.6</v>
      </c>
      <c r="M1230" s="6">
        <v>17000.8</v>
      </c>
      <c r="N1230" s="6">
        <v>710</v>
      </c>
      <c r="O1230" s="6">
        <v>82000</v>
      </c>
      <c r="P1230" s="6" t="s">
        <v>36</v>
      </c>
      <c r="Q1230" s="6" t="s">
        <v>27</v>
      </c>
      <c r="R1230" s="6">
        <v>0</v>
      </c>
      <c r="S1230" s="6" t="s">
        <v>28</v>
      </c>
      <c r="T1230" s="7">
        <f t="shared" si="95"/>
        <v>0.20732682926829268</v>
      </c>
      <c r="U1230" s="6">
        <f t="shared" si="96"/>
        <v>3</v>
      </c>
      <c r="V1230" s="5" t="str">
        <f t="shared" si="97"/>
        <v>GOOD</v>
      </c>
      <c r="W1230" s="6" t="str">
        <f t="shared" si="98"/>
        <v>55+</v>
      </c>
      <c r="X1230" s="6" t="str">
        <f t="shared" si="99"/>
        <v>Lower-Middle</v>
      </c>
    </row>
    <row r="1231" spans="1:24">
      <c r="A1231" s="6" t="s">
        <v>533</v>
      </c>
      <c r="B1231" s="6" t="s">
        <v>2763</v>
      </c>
      <c r="C1231" s="6" t="s">
        <v>52</v>
      </c>
      <c r="D1231" s="6" t="s">
        <v>204</v>
      </c>
      <c r="E1231" s="6" t="s">
        <v>205</v>
      </c>
      <c r="F1231" s="6">
        <v>68</v>
      </c>
      <c r="G1231" s="6" t="s">
        <v>34</v>
      </c>
      <c r="H1231" s="6" t="s">
        <v>2764</v>
      </c>
      <c r="I1231" s="6" t="s">
        <v>3669</v>
      </c>
      <c r="J1231" s="8">
        <v>44673</v>
      </c>
      <c r="K1231" s="8">
        <v>45301</v>
      </c>
      <c r="L1231" s="6">
        <v>75500.25</v>
      </c>
      <c r="M1231" s="6">
        <v>48600.9</v>
      </c>
      <c r="N1231" s="6">
        <v>695</v>
      </c>
      <c r="O1231" s="6">
        <v>117000</v>
      </c>
      <c r="P1231" s="6" t="s">
        <v>26</v>
      </c>
      <c r="Q1231" s="6" t="s">
        <v>27</v>
      </c>
      <c r="R1231" s="6">
        <v>0</v>
      </c>
      <c r="S1231" s="6" t="s">
        <v>28</v>
      </c>
      <c r="T1231" s="7">
        <f t="shared" si="95"/>
        <v>0.41539230769230773</v>
      </c>
      <c r="U1231" s="6">
        <f t="shared" si="96"/>
        <v>5</v>
      </c>
      <c r="V1231" s="5" t="str">
        <f t="shared" si="97"/>
        <v>GOOD</v>
      </c>
      <c r="W1231" s="6" t="str">
        <f t="shared" si="98"/>
        <v>55+</v>
      </c>
      <c r="X1231" s="6" t="str">
        <f t="shared" si="99"/>
        <v>Lower-Middle</v>
      </c>
    </row>
    <row r="1232" spans="1:24">
      <c r="A1232" s="6" t="s">
        <v>536</v>
      </c>
      <c r="B1232" s="6" t="s">
        <v>2765</v>
      </c>
      <c r="C1232" s="6" t="s">
        <v>39</v>
      </c>
      <c r="D1232" s="6" t="s">
        <v>195</v>
      </c>
      <c r="E1232" s="6" t="s">
        <v>196</v>
      </c>
      <c r="F1232" s="6">
        <v>76</v>
      </c>
      <c r="G1232" s="6" t="s">
        <v>24</v>
      </c>
      <c r="H1232" s="6" t="s">
        <v>2766</v>
      </c>
      <c r="I1232" s="6" t="s">
        <v>4276</v>
      </c>
      <c r="J1232" s="8">
        <v>44126</v>
      </c>
      <c r="K1232" s="8">
        <v>45300</v>
      </c>
      <c r="L1232" s="6">
        <v>148500.4</v>
      </c>
      <c r="M1232" s="6">
        <v>97000.6</v>
      </c>
      <c r="N1232" s="6">
        <v>670</v>
      </c>
      <c r="O1232" s="6">
        <v>184000</v>
      </c>
      <c r="P1232" s="6" t="s">
        <v>76</v>
      </c>
      <c r="Q1232" s="6" t="s">
        <v>27</v>
      </c>
      <c r="R1232" s="6">
        <v>0</v>
      </c>
      <c r="S1232" s="6" t="s">
        <v>28</v>
      </c>
      <c r="T1232" s="7">
        <f t="shared" si="95"/>
        <v>0.52717717391304353</v>
      </c>
      <c r="U1232" s="6">
        <f t="shared" si="96"/>
        <v>6</v>
      </c>
      <c r="V1232" s="5" t="str">
        <f t="shared" si="97"/>
        <v>GOOD</v>
      </c>
      <c r="W1232" s="6" t="str">
        <f t="shared" si="98"/>
        <v>55+</v>
      </c>
      <c r="X1232" s="6" t="str">
        <f t="shared" si="99"/>
        <v>Upper-Middle</v>
      </c>
    </row>
    <row r="1233" spans="1:24">
      <c r="A1233" s="6" t="s">
        <v>539</v>
      </c>
      <c r="B1233" s="6" t="s">
        <v>2767</v>
      </c>
      <c r="C1233" s="6" t="s">
        <v>21</v>
      </c>
      <c r="D1233" s="6" t="s">
        <v>58</v>
      </c>
      <c r="E1233" s="6" t="s">
        <v>59</v>
      </c>
      <c r="F1233" s="6">
        <v>84</v>
      </c>
      <c r="G1233" s="6" t="s">
        <v>34</v>
      </c>
      <c r="H1233" s="6" t="s">
        <v>2768</v>
      </c>
      <c r="I1233" s="6" t="s">
        <v>3564</v>
      </c>
      <c r="J1233" s="8">
        <v>43699</v>
      </c>
      <c r="K1233" s="8">
        <v>45299</v>
      </c>
      <c r="L1233" s="6">
        <v>315400.75</v>
      </c>
      <c r="M1233" s="6">
        <v>114000.8</v>
      </c>
      <c r="N1233" s="6">
        <v>835</v>
      </c>
      <c r="O1233" s="6">
        <v>329000</v>
      </c>
      <c r="P1233" s="6" t="s">
        <v>36</v>
      </c>
      <c r="Q1233" s="6" t="s">
        <v>27</v>
      </c>
      <c r="R1233" s="6">
        <v>0</v>
      </c>
      <c r="S1233" s="6" t="s">
        <v>28</v>
      </c>
      <c r="T1233" s="7">
        <f t="shared" si="95"/>
        <v>0.34650699088145898</v>
      </c>
      <c r="U1233" s="6">
        <f t="shared" si="96"/>
        <v>7</v>
      </c>
      <c r="V1233" s="5" t="str">
        <f t="shared" si="97"/>
        <v>EXCEPTIONAL</v>
      </c>
      <c r="W1233" s="6" t="str">
        <f t="shared" si="98"/>
        <v>55+</v>
      </c>
      <c r="X1233" s="6" t="str">
        <f t="shared" si="99"/>
        <v>High</v>
      </c>
    </row>
    <row r="1234" spans="1:24">
      <c r="A1234" s="6" t="s">
        <v>542</v>
      </c>
      <c r="B1234" s="6" t="s">
        <v>2769</v>
      </c>
      <c r="C1234" s="6" t="s">
        <v>52</v>
      </c>
      <c r="D1234" s="6" t="s">
        <v>68</v>
      </c>
      <c r="E1234" s="6" t="s">
        <v>114</v>
      </c>
      <c r="F1234" s="6">
        <v>71</v>
      </c>
      <c r="G1234" s="6" t="s">
        <v>34</v>
      </c>
      <c r="H1234" s="6" t="s">
        <v>2770</v>
      </c>
      <c r="I1234" s="6" t="s">
        <v>4266</v>
      </c>
      <c r="J1234" s="8">
        <v>44642</v>
      </c>
      <c r="K1234" s="8">
        <v>45302</v>
      </c>
      <c r="L1234" s="6">
        <v>84200.6</v>
      </c>
      <c r="M1234" s="6">
        <v>54200.25</v>
      </c>
      <c r="N1234" s="6">
        <v>665</v>
      </c>
      <c r="O1234" s="6">
        <v>137000</v>
      </c>
      <c r="P1234" s="6" t="s">
        <v>26</v>
      </c>
      <c r="Q1234" s="6" t="s">
        <v>27</v>
      </c>
      <c r="R1234" s="6">
        <v>0</v>
      </c>
      <c r="S1234" s="6" t="s">
        <v>28</v>
      </c>
      <c r="T1234" s="7">
        <f t="shared" si="95"/>
        <v>0.39562226277372264</v>
      </c>
      <c r="U1234" s="6">
        <f t="shared" si="96"/>
        <v>4</v>
      </c>
      <c r="V1234" s="5" t="str">
        <f t="shared" si="97"/>
        <v>FAIR</v>
      </c>
      <c r="W1234" s="6" t="str">
        <f t="shared" si="98"/>
        <v>55+</v>
      </c>
      <c r="X1234" s="6" t="str">
        <f t="shared" si="99"/>
        <v>Upper-Middle</v>
      </c>
    </row>
    <row r="1235" spans="1:24">
      <c r="A1235" s="6" t="s">
        <v>545</v>
      </c>
      <c r="B1235" s="6" t="s">
        <v>2771</v>
      </c>
      <c r="C1235" s="6" t="s">
        <v>46</v>
      </c>
      <c r="D1235" s="6" t="s">
        <v>241</v>
      </c>
      <c r="E1235" s="6" t="s">
        <v>242</v>
      </c>
      <c r="F1235" s="6">
        <v>63</v>
      </c>
      <c r="G1235" s="6" t="s">
        <v>24</v>
      </c>
      <c r="H1235" s="6" t="s">
        <v>2772</v>
      </c>
      <c r="I1235" s="6" t="s">
        <v>4277</v>
      </c>
      <c r="J1235" s="8">
        <v>45282</v>
      </c>
      <c r="K1235" s="8">
        <v>45303</v>
      </c>
      <c r="L1235" s="6">
        <v>107500.8</v>
      </c>
      <c r="M1235" s="6">
        <v>61700.4</v>
      </c>
      <c r="N1235" s="6">
        <v>750</v>
      </c>
      <c r="O1235" s="6">
        <v>163000</v>
      </c>
      <c r="P1235" s="6" t="s">
        <v>26</v>
      </c>
      <c r="Q1235" s="6" t="s">
        <v>27</v>
      </c>
      <c r="R1235" s="6">
        <v>0</v>
      </c>
      <c r="S1235" s="6" t="s">
        <v>28</v>
      </c>
      <c r="T1235" s="7">
        <f t="shared" si="95"/>
        <v>0.37853006134969325</v>
      </c>
      <c r="U1235" s="6">
        <f t="shared" si="96"/>
        <v>3</v>
      </c>
      <c r="V1235" s="5" t="str">
        <f t="shared" si="97"/>
        <v>VERY GOOD</v>
      </c>
      <c r="W1235" s="6" t="str">
        <f t="shared" si="98"/>
        <v>55+</v>
      </c>
      <c r="X1235" s="6" t="str">
        <f t="shared" si="99"/>
        <v>Upper-Middle</v>
      </c>
    </row>
    <row r="1236" spans="1:24">
      <c r="A1236" s="6" t="s">
        <v>548</v>
      </c>
      <c r="B1236" s="6" t="s">
        <v>2773</v>
      </c>
      <c r="C1236" s="6" t="s">
        <v>57</v>
      </c>
      <c r="D1236" s="6" t="s">
        <v>22</v>
      </c>
      <c r="E1236" s="6" t="s">
        <v>282</v>
      </c>
      <c r="F1236" s="6">
        <v>59</v>
      </c>
      <c r="G1236" s="6" t="s">
        <v>34</v>
      </c>
      <c r="H1236" s="6" t="s">
        <v>2774</v>
      </c>
      <c r="I1236" s="6" t="s">
        <v>3890</v>
      </c>
      <c r="J1236" s="8">
        <v>45465</v>
      </c>
      <c r="K1236" s="8">
        <v>45305</v>
      </c>
      <c r="L1236" s="6">
        <v>46400.9</v>
      </c>
      <c r="M1236" s="6">
        <v>18000.75</v>
      </c>
      <c r="N1236" s="6">
        <v>770</v>
      </c>
      <c r="O1236" s="6">
        <v>94000</v>
      </c>
      <c r="P1236" s="6" t="s">
        <v>36</v>
      </c>
      <c r="Q1236" s="6" t="s">
        <v>27</v>
      </c>
      <c r="R1236" s="6">
        <v>0</v>
      </c>
      <c r="S1236" s="6" t="s">
        <v>28</v>
      </c>
      <c r="T1236" s="7">
        <f t="shared" si="95"/>
        <v>0.1914973404255319</v>
      </c>
      <c r="U1236" s="6">
        <f t="shared" si="96"/>
        <v>1</v>
      </c>
      <c r="V1236" s="5" t="str">
        <f t="shared" si="97"/>
        <v>VERY GOOD</v>
      </c>
      <c r="W1236" s="6" t="str">
        <f t="shared" si="98"/>
        <v>55+</v>
      </c>
      <c r="X1236" s="6" t="str">
        <f t="shared" si="99"/>
        <v>Lower-Middle</v>
      </c>
    </row>
    <row r="1237" spans="1:24">
      <c r="A1237" s="6" t="s">
        <v>551</v>
      </c>
      <c r="B1237" s="6" t="s">
        <v>2775</v>
      </c>
      <c r="C1237" s="6" t="s">
        <v>39</v>
      </c>
      <c r="D1237" s="6" t="s">
        <v>313</v>
      </c>
      <c r="E1237" s="6" t="s">
        <v>385</v>
      </c>
      <c r="F1237" s="6">
        <v>82</v>
      </c>
      <c r="G1237" s="6" t="s">
        <v>24</v>
      </c>
      <c r="H1237" s="6" t="s">
        <v>2776</v>
      </c>
      <c r="I1237" s="6" t="s">
        <v>4278</v>
      </c>
      <c r="J1237" s="8">
        <v>43883</v>
      </c>
      <c r="K1237" s="8">
        <v>45299</v>
      </c>
      <c r="L1237" s="6">
        <v>201600.25</v>
      </c>
      <c r="M1237" s="6">
        <v>118000.8</v>
      </c>
      <c r="N1237" s="6">
        <v>645</v>
      </c>
      <c r="O1237" s="6">
        <v>234000</v>
      </c>
      <c r="P1237" s="6" t="s">
        <v>76</v>
      </c>
      <c r="Q1237" s="6" t="s">
        <v>27</v>
      </c>
      <c r="R1237" s="6">
        <v>0</v>
      </c>
      <c r="S1237" s="6" t="s">
        <v>28</v>
      </c>
      <c r="T1237" s="7">
        <f t="shared" si="95"/>
        <v>0.50427692307692307</v>
      </c>
      <c r="U1237" s="6">
        <f t="shared" si="96"/>
        <v>7</v>
      </c>
      <c r="V1237" s="5" t="str">
        <f t="shared" si="97"/>
        <v>FAIR</v>
      </c>
      <c r="W1237" s="6" t="str">
        <f t="shared" si="98"/>
        <v>55+</v>
      </c>
      <c r="X1237" s="6" t="str">
        <f t="shared" si="99"/>
        <v>High</v>
      </c>
    </row>
    <row r="1238" spans="1:24">
      <c r="A1238" s="6" t="s">
        <v>554</v>
      </c>
      <c r="B1238" s="6" t="s">
        <v>2777</v>
      </c>
      <c r="C1238" s="6" t="s">
        <v>31</v>
      </c>
      <c r="D1238" s="6" t="s">
        <v>214</v>
      </c>
      <c r="E1238" s="6" t="s">
        <v>215</v>
      </c>
      <c r="F1238" s="6">
        <v>55</v>
      </c>
      <c r="G1238" s="6" t="s">
        <v>34</v>
      </c>
      <c r="H1238" s="6" t="s">
        <v>2778</v>
      </c>
      <c r="I1238" s="6" t="s">
        <v>4279</v>
      </c>
      <c r="J1238" s="8">
        <v>45593</v>
      </c>
      <c r="K1238" s="8">
        <v>45306</v>
      </c>
      <c r="L1238" s="6">
        <v>39200.5</v>
      </c>
      <c r="M1238" s="6">
        <v>17600.400000000001</v>
      </c>
      <c r="N1238" s="6">
        <v>720</v>
      </c>
      <c r="O1238" s="6">
        <v>71000</v>
      </c>
      <c r="P1238" s="6" t="s">
        <v>36</v>
      </c>
      <c r="Q1238" s="6" t="s">
        <v>27</v>
      </c>
      <c r="R1238" s="6">
        <v>0</v>
      </c>
      <c r="S1238" s="6" t="s">
        <v>28</v>
      </c>
      <c r="T1238" s="7">
        <f t="shared" si="95"/>
        <v>0.2478929577464789</v>
      </c>
      <c r="U1238" s="6">
        <f t="shared" si="96"/>
        <v>0</v>
      </c>
      <c r="V1238" s="5" t="str">
        <f t="shared" si="97"/>
        <v>GOOD</v>
      </c>
      <c r="W1238" s="6" t="str">
        <f t="shared" si="98"/>
        <v>55+</v>
      </c>
      <c r="X1238" s="6" t="str">
        <f t="shared" si="99"/>
        <v>Low</v>
      </c>
    </row>
    <row r="1239" spans="1:24">
      <c r="A1239" s="6" t="s">
        <v>108</v>
      </c>
      <c r="B1239" s="6" t="s">
        <v>2779</v>
      </c>
      <c r="C1239" s="6" t="s">
        <v>84</v>
      </c>
      <c r="D1239" s="6" t="s">
        <v>32</v>
      </c>
      <c r="E1239" s="6" t="s">
        <v>33</v>
      </c>
      <c r="F1239" s="6">
        <v>51</v>
      </c>
      <c r="G1239" s="6" t="s">
        <v>24</v>
      </c>
      <c r="H1239" s="6" t="s">
        <v>2780</v>
      </c>
      <c r="I1239" s="6" t="s">
        <v>3644</v>
      </c>
      <c r="J1239" s="8">
        <v>45593</v>
      </c>
      <c r="K1239" s="8">
        <v>45304</v>
      </c>
      <c r="L1239" s="6">
        <v>4750.8</v>
      </c>
      <c r="M1239" s="6">
        <v>14400.25</v>
      </c>
      <c r="N1239" s="6">
        <v>605</v>
      </c>
      <c r="O1239" s="6">
        <v>47000</v>
      </c>
      <c r="P1239" s="6" t="s">
        <v>76</v>
      </c>
      <c r="Q1239" s="6" t="s">
        <v>43</v>
      </c>
      <c r="R1239" s="6">
        <v>0</v>
      </c>
      <c r="S1239" s="6" t="s">
        <v>28</v>
      </c>
      <c r="T1239" s="7">
        <f t="shared" si="95"/>
        <v>0.3063882978723404</v>
      </c>
      <c r="U1239" s="6">
        <f t="shared" si="96"/>
        <v>2</v>
      </c>
      <c r="V1239" s="5" t="str">
        <f t="shared" si="97"/>
        <v>FAIR</v>
      </c>
      <c r="W1239" s="6" t="str">
        <f t="shared" si="98"/>
        <v>45-54</v>
      </c>
      <c r="X1239" s="6" t="str">
        <f t="shared" si="99"/>
        <v>Low</v>
      </c>
    </row>
    <row r="1240" spans="1:24">
      <c r="A1240" s="6" t="s">
        <v>559</v>
      </c>
      <c r="B1240" s="6" t="s">
        <v>2781</v>
      </c>
      <c r="C1240" s="6" t="s">
        <v>46</v>
      </c>
      <c r="D1240" s="6" t="s">
        <v>254</v>
      </c>
      <c r="E1240" s="6" t="s">
        <v>255</v>
      </c>
      <c r="F1240" s="6">
        <v>65</v>
      </c>
      <c r="G1240" s="6" t="s">
        <v>34</v>
      </c>
      <c r="H1240" s="6" t="s">
        <v>2782</v>
      </c>
      <c r="I1240" s="6" t="s">
        <v>4280</v>
      </c>
      <c r="J1240" s="8">
        <v>45160</v>
      </c>
      <c r="K1240" s="8">
        <v>45302</v>
      </c>
      <c r="L1240" s="6">
        <v>94200.4</v>
      </c>
      <c r="M1240" s="6">
        <v>56400.75</v>
      </c>
      <c r="N1240" s="6">
        <v>710</v>
      </c>
      <c r="O1240" s="6">
        <v>145000</v>
      </c>
      <c r="P1240" s="6" t="s">
        <v>26</v>
      </c>
      <c r="Q1240" s="6" t="s">
        <v>27</v>
      </c>
      <c r="R1240" s="6">
        <v>0</v>
      </c>
      <c r="S1240" s="6" t="s">
        <v>28</v>
      </c>
      <c r="T1240" s="7">
        <f t="shared" si="95"/>
        <v>0.3889706896551724</v>
      </c>
      <c r="U1240" s="6">
        <f t="shared" si="96"/>
        <v>4</v>
      </c>
      <c r="V1240" s="5" t="str">
        <f t="shared" si="97"/>
        <v>GOOD</v>
      </c>
      <c r="W1240" s="6" t="str">
        <f t="shared" si="98"/>
        <v>55+</v>
      </c>
      <c r="X1240" s="6" t="str">
        <f t="shared" si="99"/>
        <v>Upper-Middle</v>
      </c>
    </row>
    <row r="1241" spans="1:24">
      <c r="A1241" s="6" t="s">
        <v>562</v>
      </c>
      <c r="B1241" s="6" t="s">
        <v>2783</v>
      </c>
      <c r="C1241" s="6" t="s">
        <v>39</v>
      </c>
      <c r="D1241" s="6" t="s">
        <v>47</v>
      </c>
      <c r="E1241" s="6" t="s">
        <v>48</v>
      </c>
      <c r="F1241" s="6">
        <v>79</v>
      </c>
      <c r="G1241" s="6" t="s">
        <v>24</v>
      </c>
      <c r="H1241" s="6" t="s">
        <v>2784</v>
      </c>
      <c r="I1241" s="6" t="s">
        <v>3921</v>
      </c>
      <c r="J1241" s="8">
        <v>44034</v>
      </c>
      <c r="K1241" s="8">
        <v>45300</v>
      </c>
      <c r="L1241" s="6">
        <v>181800.6</v>
      </c>
      <c r="M1241" s="6">
        <v>111000.25</v>
      </c>
      <c r="N1241" s="6">
        <v>675</v>
      </c>
      <c r="O1241" s="6">
        <v>214000</v>
      </c>
      <c r="P1241" s="6" t="s">
        <v>76</v>
      </c>
      <c r="Q1241" s="6" t="s">
        <v>27</v>
      </c>
      <c r="R1241" s="6">
        <v>0</v>
      </c>
      <c r="S1241" s="6" t="s">
        <v>28</v>
      </c>
      <c r="T1241" s="7">
        <f t="shared" si="95"/>
        <v>0.51869275700934581</v>
      </c>
      <c r="U1241" s="6">
        <f t="shared" si="96"/>
        <v>6</v>
      </c>
      <c r="V1241" s="5" t="str">
        <f t="shared" si="97"/>
        <v>GOOD</v>
      </c>
      <c r="W1241" s="6" t="str">
        <f t="shared" si="98"/>
        <v>55+</v>
      </c>
      <c r="X1241" s="6" t="str">
        <f t="shared" si="99"/>
        <v>High</v>
      </c>
    </row>
    <row r="1242" spans="1:24">
      <c r="A1242" s="6" t="s">
        <v>565</v>
      </c>
      <c r="B1242" s="6" t="s">
        <v>2785</v>
      </c>
      <c r="C1242" s="6" t="s">
        <v>52</v>
      </c>
      <c r="D1242" s="6" t="s">
        <v>233</v>
      </c>
      <c r="E1242" s="6" t="s">
        <v>234</v>
      </c>
      <c r="F1242" s="6">
        <v>64</v>
      </c>
      <c r="G1242" s="6" t="s">
        <v>34</v>
      </c>
      <c r="H1242" s="6" t="s">
        <v>2786</v>
      </c>
      <c r="I1242" s="6" t="s">
        <v>3599</v>
      </c>
      <c r="J1242" s="8">
        <v>44948</v>
      </c>
      <c r="K1242" s="8">
        <v>45301</v>
      </c>
      <c r="L1242" s="6">
        <v>70600.75</v>
      </c>
      <c r="M1242" s="6">
        <v>47500.800000000003</v>
      </c>
      <c r="N1242" s="6">
        <v>725</v>
      </c>
      <c r="O1242" s="6">
        <v>111000</v>
      </c>
      <c r="P1242" s="6" t="s">
        <v>26</v>
      </c>
      <c r="Q1242" s="6" t="s">
        <v>27</v>
      </c>
      <c r="R1242" s="6">
        <v>0</v>
      </c>
      <c r="S1242" s="6" t="s">
        <v>28</v>
      </c>
      <c r="T1242" s="7">
        <f t="shared" si="95"/>
        <v>0.42793513513513515</v>
      </c>
      <c r="U1242" s="6">
        <f t="shared" si="96"/>
        <v>5</v>
      </c>
      <c r="V1242" s="5" t="str">
        <f t="shared" si="97"/>
        <v>GOOD</v>
      </c>
      <c r="W1242" s="6" t="str">
        <f t="shared" si="98"/>
        <v>55+</v>
      </c>
      <c r="X1242" s="6" t="str">
        <f t="shared" si="99"/>
        <v>Lower-Middle</v>
      </c>
    </row>
    <row r="1243" spans="1:24">
      <c r="A1243" s="6" t="s">
        <v>568</v>
      </c>
      <c r="B1243" s="6" t="s">
        <v>2787</v>
      </c>
      <c r="C1243" s="6" t="s">
        <v>57</v>
      </c>
      <c r="D1243" s="6" t="s">
        <v>79</v>
      </c>
      <c r="E1243" s="6" t="s">
        <v>80</v>
      </c>
      <c r="F1243" s="6">
        <v>62</v>
      </c>
      <c r="G1243" s="6" t="s">
        <v>24</v>
      </c>
      <c r="H1243" s="6" t="s">
        <v>2788</v>
      </c>
      <c r="I1243" s="6" t="s">
        <v>3922</v>
      </c>
      <c r="J1243" s="8">
        <v>45404</v>
      </c>
      <c r="K1243" s="8">
        <v>45303</v>
      </c>
      <c r="L1243" s="6">
        <v>48600.4</v>
      </c>
      <c r="M1243" s="6">
        <v>18800.900000000001</v>
      </c>
      <c r="N1243" s="6">
        <v>740</v>
      </c>
      <c r="O1243" s="6">
        <v>97000</v>
      </c>
      <c r="P1243" s="6" t="s">
        <v>36</v>
      </c>
      <c r="Q1243" s="6" t="s">
        <v>27</v>
      </c>
      <c r="R1243" s="6">
        <v>0</v>
      </c>
      <c r="S1243" s="6" t="s">
        <v>28</v>
      </c>
      <c r="T1243" s="7">
        <f t="shared" si="95"/>
        <v>0.19382371134020621</v>
      </c>
      <c r="U1243" s="6">
        <f t="shared" si="96"/>
        <v>3</v>
      </c>
      <c r="V1243" s="5" t="str">
        <f t="shared" si="97"/>
        <v>GOOD</v>
      </c>
      <c r="W1243" s="6" t="str">
        <f t="shared" si="98"/>
        <v>55+</v>
      </c>
      <c r="X1243" s="6" t="str">
        <f t="shared" si="99"/>
        <v>Lower-Middle</v>
      </c>
    </row>
    <row r="1244" spans="1:24">
      <c r="A1244" s="6" t="s">
        <v>571</v>
      </c>
      <c r="B1244" s="6" t="s">
        <v>2789</v>
      </c>
      <c r="C1244" s="6" t="s">
        <v>21</v>
      </c>
      <c r="D1244" s="6" t="s">
        <v>63</v>
      </c>
      <c r="E1244" s="6" t="s">
        <v>3514</v>
      </c>
      <c r="F1244" s="6">
        <v>85</v>
      </c>
      <c r="G1244" s="6" t="s">
        <v>34</v>
      </c>
      <c r="H1244" s="6" t="s">
        <v>2790</v>
      </c>
      <c r="I1244" s="6" t="s">
        <v>4281</v>
      </c>
      <c r="J1244" s="8">
        <v>43577</v>
      </c>
      <c r="K1244" s="8">
        <v>45299</v>
      </c>
      <c r="L1244" s="6">
        <v>270700.90000000002</v>
      </c>
      <c r="M1244" s="6">
        <v>101000.6</v>
      </c>
      <c r="N1244" s="6">
        <v>830</v>
      </c>
      <c r="O1244" s="6">
        <v>309000</v>
      </c>
      <c r="P1244" s="6" t="s">
        <v>36</v>
      </c>
      <c r="Q1244" s="6" t="s">
        <v>27</v>
      </c>
      <c r="R1244" s="6">
        <v>0</v>
      </c>
      <c r="S1244" s="6" t="s">
        <v>28</v>
      </c>
      <c r="T1244" s="7">
        <f t="shared" si="95"/>
        <v>0.32686278317152107</v>
      </c>
      <c r="U1244" s="6">
        <f t="shared" si="96"/>
        <v>7</v>
      </c>
      <c r="V1244" s="5" t="str">
        <f t="shared" si="97"/>
        <v>EXCEPTIONAL</v>
      </c>
      <c r="W1244" s="6" t="str">
        <f t="shared" si="98"/>
        <v>55+</v>
      </c>
      <c r="X1244" s="6" t="str">
        <f t="shared" si="99"/>
        <v>High</v>
      </c>
    </row>
    <row r="1245" spans="1:24">
      <c r="A1245" s="6" t="s">
        <v>574</v>
      </c>
      <c r="B1245" s="6" t="s">
        <v>2791</v>
      </c>
      <c r="C1245" s="6" t="s">
        <v>39</v>
      </c>
      <c r="D1245" s="6" t="s">
        <v>68</v>
      </c>
      <c r="E1245" s="6" t="s">
        <v>179</v>
      </c>
      <c r="F1245" s="6">
        <v>77</v>
      </c>
      <c r="G1245" s="6" t="s">
        <v>24</v>
      </c>
      <c r="H1245" s="6" t="s">
        <v>2792</v>
      </c>
      <c r="I1245" s="6" t="s">
        <v>4282</v>
      </c>
      <c r="J1245" s="8">
        <v>44177</v>
      </c>
      <c r="K1245" s="8">
        <v>45300</v>
      </c>
      <c r="L1245" s="6">
        <v>159600.25</v>
      </c>
      <c r="M1245" s="6">
        <v>103000.4</v>
      </c>
      <c r="N1245" s="6">
        <v>655</v>
      </c>
      <c r="O1245" s="6">
        <v>199000</v>
      </c>
      <c r="P1245" s="6" t="s">
        <v>76</v>
      </c>
      <c r="Q1245" s="6" t="s">
        <v>27</v>
      </c>
      <c r="R1245" s="6">
        <v>0</v>
      </c>
      <c r="S1245" s="6" t="s">
        <v>28</v>
      </c>
      <c r="T1245" s="7">
        <f t="shared" si="95"/>
        <v>0.51758994974874373</v>
      </c>
      <c r="U1245" s="6">
        <f t="shared" si="96"/>
        <v>6</v>
      </c>
      <c r="V1245" s="5" t="str">
        <f t="shared" si="97"/>
        <v>FAIR</v>
      </c>
      <c r="W1245" s="6" t="str">
        <f t="shared" si="98"/>
        <v>55+</v>
      </c>
      <c r="X1245" s="6" t="str">
        <f t="shared" si="99"/>
        <v>High</v>
      </c>
    </row>
    <row r="1246" spans="1:24">
      <c r="A1246" s="6" t="s">
        <v>577</v>
      </c>
      <c r="B1246" s="6" t="s">
        <v>2793</v>
      </c>
      <c r="C1246" s="6" t="s">
        <v>46</v>
      </c>
      <c r="D1246" s="6" t="s">
        <v>85</v>
      </c>
      <c r="E1246" s="6" t="s">
        <v>86</v>
      </c>
      <c r="F1246" s="6">
        <v>66</v>
      </c>
      <c r="G1246" s="6" t="s">
        <v>34</v>
      </c>
      <c r="H1246" s="6" t="s">
        <v>2794</v>
      </c>
      <c r="I1246" s="6" t="s">
        <v>3968</v>
      </c>
      <c r="J1246" s="8">
        <v>45068</v>
      </c>
      <c r="K1246" s="8">
        <v>45302</v>
      </c>
      <c r="L1246" s="6">
        <v>113100.6</v>
      </c>
      <c r="M1246" s="6">
        <v>64400.75</v>
      </c>
      <c r="N1246" s="6">
        <v>760</v>
      </c>
      <c r="O1246" s="6">
        <v>168000</v>
      </c>
      <c r="P1246" s="6" t="s">
        <v>26</v>
      </c>
      <c r="Q1246" s="6" t="s">
        <v>27</v>
      </c>
      <c r="R1246" s="6">
        <v>0</v>
      </c>
      <c r="S1246" s="6" t="s">
        <v>28</v>
      </c>
      <c r="T1246" s="7">
        <f t="shared" si="95"/>
        <v>0.38333779761904763</v>
      </c>
      <c r="U1246" s="6">
        <f t="shared" si="96"/>
        <v>4</v>
      </c>
      <c r="V1246" s="5" t="str">
        <f t="shared" si="97"/>
        <v>VERY GOOD</v>
      </c>
      <c r="W1246" s="6" t="str">
        <f t="shared" si="98"/>
        <v>55+</v>
      </c>
      <c r="X1246" s="6" t="str">
        <f t="shared" si="99"/>
        <v>Upper-Middle</v>
      </c>
    </row>
    <row r="1247" spans="1:24">
      <c r="A1247" s="6" t="s">
        <v>458</v>
      </c>
      <c r="B1247" s="6" t="s">
        <v>2795</v>
      </c>
      <c r="C1247" s="6" t="s">
        <v>31</v>
      </c>
      <c r="D1247" s="6" t="s">
        <v>460</v>
      </c>
      <c r="E1247" s="6" t="s">
        <v>461</v>
      </c>
      <c r="F1247" s="6">
        <v>57</v>
      </c>
      <c r="G1247" s="6" t="s">
        <v>24</v>
      </c>
      <c r="H1247" s="6" t="s">
        <v>2796</v>
      </c>
      <c r="I1247" s="6" t="s">
        <v>4283</v>
      </c>
      <c r="J1247" s="8">
        <v>45593</v>
      </c>
      <c r="K1247" s="8">
        <v>45306</v>
      </c>
      <c r="L1247" s="6">
        <v>22900.25</v>
      </c>
      <c r="M1247" s="6">
        <v>13600.8</v>
      </c>
      <c r="N1247" s="6">
        <v>695</v>
      </c>
      <c r="O1247" s="6">
        <v>68000</v>
      </c>
      <c r="P1247" s="6" t="s">
        <v>26</v>
      </c>
      <c r="Q1247" s="6" t="s">
        <v>43</v>
      </c>
      <c r="R1247" s="6">
        <v>0</v>
      </c>
      <c r="S1247" s="6" t="s">
        <v>28</v>
      </c>
      <c r="T1247" s="7">
        <f t="shared" si="95"/>
        <v>0.20001176470588233</v>
      </c>
      <c r="U1247" s="6">
        <f t="shared" si="96"/>
        <v>0</v>
      </c>
      <c r="V1247" s="5" t="str">
        <f t="shared" si="97"/>
        <v>GOOD</v>
      </c>
      <c r="W1247" s="6" t="str">
        <f t="shared" si="98"/>
        <v>55+</v>
      </c>
      <c r="X1247" s="6" t="str">
        <f t="shared" si="99"/>
        <v>Low</v>
      </c>
    </row>
    <row r="1248" spans="1:24">
      <c r="A1248" s="6" t="s">
        <v>582</v>
      </c>
      <c r="B1248" s="6" t="s">
        <v>2797</v>
      </c>
      <c r="C1248" s="6" t="s">
        <v>57</v>
      </c>
      <c r="D1248" s="6" t="s">
        <v>22</v>
      </c>
      <c r="E1248" s="6" t="s">
        <v>53</v>
      </c>
      <c r="F1248" s="6">
        <v>60</v>
      </c>
      <c r="G1248" s="6" t="s">
        <v>34</v>
      </c>
      <c r="H1248" s="6" t="s">
        <v>2798</v>
      </c>
      <c r="I1248" s="6" t="s">
        <v>4008</v>
      </c>
      <c r="J1248" s="8">
        <v>45344</v>
      </c>
      <c r="K1248" s="8">
        <v>45303</v>
      </c>
      <c r="L1248" s="6">
        <v>47500.9</v>
      </c>
      <c r="M1248" s="6">
        <v>18400.25</v>
      </c>
      <c r="N1248" s="6">
        <v>755</v>
      </c>
      <c r="O1248" s="6">
        <v>90000</v>
      </c>
      <c r="P1248" s="6" t="s">
        <v>36</v>
      </c>
      <c r="Q1248" s="6" t="s">
        <v>27</v>
      </c>
      <c r="R1248" s="6">
        <v>0</v>
      </c>
      <c r="S1248" s="6" t="s">
        <v>28</v>
      </c>
      <c r="T1248" s="7">
        <f t="shared" si="95"/>
        <v>0.20444722222222222</v>
      </c>
      <c r="U1248" s="6">
        <f t="shared" si="96"/>
        <v>3</v>
      </c>
      <c r="V1248" s="5" t="str">
        <f t="shared" si="97"/>
        <v>VERY GOOD</v>
      </c>
      <c r="W1248" s="6" t="str">
        <f t="shared" si="98"/>
        <v>55+</v>
      </c>
      <c r="X1248" s="6" t="str">
        <f t="shared" si="99"/>
        <v>Lower-Middle</v>
      </c>
    </row>
    <row r="1249" spans="1:24">
      <c r="A1249" s="6" t="s">
        <v>55</v>
      </c>
      <c r="B1249" s="6" t="s">
        <v>2799</v>
      </c>
      <c r="C1249" s="6" t="s">
        <v>39</v>
      </c>
      <c r="D1249" s="6" t="s">
        <v>58</v>
      </c>
      <c r="E1249" s="6" t="s">
        <v>122</v>
      </c>
      <c r="F1249" s="6">
        <v>78</v>
      </c>
      <c r="G1249" s="6" t="s">
        <v>24</v>
      </c>
      <c r="H1249" s="6" t="s">
        <v>2800</v>
      </c>
      <c r="I1249" s="6" t="s">
        <v>3928</v>
      </c>
      <c r="J1249" s="8">
        <v>44096</v>
      </c>
      <c r="K1249" s="8">
        <v>45300</v>
      </c>
      <c r="L1249" s="6">
        <v>192500.4</v>
      </c>
      <c r="M1249" s="6">
        <v>116000.75</v>
      </c>
      <c r="N1249" s="6">
        <v>685</v>
      </c>
      <c r="O1249" s="6">
        <v>224000</v>
      </c>
      <c r="P1249" s="6" t="s">
        <v>76</v>
      </c>
      <c r="Q1249" s="6" t="s">
        <v>27</v>
      </c>
      <c r="R1249" s="6">
        <v>0</v>
      </c>
      <c r="S1249" s="6" t="s">
        <v>28</v>
      </c>
      <c r="T1249" s="7">
        <f t="shared" si="95"/>
        <v>0.51786049107142862</v>
      </c>
      <c r="U1249" s="6">
        <f t="shared" si="96"/>
        <v>6</v>
      </c>
      <c r="V1249" s="5" t="str">
        <f t="shared" si="97"/>
        <v>GOOD</v>
      </c>
      <c r="W1249" s="6" t="str">
        <f t="shared" si="98"/>
        <v>55+</v>
      </c>
      <c r="X1249" s="6" t="str">
        <f t="shared" si="99"/>
        <v>High</v>
      </c>
    </row>
    <row r="1250" spans="1:24">
      <c r="A1250" s="6" t="s">
        <v>469</v>
      </c>
      <c r="B1250" s="6" t="s">
        <v>2801</v>
      </c>
      <c r="C1250" s="6" t="s">
        <v>52</v>
      </c>
      <c r="D1250" s="6" t="s">
        <v>471</v>
      </c>
      <c r="E1250" s="6" t="s">
        <v>472</v>
      </c>
      <c r="F1250" s="6">
        <v>69</v>
      </c>
      <c r="G1250" s="6" t="s">
        <v>34</v>
      </c>
      <c r="H1250" s="6" t="s">
        <v>2802</v>
      </c>
      <c r="I1250" s="6" t="s">
        <v>4284</v>
      </c>
      <c r="J1250" s="8">
        <v>44734</v>
      </c>
      <c r="K1250" s="8">
        <v>45301</v>
      </c>
      <c r="L1250" s="6">
        <v>77500.800000000003</v>
      </c>
      <c r="M1250" s="6">
        <v>50600.6</v>
      </c>
      <c r="N1250" s="6">
        <v>715</v>
      </c>
      <c r="O1250" s="6">
        <v>123000</v>
      </c>
      <c r="P1250" s="6" t="s">
        <v>26</v>
      </c>
      <c r="Q1250" s="6" t="s">
        <v>27</v>
      </c>
      <c r="R1250" s="6">
        <v>0</v>
      </c>
      <c r="S1250" s="6" t="s">
        <v>28</v>
      </c>
      <c r="T1250" s="7">
        <f t="shared" si="95"/>
        <v>0.41138699186991867</v>
      </c>
      <c r="U1250" s="6">
        <f t="shared" si="96"/>
        <v>5</v>
      </c>
      <c r="V1250" s="5" t="str">
        <f t="shared" si="97"/>
        <v>GOOD</v>
      </c>
      <c r="W1250" s="6" t="str">
        <f t="shared" si="98"/>
        <v>55+</v>
      </c>
      <c r="X1250" s="6" t="str">
        <f t="shared" si="99"/>
        <v>Lower-Middle</v>
      </c>
    </row>
    <row r="1251" spans="1:24">
      <c r="A1251" s="6" t="s">
        <v>474</v>
      </c>
      <c r="B1251" s="6" t="s">
        <v>2803</v>
      </c>
      <c r="C1251" s="6" t="s">
        <v>46</v>
      </c>
      <c r="D1251" s="6" t="s">
        <v>345</v>
      </c>
      <c r="E1251" s="6" t="s">
        <v>476</v>
      </c>
      <c r="F1251" s="6">
        <v>72</v>
      </c>
      <c r="G1251" s="6" t="s">
        <v>24</v>
      </c>
      <c r="H1251" s="6" t="s">
        <v>2804</v>
      </c>
      <c r="I1251" s="6" t="s">
        <v>3619</v>
      </c>
      <c r="J1251" s="8">
        <v>44642</v>
      </c>
      <c r="K1251" s="8">
        <v>45302</v>
      </c>
      <c r="L1251" s="6">
        <v>105300.25</v>
      </c>
      <c r="M1251" s="6">
        <v>60600.4</v>
      </c>
      <c r="N1251" s="6">
        <v>680</v>
      </c>
      <c r="O1251" s="6">
        <v>152000</v>
      </c>
      <c r="P1251" s="6" t="s">
        <v>26</v>
      </c>
      <c r="Q1251" s="6" t="s">
        <v>27</v>
      </c>
      <c r="R1251" s="6">
        <v>0</v>
      </c>
      <c r="S1251" s="6" t="s">
        <v>28</v>
      </c>
      <c r="T1251" s="7">
        <f t="shared" si="95"/>
        <v>0.39868684210526317</v>
      </c>
      <c r="U1251" s="6">
        <f t="shared" si="96"/>
        <v>4</v>
      </c>
      <c r="V1251" s="5" t="str">
        <f t="shared" si="97"/>
        <v>GOOD</v>
      </c>
      <c r="W1251" s="6" t="str">
        <f t="shared" si="98"/>
        <v>55+</v>
      </c>
      <c r="X1251" s="6" t="str">
        <f t="shared" si="99"/>
        <v>Upper-Middle</v>
      </c>
    </row>
    <row r="1252" spans="1:24">
      <c r="A1252" s="6" t="s">
        <v>592</v>
      </c>
      <c r="B1252" s="6" t="s">
        <v>2805</v>
      </c>
      <c r="C1252" s="6" t="s">
        <v>84</v>
      </c>
      <c r="D1252" s="6" t="s">
        <v>32</v>
      </c>
      <c r="E1252" s="6" t="s">
        <v>90</v>
      </c>
      <c r="F1252" s="6">
        <v>52</v>
      </c>
      <c r="G1252" s="6" t="s">
        <v>34</v>
      </c>
      <c r="H1252" s="6" t="s">
        <v>2806</v>
      </c>
      <c r="I1252" s="6" t="s">
        <v>3544</v>
      </c>
      <c r="J1252" s="8">
        <v>45601</v>
      </c>
      <c r="K1252" s="8">
        <v>45304</v>
      </c>
      <c r="L1252" s="6">
        <v>4850.3999999999996</v>
      </c>
      <c r="M1252" s="6">
        <v>15000.75</v>
      </c>
      <c r="N1252" s="6">
        <v>610</v>
      </c>
      <c r="O1252" s="6">
        <v>48000</v>
      </c>
      <c r="P1252" s="6" t="s">
        <v>76</v>
      </c>
      <c r="Q1252" s="6" t="s">
        <v>43</v>
      </c>
      <c r="R1252" s="6">
        <v>0</v>
      </c>
      <c r="S1252" s="6" t="s">
        <v>28</v>
      </c>
      <c r="T1252" s="7">
        <f t="shared" si="95"/>
        <v>0.31251562500000002</v>
      </c>
      <c r="U1252" s="6">
        <f t="shared" si="96"/>
        <v>2</v>
      </c>
      <c r="V1252" s="5" t="str">
        <f t="shared" si="97"/>
        <v>FAIR</v>
      </c>
      <c r="W1252" s="6" t="str">
        <f t="shared" si="98"/>
        <v>45-54</v>
      </c>
      <c r="X1252" s="6" t="str">
        <f t="shared" si="99"/>
        <v>Low</v>
      </c>
    </row>
    <row r="1253" spans="1:24">
      <c r="A1253" s="6" t="s">
        <v>595</v>
      </c>
      <c r="B1253" s="6" t="s">
        <v>2807</v>
      </c>
      <c r="C1253" s="6" t="s">
        <v>21</v>
      </c>
      <c r="D1253" s="6" t="s">
        <v>209</v>
      </c>
      <c r="E1253" s="6" t="s">
        <v>210</v>
      </c>
      <c r="F1253" s="6">
        <v>84</v>
      </c>
      <c r="G1253" s="6" t="s">
        <v>24</v>
      </c>
      <c r="H1253" s="6" t="s">
        <v>2808</v>
      </c>
      <c r="I1253" s="6" t="s">
        <v>4118</v>
      </c>
      <c r="J1253" s="8">
        <v>43791</v>
      </c>
      <c r="K1253" s="8">
        <v>45299</v>
      </c>
      <c r="L1253" s="6">
        <v>290500.8</v>
      </c>
      <c r="M1253" s="6">
        <v>107000.25</v>
      </c>
      <c r="N1253" s="6">
        <v>825</v>
      </c>
      <c r="O1253" s="6">
        <v>304000</v>
      </c>
      <c r="P1253" s="6" t="s">
        <v>36</v>
      </c>
      <c r="Q1253" s="6" t="s">
        <v>27</v>
      </c>
      <c r="R1253" s="6">
        <v>0</v>
      </c>
      <c r="S1253" s="6" t="s">
        <v>28</v>
      </c>
      <c r="T1253" s="7">
        <f t="shared" si="95"/>
        <v>0.35197450657894735</v>
      </c>
      <c r="U1253" s="6">
        <f t="shared" si="96"/>
        <v>7</v>
      </c>
      <c r="V1253" s="5" t="str">
        <f t="shared" si="97"/>
        <v>EXCEPTIONAL</v>
      </c>
      <c r="W1253" s="6" t="str">
        <f t="shared" si="98"/>
        <v>55+</v>
      </c>
      <c r="X1253" s="6" t="str">
        <f t="shared" si="99"/>
        <v>High</v>
      </c>
    </row>
    <row r="1254" spans="1:24">
      <c r="A1254" s="6" t="s">
        <v>226</v>
      </c>
      <c r="B1254" s="6" t="s">
        <v>2809</v>
      </c>
      <c r="C1254" s="6" t="s">
        <v>57</v>
      </c>
      <c r="D1254" s="6" t="s">
        <v>228</v>
      </c>
      <c r="E1254" s="6" t="s">
        <v>229</v>
      </c>
      <c r="F1254" s="6">
        <v>59</v>
      </c>
      <c r="G1254" s="6" t="s">
        <v>34</v>
      </c>
      <c r="H1254" s="6" t="s">
        <v>2810</v>
      </c>
      <c r="I1254" s="6" t="s">
        <v>4285</v>
      </c>
      <c r="J1254" s="8">
        <v>45526</v>
      </c>
      <c r="K1254" s="8">
        <v>45305</v>
      </c>
      <c r="L1254" s="6">
        <v>44200.75</v>
      </c>
      <c r="M1254" s="6">
        <v>16800.400000000001</v>
      </c>
      <c r="N1254" s="6">
        <v>725</v>
      </c>
      <c r="O1254" s="6">
        <v>80000</v>
      </c>
      <c r="P1254" s="6" t="s">
        <v>36</v>
      </c>
      <c r="Q1254" s="6" t="s">
        <v>27</v>
      </c>
      <c r="R1254" s="6">
        <v>0</v>
      </c>
      <c r="S1254" s="6" t="s">
        <v>28</v>
      </c>
      <c r="T1254" s="7">
        <f t="shared" si="95"/>
        <v>0.21000500000000002</v>
      </c>
      <c r="U1254" s="6">
        <f t="shared" si="96"/>
        <v>1</v>
      </c>
      <c r="V1254" s="5" t="str">
        <f t="shared" si="97"/>
        <v>GOOD</v>
      </c>
      <c r="W1254" s="6" t="str">
        <f t="shared" si="98"/>
        <v>55+</v>
      </c>
      <c r="X1254" s="6" t="str">
        <f t="shared" si="99"/>
        <v>Lower-Middle</v>
      </c>
    </row>
    <row r="1255" spans="1:24">
      <c r="A1255" s="6" t="s">
        <v>488</v>
      </c>
      <c r="B1255" s="6" t="s">
        <v>2811</v>
      </c>
      <c r="C1255" s="6" t="s">
        <v>39</v>
      </c>
      <c r="D1255" s="6" t="s">
        <v>304</v>
      </c>
      <c r="E1255" s="6" t="s">
        <v>304</v>
      </c>
      <c r="F1255" s="6">
        <v>76</v>
      </c>
      <c r="G1255" s="6" t="s">
        <v>24</v>
      </c>
      <c r="H1255" s="6" t="s">
        <v>2812</v>
      </c>
      <c r="I1255" s="6" t="s">
        <v>4286</v>
      </c>
      <c r="J1255" s="8">
        <v>44267</v>
      </c>
      <c r="K1255" s="8">
        <v>45300</v>
      </c>
      <c r="L1255" s="6">
        <v>170700.6</v>
      </c>
      <c r="M1255" s="6">
        <v>107000.9</v>
      </c>
      <c r="N1255" s="6">
        <v>675</v>
      </c>
      <c r="O1255" s="6">
        <v>204000</v>
      </c>
      <c r="P1255" s="6" t="s">
        <v>76</v>
      </c>
      <c r="Q1255" s="6" t="s">
        <v>27</v>
      </c>
      <c r="R1255" s="6">
        <v>0</v>
      </c>
      <c r="S1255" s="6" t="s">
        <v>28</v>
      </c>
      <c r="T1255" s="7">
        <f t="shared" si="95"/>
        <v>0.52451421568627443</v>
      </c>
      <c r="U1255" s="6">
        <f t="shared" si="96"/>
        <v>6</v>
      </c>
      <c r="V1255" s="5" t="str">
        <f t="shared" si="97"/>
        <v>GOOD</v>
      </c>
      <c r="W1255" s="6" t="str">
        <f t="shared" si="98"/>
        <v>55+</v>
      </c>
      <c r="X1255" s="6" t="str">
        <f t="shared" si="99"/>
        <v>High</v>
      </c>
    </row>
    <row r="1256" spans="1:24">
      <c r="A1256" s="6" t="s">
        <v>491</v>
      </c>
      <c r="B1256" s="6" t="s">
        <v>2813</v>
      </c>
      <c r="C1256" s="6" t="s">
        <v>52</v>
      </c>
      <c r="D1256" s="6" t="s">
        <v>493</v>
      </c>
      <c r="E1256" s="6" t="s">
        <v>494</v>
      </c>
      <c r="F1256" s="6">
        <v>67</v>
      </c>
      <c r="G1256" s="6" t="s">
        <v>34</v>
      </c>
      <c r="H1256" s="6" t="s">
        <v>2814</v>
      </c>
      <c r="I1256" s="6" t="s">
        <v>4287</v>
      </c>
      <c r="J1256" s="8">
        <v>45038</v>
      </c>
      <c r="K1256" s="8">
        <v>45302</v>
      </c>
      <c r="L1256" s="6">
        <v>71700.399999999994</v>
      </c>
      <c r="M1256" s="6">
        <v>46400.25</v>
      </c>
      <c r="N1256" s="6">
        <v>705</v>
      </c>
      <c r="O1256" s="6">
        <v>112000</v>
      </c>
      <c r="P1256" s="6" t="s">
        <v>26</v>
      </c>
      <c r="Q1256" s="6" t="s">
        <v>27</v>
      </c>
      <c r="R1256" s="6">
        <v>0</v>
      </c>
      <c r="S1256" s="6" t="s">
        <v>28</v>
      </c>
      <c r="T1256" s="7">
        <f t="shared" si="95"/>
        <v>0.41428794642857142</v>
      </c>
      <c r="U1256" s="6">
        <f t="shared" si="96"/>
        <v>4</v>
      </c>
      <c r="V1256" s="5" t="str">
        <f t="shared" si="97"/>
        <v>GOOD</v>
      </c>
      <c r="W1256" s="6" t="str">
        <f t="shared" si="98"/>
        <v>55+</v>
      </c>
      <c r="X1256" s="6" t="str">
        <f t="shared" si="99"/>
        <v>Lower-Middle</v>
      </c>
    </row>
    <row r="1257" spans="1:24">
      <c r="A1257" s="6" t="s">
        <v>496</v>
      </c>
      <c r="B1257" s="6" t="s">
        <v>2815</v>
      </c>
      <c r="C1257" s="6" t="s">
        <v>46</v>
      </c>
      <c r="D1257" s="6" t="s">
        <v>321</v>
      </c>
      <c r="E1257" s="6" t="s">
        <v>322</v>
      </c>
      <c r="F1257" s="6">
        <v>70</v>
      </c>
      <c r="G1257" s="6" t="s">
        <v>24</v>
      </c>
      <c r="H1257" s="6" t="s">
        <v>2816</v>
      </c>
      <c r="I1257" s="6" t="s">
        <v>4288</v>
      </c>
      <c r="J1257" s="8">
        <v>44522</v>
      </c>
      <c r="K1257" s="8">
        <v>45301</v>
      </c>
      <c r="L1257" s="6">
        <v>117100.75</v>
      </c>
      <c r="M1257" s="6">
        <v>67500.800000000003</v>
      </c>
      <c r="N1257" s="6">
        <v>730</v>
      </c>
      <c r="O1257" s="6">
        <v>178000</v>
      </c>
      <c r="P1257" s="6" t="s">
        <v>26</v>
      </c>
      <c r="Q1257" s="6" t="s">
        <v>27</v>
      </c>
      <c r="R1257" s="6">
        <v>0</v>
      </c>
      <c r="S1257" s="6" t="s">
        <v>28</v>
      </c>
      <c r="T1257" s="7">
        <f t="shared" si="95"/>
        <v>0.37921797752808989</v>
      </c>
      <c r="U1257" s="6">
        <f t="shared" si="96"/>
        <v>5</v>
      </c>
      <c r="V1257" s="5" t="str">
        <f t="shared" si="97"/>
        <v>GOOD</v>
      </c>
      <c r="W1257" s="6" t="str">
        <f t="shared" si="98"/>
        <v>55+</v>
      </c>
      <c r="X1257" s="6" t="str">
        <f t="shared" si="99"/>
        <v>Upper-Middle</v>
      </c>
    </row>
    <row r="1258" spans="1:24">
      <c r="A1258" s="6" t="s">
        <v>324</v>
      </c>
      <c r="B1258" s="6" t="s">
        <v>2817</v>
      </c>
      <c r="C1258" s="6" t="s">
        <v>31</v>
      </c>
      <c r="D1258" s="6" t="s">
        <v>313</v>
      </c>
      <c r="E1258" s="6" t="s">
        <v>501</v>
      </c>
      <c r="F1258" s="6">
        <v>55</v>
      </c>
      <c r="G1258" s="6" t="s">
        <v>34</v>
      </c>
      <c r="H1258" s="6" t="s">
        <v>2818</v>
      </c>
      <c r="I1258" s="6" t="s">
        <v>4289</v>
      </c>
      <c r="J1258" s="8">
        <v>45593</v>
      </c>
      <c r="K1258" s="8">
        <v>45306</v>
      </c>
      <c r="L1258" s="6">
        <v>19400.900000000001</v>
      </c>
      <c r="M1258" s="6">
        <v>11100.75</v>
      </c>
      <c r="N1258" s="6">
        <v>685</v>
      </c>
      <c r="O1258" s="6">
        <v>65000</v>
      </c>
      <c r="P1258" s="6" t="s">
        <v>26</v>
      </c>
      <c r="Q1258" s="6" t="s">
        <v>43</v>
      </c>
      <c r="R1258" s="6">
        <v>0</v>
      </c>
      <c r="S1258" s="6" t="s">
        <v>28</v>
      </c>
      <c r="T1258" s="7">
        <f t="shared" si="95"/>
        <v>0.17078076923076924</v>
      </c>
      <c r="U1258" s="6">
        <f t="shared" si="96"/>
        <v>0</v>
      </c>
      <c r="V1258" s="5" t="str">
        <f t="shared" si="97"/>
        <v>GOOD</v>
      </c>
      <c r="W1258" s="6" t="str">
        <f t="shared" si="98"/>
        <v>55+</v>
      </c>
      <c r="X1258" s="6" t="str">
        <f t="shared" si="99"/>
        <v>Low</v>
      </c>
    </row>
    <row r="1259" spans="1:24">
      <c r="A1259" s="6" t="s">
        <v>503</v>
      </c>
      <c r="B1259" s="6" t="s">
        <v>2819</v>
      </c>
      <c r="C1259" s="6" t="s">
        <v>21</v>
      </c>
      <c r="D1259" s="6" t="s">
        <v>32</v>
      </c>
      <c r="E1259" s="6" t="s">
        <v>33</v>
      </c>
      <c r="F1259" s="6">
        <v>87</v>
      </c>
      <c r="G1259" s="6" t="s">
        <v>24</v>
      </c>
      <c r="H1259" s="6" t="s">
        <v>2820</v>
      </c>
      <c r="I1259" s="6" t="s">
        <v>3627</v>
      </c>
      <c r="J1259" s="8">
        <v>43518</v>
      </c>
      <c r="K1259" s="8">
        <v>45299</v>
      </c>
      <c r="L1259" s="6">
        <v>301400.25</v>
      </c>
      <c r="M1259" s="6">
        <v>111000.4</v>
      </c>
      <c r="N1259" s="6">
        <v>840</v>
      </c>
      <c r="O1259" s="6">
        <v>319000</v>
      </c>
      <c r="P1259" s="6" t="s">
        <v>36</v>
      </c>
      <c r="Q1259" s="6" t="s">
        <v>27</v>
      </c>
      <c r="R1259" s="6">
        <v>0</v>
      </c>
      <c r="S1259" s="6" t="s">
        <v>28</v>
      </c>
      <c r="T1259" s="7">
        <f t="shared" si="95"/>
        <v>0.34796363636363636</v>
      </c>
      <c r="U1259" s="6">
        <f t="shared" si="96"/>
        <v>7</v>
      </c>
      <c r="V1259" s="5" t="str">
        <f t="shared" si="97"/>
        <v>EXCEPTIONAL</v>
      </c>
      <c r="W1259" s="6" t="str">
        <f t="shared" si="98"/>
        <v>55+</v>
      </c>
      <c r="X1259" s="6" t="str">
        <f t="shared" si="99"/>
        <v>High</v>
      </c>
    </row>
    <row r="1260" spans="1:24">
      <c r="A1260" s="6" t="s">
        <v>506</v>
      </c>
      <c r="B1260" s="6" t="s">
        <v>2821</v>
      </c>
      <c r="C1260" s="6" t="s">
        <v>39</v>
      </c>
      <c r="D1260" s="6" t="s">
        <v>68</v>
      </c>
      <c r="E1260" s="6" t="s">
        <v>69</v>
      </c>
      <c r="F1260" s="6">
        <v>79</v>
      </c>
      <c r="G1260" s="6" t="s">
        <v>34</v>
      </c>
      <c r="H1260" s="6" t="s">
        <v>2822</v>
      </c>
      <c r="I1260" s="6" t="s">
        <v>4266</v>
      </c>
      <c r="J1260" s="8">
        <v>44034</v>
      </c>
      <c r="K1260" s="8">
        <v>45300</v>
      </c>
      <c r="L1260" s="6">
        <v>181800.4</v>
      </c>
      <c r="M1260" s="6">
        <v>111000.75</v>
      </c>
      <c r="N1260" s="6">
        <v>650</v>
      </c>
      <c r="O1260" s="6">
        <v>214000</v>
      </c>
      <c r="P1260" s="6" t="s">
        <v>76</v>
      </c>
      <c r="Q1260" s="6" t="s">
        <v>27</v>
      </c>
      <c r="R1260" s="6">
        <v>0</v>
      </c>
      <c r="S1260" s="6" t="s">
        <v>28</v>
      </c>
      <c r="T1260" s="7">
        <f t="shared" si="95"/>
        <v>0.51869509345794396</v>
      </c>
      <c r="U1260" s="6">
        <f t="shared" si="96"/>
        <v>6</v>
      </c>
      <c r="V1260" s="5" t="str">
        <f t="shared" si="97"/>
        <v>FAIR</v>
      </c>
      <c r="W1260" s="6" t="str">
        <f t="shared" si="98"/>
        <v>55+</v>
      </c>
      <c r="X1260" s="6" t="str">
        <f t="shared" si="99"/>
        <v>High</v>
      </c>
    </row>
    <row r="1261" spans="1:24">
      <c r="A1261" s="6" t="s">
        <v>509</v>
      </c>
      <c r="B1261" s="6" t="s">
        <v>2823</v>
      </c>
      <c r="C1261" s="6" t="s">
        <v>46</v>
      </c>
      <c r="D1261" s="6" t="s">
        <v>73</v>
      </c>
      <c r="E1261" s="6" t="s">
        <v>158</v>
      </c>
      <c r="F1261" s="6">
        <v>66</v>
      </c>
      <c r="G1261" s="6" t="s">
        <v>24</v>
      </c>
      <c r="H1261" s="6" t="s">
        <v>2824</v>
      </c>
      <c r="I1261" s="6" t="s">
        <v>4290</v>
      </c>
      <c r="J1261" s="8">
        <v>45252</v>
      </c>
      <c r="K1261" s="8">
        <v>45303</v>
      </c>
      <c r="L1261" s="6">
        <v>105900.4</v>
      </c>
      <c r="M1261" s="6">
        <v>61700.25</v>
      </c>
      <c r="N1261" s="6">
        <v>745</v>
      </c>
      <c r="O1261" s="6">
        <v>158000</v>
      </c>
      <c r="P1261" s="6" t="s">
        <v>26</v>
      </c>
      <c r="Q1261" s="6" t="s">
        <v>27</v>
      </c>
      <c r="R1261" s="6">
        <v>0</v>
      </c>
      <c r="S1261" s="6" t="s">
        <v>28</v>
      </c>
      <c r="T1261" s="7">
        <f t="shared" si="95"/>
        <v>0.39050791139240504</v>
      </c>
      <c r="U1261" s="6">
        <f t="shared" si="96"/>
        <v>3</v>
      </c>
      <c r="V1261" s="5" t="str">
        <f t="shared" si="97"/>
        <v>GOOD</v>
      </c>
      <c r="W1261" s="6" t="str">
        <f t="shared" si="98"/>
        <v>55+</v>
      </c>
      <c r="X1261" s="6" t="str">
        <f t="shared" si="99"/>
        <v>Upper-Middle</v>
      </c>
    </row>
    <row r="1262" spans="1:24">
      <c r="A1262" s="6" t="s">
        <v>513</v>
      </c>
      <c r="B1262" s="6" t="s">
        <v>2825</v>
      </c>
      <c r="C1262" s="6" t="s">
        <v>57</v>
      </c>
      <c r="D1262" s="6" t="s">
        <v>58</v>
      </c>
      <c r="E1262" s="6" t="s">
        <v>59</v>
      </c>
      <c r="F1262" s="6">
        <v>61</v>
      </c>
      <c r="G1262" s="6" t="s">
        <v>34</v>
      </c>
      <c r="H1262" s="6" t="s">
        <v>2826</v>
      </c>
      <c r="I1262" s="6" t="s">
        <v>3630</v>
      </c>
      <c r="J1262" s="8">
        <v>45434</v>
      </c>
      <c r="K1262" s="8">
        <v>45302</v>
      </c>
      <c r="L1262" s="6">
        <v>46400.800000000003</v>
      </c>
      <c r="M1262" s="6">
        <v>18000.900000000001</v>
      </c>
      <c r="N1262" s="6">
        <v>765</v>
      </c>
      <c r="O1262" s="6">
        <v>90000</v>
      </c>
      <c r="P1262" s="6" t="s">
        <v>36</v>
      </c>
      <c r="Q1262" s="6" t="s">
        <v>27</v>
      </c>
      <c r="R1262" s="6">
        <v>0</v>
      </c>
      <c r="S1262" s="6" t="s">
        <v>28</v>
      </c>
      <c r="T1262" s="7">
        <f t="shared" si="95"/>
        <v>0.20001000000000002</v>
      </c>
      <c r="U1262" s="6">
        <f t="shared" si="96"/>
        <v>4</v>
      </c>
      <c r="V1262" s="5" t="str">
        <f t="shared" si="97"/>
        <v>VERY GOOD</v>
      </c>
      <c r="W1262" s="6" t="str">
        <f t="shared" si="98"/>
        <v>55+</v>
      </c>
      <c r="X1262" s="6" t="str">
        <f t="shared" si="99"/>
        <v>Lower-Middle</v>
      </c>
    </row>
    <row r="1263" spans="1:24">
      <c r="A1263" s="6" t="s">
        <v>516</v>
      </c>
      <c r="B1263" s="6" t="s">
        <v>2827</v>
      </c>
      <c r="C1263" s="6" t="s">
        <v>52</v>
      </c>
      <c r="D1263" s="6" t="s">
        <v>277</v>
      </c>
      <c r="E1263" s="6" t="s">
        <v>404</v>
      </c>
      <c r="F1263" s="6">
        <v>74</v>
      </c>
      <c r="G1263" s="6" t="s">
        <v>24</v>
      </c>
      <c r="H1263" s="6" t="s">
        <v>2828</v>
      </c>
      <c r="I1263" s="6" t="s">
        <v>3977</v>
      </c>
      <c r="J1263" s="8">
        <v>44703</v>
      </c>
      <c r="K1263" s="8">
        <v>45301</v>
      </c>
      <c r="L1263" s="6">
        <v>79700.75</v>
      </c>
      <c r="M1263" s="6">
        <v>52800.4</v>
      </c>
      <c r="N1263" s="6">
        <v>675</v>
      </c>
      <c r="O1263" s="6">
        <v>130000</v>
      </c>
      <c r="P1263" s="6" t="s">
        <v>26</v>
      </c>
      <c r="Q1263" s="6" t="s">
        <v>27</v>
      </c>
      <c r="R1263" s="6">
        <v>0</v>
      </c>
      <c r="S1263" s="6" t="s">
        <v>28</v>
      </c>
      <c r="T1263" s="7">
        <f t="shared" si="95"/>
        <v>0.40615692307692308</v>
      </c>
      <c r="U1263" s="6">
        <f t="shared" si="96"/>
        <v>5</v>
      </c>
      <c r="V1263" s="5" t="str">
        <f t="shared" si="97"/>
        <v>GOOD</v>
      </c>
      <c r="W1263" s="6" t="str">
        <f t="shared" si="98"/>
        <v>55+</v>
      </c>
      <c r="X1263" s="6" t="str">
        <f t="shared" si="99"/>
        <v>Upper-Middle</v>
      </c>
    </row>
    <row r="1264" spans="1:24">
      <c r="A1264" s="6" t="s">
        <v>519</v>
      </c>
      <c r="B1264" s="6" t="s">
        <v>2829</v>
      </c>
      <c r="C1264" s="6" t="s">
        <v>84</v>
      </c>
      <c r="D1264" s="6" t="s">
        <v>183</v>
      </c>
      <c r="E1264" s="6" t="s">
        <v>184</v>
      </c>
      <c r="F1264" s="6">
        <v>53</v>
      </c>
      <c r="G1264" s="6" t="s">
        <v>34</v>
      </c>
      <c r="H1264" s="6" t="s">
        <v>2830</v>
      </c>
      <c r="I1264" s="6" t="s">
        <v>3632</v>
      </c>
      <c r="J1264" s="8">
        <v>45608</v>
      </c>
      <c r="K1264" s="8">
        <v>45304</v>
      </c>
      <c r="L1264" s="6">
        <v>5100.25</v>
      </c>
      <c r="M1264" s="6">
        <v>16200.6</v>
      </c>
      <c r="N1264" s="6">
        <v>615</v>
      </c>
      <c r="O1264" s="6">
        <v>50000</v>
      </c>
      <c r="P1264" s="6" t="s">
        <v>76</v>
      </c>
      <c r="Q1264" s="6" t="s">
        <v>43</v>
      </c>
      <c r="R1264" s="6">
        <v>0</v>
      </c>
      <c r="S1264" s="6" t="s">
        <v>28</v>
      </c>
      <c r="T1264" s="7">
        <f t="shared" si="95"/>
        <v>0.32401200000000002</v>
      </c>
      <c r="U1264" s="6">
        <f t="shared" si="96"/>
        <v>2</v>
      </c>
      <c r="V1264" s="5" t="str">
        <f t="shared" si="97"/>
        <v>FAIR</v>
      </c>
      <c r="W1264" s="6" t="str">
        <f t="shared" si="98"/>
        <v>45-54</v>
      </c>
      <c r="X1264" s="6" t="str">
        <f t="shared" si="99"/>
        <v>Low</v>
      </c>
    </row>
    <row r="1265" spans="1:24">
      <c r="A1265" s="6" t="s">
        <v>522</v>
      </c>
      <c r="B1265" s="6" t="s">
        <v>2831</v>
      </c>
      <c r="C1265" s="6" t="s">
        <v>39</v>
      </c>
      <c r="D1265" s="6" t="s">
        <v>40</v>
      </c>
      <c r="E1265" s="6" t="s">
        <v>94</v>
      </c>
      <c r="F1265" s="6">
        <v>81</v>
      </c>
      <c r="G1265" s="6" t="s">
        <v>24</v>
      </c>
      <c r="H1265" s="6" t="s">
        <v>2832</v>
      </c>
      <c r="I1265" s="6" t="s">
        <v>3510</v>
      </c>
      <c r="J1265" s="8">
        <v>44004</v>
      </c>
      <c r="K1265" s="8">
        <v>45299</v>
      </c>
      <c r="L1265" s="6">
        <v>216400.8</v>
      </c>
      <c r="M1265" s="6">
        <v>124000.25</v>
      </c>
      <c r="N1265" s="6">
        <v>660</v>
      </c>
      <c r="O1265" s="6">
        <v>249000</v>
      </c>
      <c r="P1265" s="6" t="s">
        <v>76</v>
      </c>
      <c r="Q1265" s="6" t="s">
        <v>27</v>
      </c>
      <c r="R1265" s="6">
        <v>0</v>
      </c>
      <c r="S1265" s="6" t="s">
        <v>28</v>
      </c>
      <c r="T1265" s="7">
        <f t="shared" si="95"/>
        <v>0.49799297188755021</v>
      </c>
      <c r="U1265" s="6">
        <f t="shared" si="96"/>
        <v>7</v>
      </c>
      <c r="V1265" s="5" t="str">
        <f t="shared" si="97"/>
        <v>FAIR</v>
      </c>
      <c r="W1265" s="6" t="str">
        <f t="shared" si="98"/>
        <v>55+</v>
      </c>
      <c r="X1265" s="6" t="str">
        <f t="shared" si="99"/>
        <v>High</v>
      </c>
    </row>
    <row r="1266" spans="1:24">
      <c r="A1266" s="6" t="s">
        <v>306</v>
      </c>
      <c r="B1266" s="6" t="s">
        <v>2833</v>
      </c>
      <c r="C1266" s="6" t="s">
        <v>46</v>
      </c>
      <c r="D1266" s="6" t="s">
        <v>209</v>
      </c>
      <c r="E1266" s="6" t="s">
        <v>703</v>
      </c>
      <c r="F1266" s="6">
        <v>68</v>
      </c>
      <c r="G1266" s="6" t="s">
        <v>34</v>
      </c>
      <c r="H1266" s="6" t="s">
        <v>2834</v>
      </c>
      <c r="I1266" s="6" t="s">
        <v>4291</v>
      </c>
      <c r="J1266" s="8">
        <v>44856</v>
      </c>
      <c r="K1266" s="8">
        <v>45302</v>
      </c>
      <c r="L1266" s="6">
        <v>100800.9</v>
      </c>
      <c r="M1266" s="6">
        <v>58600.75</v>
      </c>
      <c r="N1266" s="6">
        <v>730</v>
      </c>
      <c r="O1266" s="6">
        <v>153000</v>
      </c>
      <c r="P1266" s="6" t="s">
        <v>26</v>
      </c>
      <c r="Q1266" s="6" t="s">
        <v>27</v>
      </c>
      <c r="R1266" s="6">
        <v>0</v>
      </c>
      <c r="S1266" s="6" t="s">
        <v>28</v>
      </c>
      <c r="T1266" s="7">
        <f t="shared" si="95"/>
        <v>0.38301143790849673</v>
      </c>
      <c r="U1266" s="6">
        <f t="shared" si="96"/>
        <v>4</v>
      </c>
      <c r="V1266" s="5" t="str">
        <f t="shared" si="97"/>
        <v>GOOD</v>
      </c>
      <c r="W1266" s="6" t="str">
        <f t="shared" si="98"/>
        <v>55+</v>
      </c>
      <c r="X1266" s="6" t="str">
        <f t="shared" si="99"/>
        <v>Upper-Middle</v>
      </c>
    </row>
    <row r="1267" spans="1:24">
      <c r="A1267" s="6" t="s">
        <v>527</v>
      </c>
      <c r="B1267" s="6" t="s">
        <v>2835</v>
      </c>
      <c r="C1267" s="6" t="s">
        <v>31</v>
      </c>
      <c r="D1267" s="6" t="s">
        <v>32</v>
      </c>
      <c r="E1267" s="6" t="s">
        <v>90</v>
      </c>
      <c r="F1267" s="6">
        <v>57</v>
      </c>
      <c r="G1267" s="6" t="s">
        <v>34</v>
      </c>
      <c r="H1267" s="6" t="s">
        <v>2836</v>
      </c>
      <c r="I1267" s="6" t="s">
        <v>3544</v>
      </c>
      <c r="J1267" s="8">
        <v>45604</v>
      </c>
      <c r="K1267" s="8">
        <v>45305</v>
      </c>
      <c r="L1267" s="6">
        <v>20500.400000000001</v>
      </c>
      <c r="M1267" s="6">
        <v>11200.25</v>
      </c>
      <c r="N1267" s="6">
        <v>705</v>
      </c>
      <c r="O1267" s="6">
        <v>67000</v>
      </c>
      <c r="P1267" s="6" t="s">
        <v>26</v>
      </c>
      <c r="Q1267" s="6" t="s">
        <v>43</v>
      </c>
      <c r="R1267" s="6">
        <v>0</v>
      </c>
      <c r="S1267" s="6" t="s">
        <v>28</v>
      </c>
      <c r="T1267" s="7">
        <f t="shared" si="95"/>
        <v>0.16716791044776119</v>
      </c>
      <c r="U1267" s="6">
        <f t="shared" si="96"/>
        <v>1</v>
      </c>
      <c r="V1267" s="5" t="str">
        <f t="shared" si="97"/>
        <v>GOOD</v>
      </c>
      <c r="W1267" s="6" t="str">
        <f t="shared" si="98"/>
        <v>55+</v>
      </c>
      <c r="X1267" s="6" t="str">
        <f t="shared" si="99"/>
        <v>Low</v>
      </c>
    </row>
    <row r="1268" spans="1:24">
      <c r="A1268" s="6" t="s">
        <v>530</v>
      </c>
      <c r="B1268" s="6" t="s">
        <v>2837</v>
      </c>
      <c r="C1268" s="6" t="s">
        <v>57</v>
      </c>
      <c r="D1268" s="6" t="s">
        <v>219</v>
      </c>
      <c r="E1268" s="6" t="s">
        <v>220</v>
      </c>
      <c r="F1268" s="6">
        <v>62</v>
      </c>
      <c r="G1268" s="6" t="s">
        <v>24</v>
      </c>
      <c r="H1268" s="6" t="s">
        <v>2838</v>
      </c>
      <c r="I1268" s="6" t="s">
        <v>4292</v>
      </c>
      <c r="J1268" s="8">
        <v>45404</v>
      </c>
      <c r="K1268" s="8">
        <v>45303</v>
      </c>
      <c r="L1268" s="6">
        <v>45300.6</v>
      </c>
      <c r="M1268" s="6">
        <v>17400.8</v>
      </c>
      <c r="N1268" s="6">
        <v>710</v>
      </c>
      <c r="O1268" s="6">
        <v>83000</v>
      </c>
      <c r="P1268" s="6" t="s">
        <v>36</v>
      </c>
      <c r="Q1268" s="6" t="s">
        <v>27</v>
      </c>
      <c r="R1268" s="6">
        <v>0</v>
      </c>
      <c r="S1268" s="6" t="s">
        <v>28</v>
      </c>
      <c r="T1268" s="7">
        <f t="shared" si="95"/>
        <v>0.20964819277108432</v>
      </c>
      <c r="U1268" s="6">
        <f t="shared" si="96"/>
        <v>3</v>
      </c>
      <c r="V1268" s="5" t="str">
        <f t="shared" si="97"/>
        <v>GOOD</v>
      </c>
      <c r="W1268" s="6" t="str">
        <f t="shared" si="98"/>
        <v>55+</v>
      </c>
      <c r="X1268" s="6" t="str">
        <f t="shared" si="99"/>
        <v>Lower-Middle</v>
      </c>
    </row>
    <row r="1269" spans="1:24">
      <c r="A1269" s="6" t="s">
        <v>533</v>
      </c>
      <c r="B1269" s="6" t="s">
        <v>2839</v>
      </c>
      <c r="C1269" s="6" t="s">
        <v>52</v>
      </c>
      <c r="D1269" s="6" t="s">
        <v>204</v>
      </c>
      <c r="E1269" s="6" t="s">
        <v>259</v>
      </c>
      <c r="F1269" s="6">
        <v>69</v>
      </c>
      <c r="G1269" s="6" t="s">
        <v>34</v>
      </c>
      <c r="H1269" s="6" t="s">
        <v>2840</v>
      </c>
      <c r="I1269" s="6" t="s">
        <v>3980</v>
      </c>
      <c r="J1269" s="8">
        <v>44703</v>
      </c>
      <c r="K1269" s="8">
        <v>45301</v>
      </c>
      <c r="L1269" s="6">
        <v>76600.25</v>
      </c>
      <c r="M1269" s="6">
        <v>49700.9</v>
      </c>
      <c r="N1269" s="6">
        <v>695</v>
      </c>
      <c r="O1269" s="6">
        <v>118000</v>
      </c>
      <c r="P1269" s="6" t="s">
        <v>26</v>
      </c>
      <c r="Q1269" s="6" t="s">
        <v>27</v>
      </c>
      <c r="R1269" s="6">
        <v>0</v>
      </c>
      <c r="S1269" s="6" t="s">
        <v>28</v>
      </c>
      <c r="T1269" s="7">
        <f t="shared" si="95"/>
        <v>0.42119406779661017</v>
      </c>
      <c r="U1269" s="6">
        <f t="shared" si="96"/>
        <v>5</v>
      </c>
      <c r="V1269" s="5" t="str">
        <f t="shared" si="97"/>
        <v>GOOD</v>
      </c>
      <c r="W1269" s="6" t="str">
        <f t="shared" si="98"/>
        <v>55+</v>
      </c>
      <c r="X1269" s="6" t="str">
        <f t="shared" si="99"/>
        <v>Lower-Middle</v>
      </c>
    </row>
    <row r="1270" spans="1:24">
      <c r="A1270" s="6" t="s">
        <v>536</v>
      </c>
      <c r="B1270" s="6" t="s">
        <v>2841</v>
      </c>
      <c r="C1270" s="6" t="s">
        <v>39</v>
      </c>
      <c r="D1270" s="6" t="s">
        <v>195</v>
      </c>
      <c r="E1270" s="6" t="s">
        <v>196</v>
      </c>
      <c r="F1270" s="6">
        <v>77</v>
      </c>
      <c r="G1270" s="6" t="s">
        <v>24</v>
      </c>
      <c r="H1270" s="6" t="s">
        <v>2842</v>
      </c>
      <c r="I1270" s="6" t="s">
        <v>4293</v>
      </c>
      <c r="J1270" s="8">
        <v>44157</v>
      </c>
      <c r="K1270" s="8">
        <v>45300</v>
      </c>
      <c r="L1270" s="6">
        <v>148600.4</v>
      </c>
      <c r="M1270" s="6">
        <v>98000.6</v>
      </c>
      <c r="N1270" s="6">
        <v>670</v>
      </c>
      <c r="O1270" s="6">
        <v>185000</v>
      </c>
      <c r="P1270" s="6" t="s">
        <v>76</v>
      </c>
      <c r="Q1270" s="6" t="s">
        <v>27</v>
      </c>
      <c r="R1270" s="6">
        <v>0</v>
      </c>
      <c r="S1270" s="6" t="s">
        <v>28</v>
      </c>
      <c r="T1270" s="7">
        <f t="shared" si="95"/>
        <v>0.52973297297297306</v>
      </c>
      <c r="U1270" s="6">
        <f t="shared" si="96"/>
        <v>6</v>
      </c>
      <c r="V1270" s="5" t="str">
        <f t="shared" si="97"/>
        <v>GOOD</v>
      </c>
      <c r="W1270" s="6" t="str">
        <f t="shared" si="98"/>
        <v>55+</v>
      </c>
      <c r="X1270" s="6" t="str">
        <f t="shared" si="99"/>
        <v>Upper-Middle</v>
      </c>
    </row>
    <row r="1271" spans="1:24">
      <c r="A1271" s="6" t="s">
        <v>539</v>
      </c>
      <c r="B1271" s="6" t="s">
        <v>2843</v>
      </c>
      <c r="C1271" s="6" t="s">
        <v>21</v>
      </c>
      <c r="D1271" s="6" t="s">
        <v>58</v>
      </c>
      <c r="E1271" s="6" t="s">
        <v>59</v>
      </c>
      <c r="F1271" s="6">
        <v>85</v>
      </c>
      <c r="G1271" s="6" t="s">
        <v>34</v>
      </c>
      <c r="H1271" s="6" t="s">
        <v>2844</v>
      </c>
      <c r="I1271" s="6" t="s">
        <v>3638</v>
      </c>
      <c r="J1271" s="8">
        <v>43730</v>
      </c>
      <c r="K1271" s="8">
        <v>45299</v>
      </c>
      <c r="L1271" s="6">
        <v>315500.75</v>
      </c>
      <c r="M1271" s="6">
        <v>115000.8</v>
      </c>
      <c r="N1271" s="6">
        <v>835</v>
      </c>
      <c r="O1271" s="6">
        <v>330000</v>
      </c>
      <c r="P1271" s="6" t="s">
        <v>36</v>
      </c>
      <c r="Q1271" s="6" t="s">
        <v>27</v>
      </c>
      <c r="R1271" s="6">
        <v>0</v>
      </c>
      <c r="S1271" s="6" t="s">
        <v>28</v>
      </c>
      <c r="T1271" s="7">
        <f t="shared" si="95"/>
        <v>0.34848727272727276</v>
      </c>
      <c r="U1271" s="6">
        <f t="shared" si="96"/>
        <v>7</v>
      </c>
      <c r="V1271" s="5" t="str">
        <f t="shared" si="97"/>
        <v>EXCEPTIONAL</v>
      </c>
      <c r="W1271" s="6" t="str">
        <f t="shared" si="98"/>
        <v>55+</v>
      </c>
      <c r="X1271" s="6" t="str">
        <f t="shared" si="99"/>
        <v>High</v>
      </c>
    </row>
    <row r="1272" spans="1:24">
      <c r="A1272" s="6" t="s">
        <v>542</v>
      </c>
      <c r="B1272" s="6" t="s">
        <v>2845</v>
      </c>
      <c r="C1272" s="6" t="s">
        <v>52</v>
      </c>
      <c r="D1272" s="6" t="s">
        <v>68</v>
      </c>
      <c r="E1272" s="6" t="s">
        <v>69</v>
      </c>
      <c r="F1272" s="6">
        <v>72</v>
      </c>
      <c r="G1272" s="6" t="s">
        <v>34</v>
      </c>
      <c r="H1272" s="6" t="s">
        <v>2846</v>
      </c>
      <c r="I1272" s="6" t="s">
        <v>4282</v>
      </c>
      <c r="J1272" s="8">
        <v>44673</v>
      </c>
      <c r="K1272" s="8">
        <v>45302</v>
      </c>
      <c r="L1272" s="6">
        <v>85300.6</v>
      </c>
      <c r="M1272" s="6">
        <v>55300.25</v>
      </c>
      <c r="N1272" s="6">
        <v>665</v>
      </c>
      <c r="O1272" s="6">
        <v>138000</v>
      </c>
      <c r="P1272" s="6" t="s">
        <v>26</v>
      </c>
      <c r="Q1272" s="6" t="s">
        <v>27</v>
      </c>
      <c r="R1272" s="6">
        <v>0</v>
      </c>
      <c r="S1272" s="6" t="s">
        <v>28</v>
      </c>
      <c r="T1272" s="7">
        <f t="shared" si="95"/>
        <v>0.40072644927536233</v>
      </c>
      <c r="U1272" s="6">
        <f t="shared" si="96"/>
        <v>4</v>
      </c>
      <c r="V1272" s="5" t="str">
        <f t="shared" si="97"/>
        <v>FAIR</v>
      </c>
      <c r="W1272" s="6" t="str">
        <f t="shared" si="98"/>
        <v>55+</v>
      </c>
      <c r="X1272" s="6" t="str">
        <f t="shared" si="99"/>
        <v>Upper-Middle</v>
      </c>
    </row>
    <row r="1273" spans="1:24">
      <c r="A1273" s="6" t="s">
        <v>545</v>
      </c>
      <c r="B1273" s="6" t="s">
        <v>2847</v>
      </c>
      <c r="C1273" s="6" t="s">
        <v>46</v>
      </c>
      <c r="D1273" s="6" t="s">
        <v>241</v>
      </c>
      <c r="E1273" s="6" t="s">
        <v>242</v>
      </c>
      <c r="F1273" s="6">
        <v>64</v>
      </c>
      <c r="G1273" s="6" t="s">
        <v>24</v>
      </c>
      <c r="H1273" s="6" t="s">
        <v>2848</v>
      </c>
      <c r="I1273" s="6" t="s">
        <v>4294</v>
      </c>
      <c r="J1273" s="8">
        <v>45313</v>
      </c>
      <c r="K1273" s="8">
        <v>45303</v>
      </c>
      <c r="L1273" s="6">
        <v>108600.8</v>
      </c>
      <c r="M1273" s="6">
        <v>62800.4</v>
      </c>
      <c r="N1273" s="6">
        <v>750</v>
      </c>
      <c r="O1273" s="6">
        <v>164000</v>
      </c>
      <c r="P1273" s="6" t="s">
        <v>26</v>
      </c>
      <c r="Q1273" s="6" t="s">
        <v>27</v>
      </c>
      <c r="R1273" s="6">
        <v>0</v>
      </c>
      <c r="S1273" s="6" t="s">
        <v>28</v>
      </c>
      <c r="T1273" s="7">
        <f t="shared" si="95"/>
        <v>0.38292926829268292</v>
      </c>
      <c r="U1273" s="6">
        <f t="shared" si="96"/>
        <v>3</v>
      </c>
      <c r="V1273" s="5" t="str">
        <f t="shared" si="97"/>
        <v>VERY GOOD</v>
      </c>
      <c r="W1273" s="6" t="str">
        <f t="shared" si="98"/>
        <v>55+</v>
      </c>
      <c r="X1273" s="6" t="str">
        <f t="shared" si="99"/>
        <v>Upper-Middle</v>
      </c>
    </row>
    <row r="1274" spans="1:24">
      <c r="A1274" s="6" t="s">
        <v>548</v>
      </c>
      <c r="B1274" s="6" t="s">
        <v>2849</v>
      </c>
      <c r="C1274" s="6" t="s">
        <v>57</v>
      </c>
      <c r="D1274" s="6" t="s">
        <v>22</v>
      </c>
      <c r="E1274" s="6" t="s">
        <v>118</v>
      </c>
      <c r="F1274" s="6">
        <v>60</v>
      </c>
      <c r="G1274" s="6" t="s">
        <v>34</v>
      </c>
      <c r="H1274" s="6" t="s">
        <v>2850</v>
      </c>
      <c r="I1274" s="6" t="s">
        <v>3831</v>
      </c>
      <c r="J1274" s="8">
        <v>45495</v>
      </c>
      <c r="K1274" s="8">
        <v>45305</v>
      </c>
      <c r="L1274" s="6">
        <v>47500.9</v>
      </c>
      <c r="M1274" s="6">
        <v>18400.75</v>
      </c>
      <c r="N1274" s="6">
        <v>770</v>
      </c>
      <c r="O1274" s="6">
        <v>95000</v>
      </c>
      <c r="P1274" s="6" t="s">
        <v>36</v>
      </c>
      <c r="Q1274" s="6" t="s">
        <v>27</v>
      </c>
      <c r="R1274" s="6">
        <v>0</v>
      </c>
      <c r="S1274" s="6" t="s">
        <v>28</v>
      </c>
      <c r="T1274" s="7">
        <f t="shared" si="95"/>
        <v>0.19369210526315789</v>
      </c>
      <c r="U1274" s="6">
        <f t="shared" si="96"/>
        <v>1</v>
      </c>
      <c r="V1274" s="5" t="str">
        <f t="shared" si="97"/>
        <v>VERY GOOD</v>
      </c>
      <c r="W1274" s="6" t="str">
        <f t="shared" si="98"/>
        <v>55+</v>
      </c>
      <c r="X1274" s="6" t="str">
        <f t="shared" si="99"/>
        <v>Lower-Middle</v>
      </c>
    </row>
    <row r="1275" spans="1:24">
      <c r="A1275" s="6" t="s">
        <v>551</v>
      </c>
      <c r="B1275" s="6" t="s">
        <v>2851</v>
      </c>
      <c r="C1275" s="6" t="s">
        <v>39</v>
      </c>
      <c r="D1275" s="6" t="s">
        <v>313</v>
      </c>
      <c r="E1275" s="6" t="s">
        <v>314</v>
      </c>
      <c r="F1275" s="6">
        <v>83</v>
      </c>
      <c r="G1275" s="6" t="s">
        <v>24</v>
      </c>
      <c r="H1275" s="6" t="s">
        <v>2852</v>
      </c>
      <c r="I1275" s="6" t="s">
        <v>4295</v>
      </c>
      <c r="J1275" s="8">
        <v>43912</v>
      </c>
      <c r="K1275" s="8">
        <v>45299</v>
      </c>
      <c r="L1275" s="6">
        <v>201700.25</v>
      </c>
      <c r="M1275" s="6">
        <v>119000.8</v>
      </c>
      <c r="N1275" s="6">
        <v>645</v>
      </c>
      <c r="O1275" s="6">
        <v>235000</v>
      </c>
      <c r="P1275" s="6" t="s">
        <v>76</v>
      </c>
      <c r="Q1275" s="6" t="s">
        <v>27</v>
      </c>
      <c r="R1275" s="6">
        <v>0</v>
      </c>
      <c r="S1275" s="6" t="s">
        <v>28</v>
      </c>
      <c r="T1275" s="7">
        <f t="shared" si="95"/>
        <v>0.5063863829787234</v>
      </c>
      <c r="U1275" s="6">
        <f t="shared" si="96"/>
        <v>7</v>
      </c>
      <c r="V1275" s="5" t="str">
        <f t="shared" si="97"/>
        <v>FAIR</v>
      </c>
      <c r="W1275" s="6" t="str">
        <f t="shared" si="98"/>
        <v>55+</v>
      </c>
      <c r="X1275" s="6" t="str">
        <f t="shared" si="99"/>
        <v>High</v>
      </c>
    </row>
    <row r="1276" spans="1:24">
      <c r="A1276" s="6" t="s">
        <v>554</v>
      </c>
      <c r="B1276" s="6" t="s">
        <v>2853</v>
      </c>
      <c r="C1276" s="6" t="s">
        <v>31</v>
      </c>
      <c r="D1276" s="6" t="s">
        <v>214</v>
      </c>
      <c r="E1276" s="6" t="s">
        <v>724</v>
      </c>
      <c r="F1276" s="6">
        <v>56</v>
      </c>
      <c r="G1276" s="6" t="s">
        <v>34</v>
      </c>
      <c r="H1276" s="6" t="s">
        <v>2854</v>
      </c>
      <c r="I1276" s="6" t="s">
        <v>4296</v>
      </c>
      <c r="J1276" s="8">
        <v>45608</v>
      </c>
      <c r="K1276" s="8">
        <v>45306</v>
      </c>
      <c r="L1276" s="6">
        <v>40200.5</v>
      </c>
      <c r="M1276" s="6">
        <v>18000.400000000001</v>
      </c>
      <c r="N1276" s="6">
        <v>720</v>
      </c>
      <c r="O1276" s="6">
        <v>72000</v>
      </c>
      <c r="P1276" s="6" t="s">
        <v>36</v>
      </c>
      <c r="Q1276" s="6" t="s">
        <v>27</v>
      </c>
      <c r="R1276" s="6">
        <v>0</v>
      </c>
      <c r="S1276" s="6" t="s">
        <v>28</v>
      </c>
      <c r="T1276" s="7">
        <f t="shared" si="95"/>
        <v>0.25000555555555559</v>
      </c>
      <c r="U1276" s="6">
        <f t="shared" si="96"/>
        <v>0</v>
      </c>
      <c r="V1276" s="5" t="str">
        <f t="shared" si="97"/>
        <v>GOOD</v>
      </c>
      <c r="W1276" s="6" t="str">
        <f t="shared" si="98"/>
        <v>55+</v>
      </c>
      <c r="X1276" s="6" t="str">
        <f t="shared" si="99"/>
        <v>Low</v>
      </c>
    </row>
    <row r="1277" spans="1:24">
      <c r="A1277" s="6" t="s">
        <v>108</v>
      </c>
      <c r="B1277" s="6" t="s">
        <v>2855</v>
      </c>
      <c r="C1277" s="6" t="s">
        <v>84</v>
      </c>
      <c r="D1277" s="6" t="s">
        <v>32</v>
      </c>
      <c r="E1277" s="6" t="s">
        <v>33</v>
      </c>
      <c r="F1277" s="6">
        <v>52</v>
      </c>
      <c r="G1277" s="6" t="s">
        <v>24</v>
      </c>
      <c r="H1277" s="6" t="s">
        <v>2856</v>
      </c>
      <c r="I1277" s="6" t="s">
        <v>3544</v>
      </c>
      <c r="J1277" s="8">
        <v>45611</v>
      </c>
      <c r="K1277" s="8">
        <v>45304</v>
      </c>
      <c r="L1277" s="6">
        <v>4850.8</v>
      </c>
      <c r="M1277" s="6">
        <v>14600.25</v>
      </c>
      <c r="N1277" s="6">
        <v>605</v>
      </c>
      <c r="O1277" s="6">
        <v>48000</v>
      </c>
      <c r="P1277" s="6" t="s">
        <v>76</v>
      </c>
      <c r="Q1277" s="6" t="s">
        <v>43</v>
      </c>
      <c r="R1277" s="6">
        <v>0</v>
      </c>
      <c r="S1277" s="6" t="s">
        <v>28</v>
      </c>
      <c r="T1277" s="7">
        <f t="shared" si="95"/>
        <v>0.30417187499999998</v>
      </c>
      <c r="U1277" s="6">
        <f t="shared" si="96"/>
        <v>2</v>
      </c>
      <c r="V1277" s="5" t="str">
        <f t="shared" si="97"/>
        <v>FAIR</v>
      </c>
      <c r="W1277" s="6" t="str">
        <f t="shared" si="98"/>
        <v>45-54</v>
      </c>
      <c r="X1277" s="6" t="str">
        <f t="shared" si="99"/>
        <v>Low</v>
      </c>
    </row>
    <row r="1278" spans="1:24">
      <c r="A1278" s="6" t="s">
        <v>559</v>
      </c>
      <c r="B1278" s="6" t="s">
        <v>2857</v>
      </c>
      <c r="C1278" s="6" t="s">
        <v>46</v>
      </c>
      <c r="D1278" s="6" t="s">
        <v>254</v>
      </c>
      <c r="E1278" s="6" t="s">
        <v>255</v>
      </c>
      <c r="F1278" s="6">
        <v>66</v>
      </c>
      <c r="G1278" s="6" t="s">
        <v>34</v>
      </c>
      <c r="H1278" s="6" t="s">
        <v>2858</v>
      </c>
      <c r="I1278" s="6" t="s">
        <v>4297</v>
      </c>
      <c r="J1278" s="8">
        <v>45191</v>
      </c>
      <c r="K1278" s="8">
        <v>45302</v>
      </c>
      <c r="L1278" s="6">
        <v>95300.4</v>
      </c>
      <c r="M1278" s="6">
        <v>57500.75</v>
      </c>
      <c r="N1278" s="6">
        <v>710</v>
      </c>
      <c r="O1278" s="6">
        <v>146000</v>
      </c>
      <c r="P1278" s="6" t="s">
        <v>26</v>
      </c>
      <c r="Q1278" s="6" t="s">
        <v>27</v>
      </c>
      <c r="R1278" s="6">
        <v>0</v>
      </c>
      <c r="S1278" s="6" t="s">
        <v>28</v>
      </c>
      <c r="T1278" s="7">
        <f t="shared" si="95"/>
        <v>0.39384075342465752</v>
      </c>
      <c r="U1278" s="6">
        <f t="shared" si="96"/>
        <v>4</v>
      </c>
      <c r="V1278" s="5" t="str">
        <f t="shared" si="97"/>
        <v>GOOD</v>
      </c>
      <c r="W1278" s="6" t="str">
        <f t="shared" si="98"/>
        <v>55+</v>
      </c>
      <c r="X1278" s="6" t="str">
        <f t="shared" si="99"/>
        <v>Upper-Middle</v>
      </c>
    </row>
    <row r="1279" spans="1:24">
      <c r="A1279" s="6" t="s">
        <v>562</v>
      </c>
      <c r="B1279" s="6" t="s">
        <v>2859</v>
      </c>
      <c r="C1279" s="6" t="s">
        <v>39</v>
      </c>
      <c r="D1279" s="6" t="s">
        <v>47</v>
      </c>
      <c r="E1279" s="6" t="s">
        <v>98</v>
      </c>
      <c r="F1279" s="6">
        <v>80</v>
      </c>
      <c r="G1279" s="6" t="s">
        <v>24</v>
      </c>
      <c r="H1279" s="6" t="s">
        <v>2860</v>
      </c>
      <c r="I1279" s="6" t="s">
        <v>3646</v>
      </c>
      <c r="J1279" s="8">
        <v>44065</v>
      </c>
      <c r="K1279" s="8">
        <v>45300</v>
      </c>
      <c r="L1279" s="6">
        <v>181900.6</v>
      </c>
      <c r="M1279" s="6">
        <v>112000.25</v>
      </c>
      <c r="N1279" s="6">
        <v>675</v>
      </c>
      <c r="O1279" s="6">
        <v>215000</v>
      </c>
      <c r="P1279" s="6" t="s">
        <v>76</v>
      </c>
      <c r="Q1279" s="6" t="s">
        <v>27</v>
      </c>
      <c r="R1279" s="6">
        <v>0</v>
      </c>
      <c r="S1279" s="6" t="s">
        <v>28</v>
      </c>
      <c r="T1279" s="7">
        <f t="shared" si="95"/>
        <v>0.52093139534883726</v>
      </c>
      <c r="U1279" s="6">
        <f t="shared" si="96"/>
        <v>6</v>
      </c>
      <c r="V1279" s="5" t="str">
        <f t="shared" si="97"/>
        <v>GOOD</v>
      </c>
      <c r="W1279" s="6" t="str">
        <f t="shared" si="98"/>
        <v>55+</v>
      </c>
      <c r="X1279" s="6" t="str">
        <f t="shared" si="99"/>
        <v>High</v>
      </c>
    </row>
    <row r="1280" spans="1:24">
      <c r="A1280" s="6" t="s">
        <v>565</v>
      </c>
      <c r="B1280" s="6" t="s">
        <v>2861</v>
      </c>
      <c r="C1280" s="6" t="s">
        <v>52</v>
      </c>
      <c r="D1280" s="6" t="s">
        <v>233</v>
      </c>
      <c r="E1280" s="6" t="s">
        <v>234</v>
      </c>
      <c r="F1280" s="6">
        <v>65</v>
      </c>
      <c r="G1280" s="6" t="s">
        <v>34</v>
      </c>
      <c r="H1280" s="6" t="s">
        <v>2862</v>
      </c>
      <c r="I1280" s="6" t="s">
        <v>3647</v>
      </c>
      <c r="J1280" s="8">
        <v>44979</v>
      </c>
      <c r="K1280" s="8">
        <v>45301</v>
      </c>
      <c r="L1280" s="6">
        <v>71700.75</v>
      </c>
      <c r="M1280" s="6">
        <v>48600.800000000003</v>
      </c>
      <c r="N1280" s="6">
        <v>725</v>
      </c>
      <c r="O1280" s="6">
        <v>112000</v>
      </c>
      <c r="P1280" s="6" t="s">
        <v>26</v>
      </c>
      <c r="Q1280" s="6" t="s">
        <v>27</v>
      </c>
      <c r="R1280" s="6">
        <v>0</v>
      </c>
      <c r="S1280" s="6" t="s">
        <v>28</v>
      </c>
      <c r="T1280" s="7">
        <f t="shared" si="95"/>
        <v>0.43393571428571431</v>
      </c>
      <c r="U1280" s="6">
        <f t="shared" si="96"/>
        <v>5</v>
      </c>
      <c r="V1280" s="5" t="str">
        <f t="shared" si="97"/>
        <v>GOOD</v>
      </c>
      <c r="W1280" s="6" t="str">
        <f t="shared" si="98"/>
        <v>55+</v>
      </c>
      <c r="X1280" s="6" t="str">
        <f t="shared" si="99"/>
        <v>Lower-Middle</v>
      </c>
    </row>
    <row r="1281" spans="1:24">
      <c r="A1281" s="6" t="s">
        <v>568</v>
      </c>
      <c r="B1281" s="6" t="s">
        <v>2863</v>
      </c>
      <c r="C1281" s="6" t="s">
        <v>57</v>
      </c>
      <c r="D1281" s="6" t="s">
        <v>79</v>
      </c>
      <c r="E1281" s="6" t="s">
        <v>80</v>
      </c>
      <c r="F1281" s="6">
        <v>63</v>
      </c>
      <c r="G1281" s="6" t="s">
        <v>24</v>
      </c>
      <c r="H1281" s="6" t="s">
        <v>2864</v>
      </c>
      <c r="I1281" s="6" t="s">
        <v>3648</v>
      </c>
      <c r="J1281" s="8">
        <v>45434</v>
      </c>
      <c r="K1281" s="8">
        <v>45303</v>
      </c>
      <c r="L1281" s="6">
        <v>49700.4</v>
      </c>
      <c r="M1281" s="6">
        <v>19200.900000000001</v>
      </c>
      <c r="N1281" s="6">
        <v>740</v>
      </c>
      <c r="O1281" s="6">
        <v>98000</v>
      </c>
      <c r="P1281" s="6" t="s">
        <v>36</v>
      </c>
      <c r="Q1281" s="6" t="s">
        <v>27</v>
      </c>
      <c r="R1281" s="6">
        <v>0</v>
      </c>
      <c r="S1281" s="6" t="s">
        <v>28</v>
      </c>
      <c r="T1281" s="7">
        <f t="shared" si="95"/>
        <v>0.19592755102040818</v>
      </c>
      <c r="U1281" s="6">
        <f t="shared" si="96"/>
        <v>3</v>
      </c>
      <c r="V1281" s="5" t="str">
        <f t="shared" si="97"/>
        <v>GOOD</v>
      </c>
      <c r="W1281" s="6" t="str">
        <f t="shared" si="98"/>
        <v>55+</v>
      </c>
      <c r="X1281" s="6" t="str">
        <f t="shared" si="99"/>
        <v>Lower-Middle</v>
      </c>
    </row>
    <row r="1282" spans="1:24">
      <c r="A1282" s="6" t="s">
        <v>571</v>
      </c>
      <c r="B1282" s="6" t="s">
        <v>2865</v>
      </c>
      <c r="C1282" s="6" t="s">
        <v>21</v>
      </c>
      <c r="D1282" s="6" t="s">
        <v>63</v>
      </c>
      <c r="E1282" s="6" t="s">
        <v>3514</v>
      </c>
      <c r="F1282" s="6">
        <v>86</v>
      </c>
      <c r="G1282" s="6" t="s">
        <v>34</v>
      </c>
      <c r="H1282" s="6" t="s">
        <v>2866</v>
      </c>
      <c r="I1282" s="6" t="s">
        <v>4132</v>
      </c>
      <c r="J1282" s="8">
        <v>43607</v>
      </c>
      <c r="K1282" s="8">
        <v>45299</v>
      </c>
      <c r="L1282" s="6">
        <v>270800.90000000002</v>
      </c>
      <c r="M1282" s="6">
        <v>102000.6</v>
      </c>
      <c r="N1282" s="6">
        <v>830</v>
      </c>
      <c r="O1282" s="6">
        <v>310000</v>
      </c>
      <c r="P1282" s="6" t="s">
        <v>36</v>
      </c>
      <c r="Q1282" s="6" t="s">
        <v>27</v>
      </c>
      <c r="R1282" s="6">
        <v>0</v>
      </c>
      <c r="S1282" s="6" t="s">
        <v>28</v>
      </c>
      <c r="T1282" s="7">
        <f t="shared" ref="T1282:T1345" si="100">IFERROR(M1282/O1282,"")</f>
        <v>0.32903419354838709</v>
      </c>
      <c r="U1282" s="6">
        <f t="shared" ref="U1282:U1345" si="101">MAX($K$2:$K$1599)-K1282</f>
        <v>7</v>
      </c>
      <c r="V1282" s="5" t="str">
        <f t="shared" ref="V1282:V1345" si="102">IF(N1282&lt;670,"FAIR", IF(N1282&lt;750,"GOOD",IF(N1282&lt;800,"VERY GOOD","EXCEPTIONAL")))</f>
        <v>EXCEPTIONAL</v>
      </c>
      <c r="W1282" s="6" t="str">
        <f t="shared" ref="W1282:W1345" si="103">IF(F1282&lt;25,"18-24",IF(F1282&lt;35,"25-34",IF(F1282&lt;45,"35-44",IF(F1282&lt;55,"45-54","55+"))))</f>
        <v>55+</v>
      </c>
      <c r="X1282" s="6" t="str">
        <f t="shared" ref="X1282:X1345" si="104">IF(O1282&lt;=_xlfn.QUARTILE.INC($O$2:$O$1599,1),"Low",IF(O1282&lt;=_xlfn.QUARTILE.INC($O$2:$O$1599,2),"Lower-Middle",IF(O1282&lt;=_xlfn.QUARTILE.INC($O$2:$O$1599,3),"Upper-Middle","High")))</f>
        <v>High</v>
      </c>
    </row>
    <row r="1283" spans="1:24">
      <c r="A1283" s="6" t="s">
        <v>574</v>
      </c>
      <c r="B1283" s="6" t="s">
        <v>2867</v>
      </c>
      <c r="C1283" s="6" t="s">
        <v>39</v>
      </c>
      <c r="D1283" s="6" t="s">
        <v>68</v>
      </c>
      <c r="E1283" s="6" t="s">
        <v>114</v>
      </c>
      <c r="F1283" s="6">
        <v>78</v>
      </c>
      <c r="G1283" s="6" t="s">
        <v>24</v>
      </c>
      <c r="H1283" s="6" t="s">
        <v>2868</v>
      </c>
      <c r="I1283" s="6" t="s">
        <v>4298</v>
      </c>
      <c r="J1283" s="8">
        <v>44208</v>
      </c>
      <c r="K1283" s="8">
        <v>45300</v>
      </c>
      <c r="L1283" s="6">
        <v>159700.25</v>
      </c>
      <c r="M1283" s="6">
        <v>104000.4</v>
      </c>
      <c r="N1283" s="6">
        <v>655</v>
      </c>
      <c r="O1283" s="6">
        <v>200000</v>
      </c>
      <c r="P1283" s="6" t="s">
        <v>76</v>
      </c>
      <c r="Q1283" s="6" t="s">
        <v>27</v>
      </c>
      <c r="R1283" s="6">
        <v>0</v>
      </c>
      <c r="S1283" s="6" t="s">
        <v>28</v>
      </c>
      <c r="T1283" s="7">
        <f t="shared" si="100"/>
        <v>0.52000199999999996</v>
      </c>
      <c r="U1283" s="6">
        <f t="shared" si="101"/>
        <v>6</v>
      </c>
      <c r="V1283" s="5" t="str">
        <f t="shared" si="102"/>
        <v>FAIR</v>
      </c>
      <c r="W1283" s="6" t="str">
        <f t="shared" si="103"/>
        <v>55+</v>
      </c>
      <c r="X1283" s="6" t="str">
        <f t="shared" si="104"/>
        <v>High</v>
      </c>
    </row>
    <row r="1284" spans="1:24">
      <c r="A1284" s="6" t="s">
        <v>577</v>
      </c>
      <c r="B1284" s="6" t="s">
        <v>2869</v>
      </c>
      <c r="C1284" s="6" t="s">
        <v>46</v>
      </c>
      <c r="D1284" s="6" t="s">
        <v>85</v>
      </c>
      <c r="E1284" s="6" t="s">
        <v>162</v>
      </c>
      <c r="F1284" s="6">
        <v>67</v>
      </c>
      <c r="G1284" s="6" t="s">
        <v>34</v>
      </c>
      <c r="H1284" s="6" t="s">
        <v>2870</v>
      </c>
      <c r="I1284" s="6" t="s">
        <v>3840</v>
      </c>
      <c r="J1284" s="8">
        <v>45099</v>
      </c>
      <c r="K1284" s="8">
        <v>45302</v>
      </c>
      <c r="L1284" s="6">
        <v>114200.6</v>
      </c>
      <c r="M1284" s="6">
        <v>65500.75</v>
      </c>
      <c r="N1284" s="6">
        <v>760</v>
      </c>
      <c r="O1284" s="6">
        <v>169000</v>
      </c>
      <c r="P1284" s="6" t="s">
        <v>26</v>
      </c>
      <c r="Q1284" s="6" t="s">
        <v>27</v>
      </c>
      <c r="R1284" s="6">
        <v>0</v>
      </c>
      <c r="S1284" s="6" t="s">
        <v>28</v>
      </c>
      <c r="T1284" s="7">
        <f t="shared" si="100"/>
        <v>0.38757840236686392</v>
      </c>
      <c r="U1284" s="6">
        <f t="shared" si="101"/>
        <v>4</v>
      </c>
      <c r="V1284" s="5" t="str">
        <f t="shared" si="102"/>
        <v>VERY GOOD</v>
      </c>
      <c r="W1284" s="6" t="str">
        <f t="shared" si="103"/>
        <v>55+</v>
      </c>
      <c r="X1284" s="6" t="str">
        <f t="shared" si="104"/>
        <v>Upper-Middle</v>
      </c>
    </row>
    <row r="1285" spans="1:24">
      <c r="A1285" s="6" t="s">
        <v>458</v>
      </c>
      <c r="B1285" s="6" t="s">
        <v>2871</v>
      </c>
      <c r="C1285" s="6" t="s">
        <v>31</v>
      </c>
      <c r="D1285" s="6" t="s">
        <v>460</v>
      </c>
      <c r="E1285" s="6" t="s">
        <v>663</v>
      </c>
      <c r="F1285" s="6">
        <v>58</v>
      </c>
      <c r="G1285" s="6" t="s">
        <v>24</v>
      </c>
      <c r="H1285" s="6" t="s">
        <v>2872</v>
      </c>
      <c r="I1285" s="6" t="s">
        <v>4299</v>
      </c>
      <c r="J1285" s="8">
        <v>45604</v>
      </c>
      <c r="K1285" s="8">
        <v>45306</v>
      </c>
      <c r="L1285" s="6">
        <v>23400.25</v>
      </c>
      <c r="M1285" s="6">
        <v>13900.8</v>
      </c>
      <c r="N1285" s="6">
        <v>695</v>
      </c>
      <c r="O1285" s="6">
        <v>69000</v>
      </c>
      <c r="P1285" s="6" t="s">
        <v>26</v>
      </c>
      <c r="Q1285" s="6" t="s">
        <v>43</v>
      </c>
      <c r="R1285" s="6">
        <v>0</v>
      </c>
      <c r="S1285" s="6" t="s">
        <v>28</v>
      </c>
      <c r="T1285" s="7">
        <f t="shared" si="100"/>
        <v>0.20146086956521739</v>
      </c>
      <c r="U1285" s="6">
        <f t="shared" si="101"/>
        <v>0</v>
      </c>
      <c r="V1285" s="5" t="str">
        <f t="shared" si="102"/>
        <v>GOOD</v>
      </c>
      <c r="W1285" s="6" t="str">
        <f t="shared" si="103"/>
        <v>55+</v>
      </c>
      <c r="X1285" s="6" t="str">
        <f t="shared" si="104"/>
        <v>Low</v>
      </c>
    </row>
    <row r="1286" spans="1:24">
      <c r="A1286" s="6" t="s">
        <v>582</v>
      </c>
      <c r="B1286" s="6" t="s">
        <v>2873</v>
      </c>
      <c r="C1286" s="6" t="s">
        <v>57</v>
      </c>
      <c r="D1286" s="6" t="s">
        <v>22</v>
      </c>
      <c r="E1286" s="6" t="s">
        <v>23</v>
      </c>
      <c r="F1286" s="6">
        <v>61</v>
      </c>
      <c r="G1286" s="6" t="s">
        <v>34</v>
      </c>
      <c r="H1286" s="6" t="s">
        <v>2874</v>
      </c>
      <c r="I1286" s="6" t="s">
        <v>3949</v>
      </c>
      <c r="J1286" s="8">
        <v>45373</v>
      </c>
      <c r="K1286" s="8">
        <v>45303</v>
      </c>
      <c r="L1286" s="6">
        <v>48600.9</v>
      </c>
      <c r="M1286" s="6">
        <v>18800.25</v>
      </c>
      <c r="N1286" s="6">
        <v>755</v>
      </c>
      <c r="O1286" s="6">
        <v>91000</v>
      </c>
      <c r="P1286" s="6" t="s">
        <v>36</v>
      </c>
      <c r="Q1286" s="6" t="s">
        <v>27</v>
      </c>
      <c r="R1286" s="6">
        <v>0</v>
      </c>
      <c r="S1286" s="6" t="s">
        <v>28</v>
      </c>
      <c r="T1286" s="7">
        <f t="shared" si="100"/>
        <v>0.20659615384615385</v>
      </c>
      <c r="U1286" s="6">
        <f t="shared" si="101"/>
        <v>3</v>
      </c>
      <c r="V1286" s="5" t="str">
        <f t="shared" si="102"/>
        <v>VERY GOOD</v>
      </c>
      <c r="W1286" s="6" t="str">
        <f t="shared" si="103"/>
        <v>55+</v>
      </c>
      <c r="X1286" s="6" t="str">
        <f t="shared" si="104"/>
        <v>Lower-Middle</v>
      </c>
    </row>
    <row r="1287" spans="1:24">
      <c r="A1287" s="6" t="s">
        <v>55</v>
      </c>
      <c r="B1287" s="6" t="s">
        <v>2875</v>
      </c>
      <c r="C1287" s="6" t="s">
        <v>39</v>
      </c>
      <c r="D1287" s="6" t="s">
        <v>58</v>
      </c>
      <c r="E1287" s="6" t="s">
        <v>122</v>
      </c>
      <c r="F1287" s="6">
        <v>79</v>
      </c>
      <c r="G1287" s="6" t="s">
        <v>24</v>
      </c>
      <c r="H1287" s="6" t="s">
        <v>2876</v>
      </c>
      <c r="I1287" s="6" t="s">
        <v>3653</v>
      </c>
      <c r="J1287" s="8">
        <v>44126</v>
      </c>
      <c r="K1287" s="8">
        <v>45300</v>
      </c>
      <c r="L1287" s="6">
        <v>192600.4</v>
      </c>
      <c r="M1287" s="6">
        <v>117000.75</v>
      </c>
      <c r="N1287" s="6">
        <v>685</v>
      </c>
      <c r="O1287" s="6">
        <v>225000</v>
      </c>
      <c r="P1287" s="6" t="s">
        <v>76</v>
      </c>
      <c r="Q1287" s="6" t="s">
        <v>27</v>
      </c>
      <c r="R1287" s="6">
        <v>0</v>
      </c>
      <c r="S1287" s="6" t="s">
        <v>28</v>
      </c>
      <c r="T1287" s="7">
        <f t="shared" si="100"/>
        <v>0.52000333333333337</v>
      </c>
      <c r="U1287" s="6">
        <f t="shared" si="101"/>
        <v>6</v>
      </c>
      <c r="V1287" s="5" t="str">
        <f t="shared" si="102"/>
        <v>GOOD</v>
      </c>
      <c r="W1287" s="6" t="str">
        <f t="shared" si="103"/>
        <v>55+</v>
      </c>
      <c r="X1287" s="6" t="str">
        <f t="shared" si="104"/>
        <v>High</v>
      </c>
    </row>
    <row r="1288" spans="1:24">
      <c r="A1288" s="6" t="s">
        <v>469</v>
      </c>
      <c r="B1288" s="6" t="s">
        <v>2877</v>
      </c>
      <c r="C1288" s="6" t="s">
        <v>52</v>
      </c>
      <c r="D1288" s="6" t="s">
        <v>471</v>
      </c>
      <c r="E1288" s="6" t="s">
        <v>472</v>
      </c>
      <c r="F1288" s="6">
        <v>70</v>
      </c>
      <c r="G1288" s="6" t="s">
        <v>34</v>
      </c>
      <c r="H1288" s="6" t="s">
        <v>2878</v>
      </c>
      <c r="I1288" s="6" t="s">
        <v>4300</v>
      </c>
      <c r="J1288" s="8">
        <v>44764</v>
      </c>
      <c r="K1288" s="8">
        <v>45301</v>
      </c>
      <c r="L1288" s="6">
        <v>78600.800000000003</v>
      </c>
      <c r="M1288" s="6">
        <v>51700.6</v>
      </c>
      <c r="N1288" s="6">
        <v>715</v>
      </c>
      <c r="O1288" s="6">
        <v>124000</v>
      </c>
      <c r="P1288" s="6" t="s">
        <v>26</v>
      </c>
      <c r="Q1288" s="6" t="s">
        <v>27</v>
      </c>
      <c r="R1288" s="6">
        <v>0</v>
      </c>
      <c r="S1288" s="6" t="s">
        <v>28</v>
      </c>
      <c r="T1288" s="7">
        <f t="shared" si="100"/>
        <v>0.41694032258064517</v>
      </c>
      <c r="U1288" s="6">
        <f t="shared" si="101"/>
        <v>5</v>
      </c>
      <c r="V1288" s="5" t="str">
        <f t="shared" si="102"/>
        <v>GOOD</v>
      </c>
      <c r="W1288" s="6" t="str">
        <f t="shared" si="103"/>
        <v>55+</v>
      </c>
      <c r="X1288" s="6" t="str">
        <f t="shared" si="104"/>
        <v>Lower-Middle</v>
      </c>
    </row>
    <row r="1289" spans="1:24">
      <c r="A1289" s="6" t="s">
        <v>474</v>
      </c>
      <c r="B1289" s="6" t="s">
        <v>2879</v>
      </c>
      <c r="C1289" s="6" t="s">
        <v>46</v>
      </c>
      <c r="D1289" s="6" t="s">
        <v>345</v>
      </c>
      <c r="E1289" s="6" t="s">
        <v>346</v>
      </c>
      <c r="F1289" s="6">
        <v>73</v>
      </c>
      <c r="G1289" s="6" t="s">
        <v>24</v>
      </c>
      <c r="H1289" s="6" t="s">
        <v>2880</v>
      </c>
      <c r="I1289" s="6" t="s">
        <v>3951</v>
      </c>
      <c r="J1289" s="8">
        <v>44673</v>
      </c>
      <c r="K1289" s="8">
        <v>45302</v>
      </c>
      <c r="L1289" s="6">
        <v>106400.25</v>
      </c>
      <c r="M1289" s="6">
        <v>61700.4</v>
      </c>
      <c r="N1289" s="6">
        <v>680</v>
      </c>
      <c r="O1289" s="6">
        <v>153000</v>
      </c>
      <c r="P1289" s="6" t="s">
        <v>26</v>
      </c>
      <c r="Q1289" s="6" t="s">
        <v>27</v>
      </c>
      <c r="R1289" s="6">
        <v>0</v>
      </c>
      <c r="S1289" s="6" t="s">
        <v>28</v>
      </c>
      <c r="T1289" s="7">
        <f t="shared" si="100"/>
        <v>0.4032705882352941</v>
      </c>
      <c r="U1289" s="6">
        <f t="shared" si="101"/>
        <v>4</v>
      </c>
      <c r="V1289" s="5" t="str">
        <f t="shared" si="102"/>
        <v>GOOD</v>
      </c>
      <c r="W1289" s="6" t="str">
        <f t="shared" si="103"/>
        <v>55+</v>
      </c>
      <c r="X1289" s="6" t="str">
        <f t="shared" si="104"/>
        <v>Upper-Middle</v>
      </c>
    </row>
    <row r="1290" spans="1:24">
      <c r="A1290" s="6" t="s">
        <v>592</v>
      </c>
      <c r="B1290" s="6" t="s">
        <v>2881</v>
      </c>
      <c r="C1290" s="6" t="s">
        <v>84</v>
      </c>
      <c r="D1290" s="6" t="s">
        <v>32</v>
      </c>
      <c r="E1290" s="6" t="s">
        <v>90</v>
      </c>
      <c r="F1290" s="6">
        <v>53</v>
      </c>
      <c r="G1290" s="6" t="s">
        <v>34</v>
      </c>
      <c r="H1290" s="6" t="s">
        <v>2882</v>
      </c>
      <c r="I1290" s="6" t="s">
        <v>3688</v>
      </c>
      <c r="J1290" s="8">
        <v>45618</v>
      </c>
      <c r="K1290" s="8">
        <v>45304</v>
      </c>
      <c r="L1290" s="6">
        <v>4950.3999999999996</v>
      </c>
      <c r="M1290" s="6">
        <v>15200.75</v>
      </c>
      <c r="N1290" s="6">
        <v>610</v>
      </c>
      <c r="O1290" s="6">
        <v>49000</v>
      </c>
      <c r="P1290" s="6" t="s">
        <v>76</v>
      </c>
      <c r="Q1290" s="6" t="s">
        <v>43</v>
      </c>
      <c r="R1290" s="6">
        <v>0</v>
      </c>
      <c r="S1290" s="6" t="s">
        <v>28</v>
      </c>
      <c r="T1290" s="7">
        <f t="shared" si="100"/>
        <v>0.31021938775510205</v>
      </c>
      <c r="U1290" s="6">
        <f t="shared" si="101"/>
        <v>2</v>
      </c>
      <c r="V1290" s="5" t="str">
        <f t="shared" si="102"/>
        <v>FAIR</v>
      </c>
      <c r="W1290" s="6" t="str">
        <f t="shared" si="103"/>
        <v>45-54</v>
      </c>
      <c r="X1290" s="6" t="str">
        <f t="shared" si="104"/>
        <v>Low</v>
      </c>
    </row>
    <row r="1291" spans="1:24">
      <c r="A1291" s="6" t="s">
        <v>595</v>
      </c>
      <c r="B1291" s="6" t="s">
        <v>2883</v>
      </c>
      <c r="C1291" s="6" t="s">
        <v>21</v>
      </c>
      <c r="D1291" s="6" t="s">
        <v>209</v>
      </c>
      <c r="E1291" s="6" t="s">
        <v>210</v>
      </c>
      <c r="F1291" s="6">
        <v>85</v>
      </c>
      <c r="G1291" s="6" t="s">
        <v>24</v>
      </c>
      <c r="H1291" s="6" t="s">
        <v>2884</v>
      </c>
      <c r="I1291" s="6" t="s">
        <v>4125</v>
      </c>
      <c r="J1291" s="8">
        <v>43821</v>
      </c>
      <c r="K1291" s="8">
        <v>45299</v>
      </c>
      <c r="L1291" s="6">
        <v>290600.8</v>
      </c>
      <c r="M1291" s="6">
        <v>108000.25</v>
      </c>
      <c r="N1291" s="6">
        <v>825</v>
      </c>
      <c r="O1291" s="6">
        <v>305000</v>
      </c>
      <c r="P1291" s="6" t="s">
        <v>36</v>
      </c>
      <c r="Q1291" s="6" t="s">
        <v>27</v>
      </c>
      <c r="R1291" s="6">
        <v>0</v>
      </c>
      <c r="S1291" s="6" t="s">
        <v>28</v>
      </c>
      <c r="T1291" s="7">
        <f t="shared" si="100"/>
        <v>0.35409918032786886</v>
      </c>
      <c r="U1291" s="6">
        <f t="shared" si="101"/>
        <v>7</v>
      </c>
      <c r="V1291" s="5" t="str">
        <f t="shared" si="102"/>
        <v>EXCEPTIONAL</v>
      </c>
      <c r="W1291" s="6" t="str">
        <f t="shared" si="103"/>
        <v>55+</v>
      </c>
      <c r="X1291" s="6" t="str">
        <f t="shared" si="104"/>
        <v>High</v>
      </c>
    </row>
    <row r="1292" spans="1:24">
      <c r="A1292" s="6" t="s">
        <v>226</v>
      </c>
      <c r="B1292" s="6" t="s">
        <v>2885</v>
      </c>
      <c r="C1292" s="6" t="s">
        <v>57</v>
      </c>
      <c r="D1292" s="6" t="s">
        <v>228</v>
      </c>
      <c r="E1292" s="6" t="s">
        <v>229</v>
      </c>
      <c r="F1292" s="6">
        <v>60</v>
      </c>
      <c r="G1292" s="6" t="s">
        <v>34</v>
      </c>
      <c r="H1292" s="6" t="s">
        <v>2886</v>
      </c>
      <c r="I1292" s="6" t="s">
        <v>4301</v>
      </c>
      <c r="J1292" s="8">
        <v>45557</v>
      </c>
      <c r="K1292" s="8">
        <v>45305</v>
      </c>
      <c r="L1292" s="6">
        <v>45300.75</v>
      </c>
      <c r="M1292" s="6">
        <v>17200.400000000001</v>
      </c>
      <c r="N1292" s="6">
        <v>725</v>
      </c>
      <c r="O1292" s="6">
        <v>81000</v>
      </c>
      <c r="P1292" s="6" t="s">
        <v>36</v>
      </c>
      <c r="Q1292" s="6" t="s">
        <v>27</v>
      </c>
      <c r="R1292" s="6">
        <v>0</v>
      </c>
      <c r="S1292" s="6" t="s">
        <v>28</v>
      </c>
      <c r="T1292" s="7">
        <f t="shared" si="100"/>
        <v>0.21235061728395063</v>
      </c>
      <c r="U1292" s="6">
        <f t="shared" si="101"/>
        <v>1</v>
      </c>
      <c r="V1292" s="5" t="str">
        <f t="shared" si="102"/>
        <v>GOOD</v>
      </c>
      <c r="W1292" s="6" t="str">
        <f t="shared" si="103"/>
        <v>55+</v>
      </c>
      <c r="X1292" s="6" t="str">
        <f t="shared" si="104"/>
        <v>Lower-Middle</v>
      </c>
    </row>
    <row r="1293" spans="1:24">
      <c r="A1293" s="6" t="s">
        <v>488</v>
      </c>
      <c r="B1293" s="6" t="s">
        <v>2887</v>
      </c>
      <c r="C1293" s="6" t="s">
        <v>39</v>
      </c>
      <c r="D1293" s="6" t="s">
        <v>304</v>
      </c>
      <c r="E1293" s="6" t="s">
        <v>304</v>
      </c>
      <c r="F1293" s="6">
        <v>77</v>
      </c>
      <c r="G1293" s="6" t="s">
        <v>24</v>
      </c>
      <c r="H1293" s="6" t="s">
        <v>2888</v>
      </c>
      <c r="I1293" s="6" t="s">
        <v>4302</v>
      </c>
      <c r="J1293" s="8">
        <v>44298</v>
      </c>
      <c r="K1293" s="8">
        <v>45300</v>
      </c>
      <c r="L1293" s="6">
        <v>170800.6</v>
      </c>
      <c r="M1293" s="6">
        <v>108000.9</v>
      </c>
      <c r="N1293" s="6">
        <v>675</v>
      </c>
      <c r="O1293" s="6">
        <v>205000</v>
      </c>
      <c r="P1293" s="6" t="s">
        <v>76</v>
      </c>
      <c r="Q1293" s="6" t="s">
        <v>27</v>
      </c>
      <c r="R1293" s="6">
        <v>0</v>
      </c>
      <c r="S1293" s="6" t="s">
        <v>28</v>
      </c>
      <c r="T1293" s="7">
        <f t="shared" si="100"/>
        <v>0.52683365853658537</v>
      </c>
      <c r="U1293" s="6">
        <f t="shared" si="101"/>
        <v>6</v>
      </c>
      <c r="V1293" s="5" t="str">
        <f t="shared" si="102"/>
        <v>GOOD</v>
      </c>
      <c r="W1293" s="6" t="str">
        <f t="shared" si="103"/>
        <v>55+</v>
      </c>
      <c r="X1293" s="6" t="str">
        <f t="shared" si="104"/>
        <v>High</v>
      </c>
    </row>
    <row r="1294" spans="1:24">
      <c r="A1294" s="6" t="s">
        <v>491</v>
      </c>
      <c r="B1294" s="6" t="s">
        <v>2889</v>
      </c>
      <c r="C1294" s="6" t="s">
        <v>52</v>
      </c>
      <c r="D1294" s="6" t="s">
        <v>493</v>
      </c>
      <c r="E1294" s="6" t="s">
        <v>494</v>
      </c>
      <c r="F1294" s="6">
        <v>68</v>
      </c>
      <c r="G1294" s="6" t="s">
        <v>34</v>
      </c>
      <c r="H1294" s="6" t="s">
        <v>2890</v>
      </c>
      <c r="I1294" s="6" t="s">
        <v>4303</v>
      </c>
      <c r="J1294" s="8">
        <v>45068</v>
      </c>
      <c r="K1294" s="8">
        <v>45302</v>
      </c>
      <c r="L1294" s="6">
        <v>72800.399999999994</v>
      </c>
      <c r="M1294" s="6">
        <v>47500.25</v>
      </c>
      <c r="N1294" s="6">
        <v>705</v>
      </c>
      <c r="O1294" s="6">
        <v>113000</v>
      </c>
      <c r="P1294" s="6" t="s">
        <v>26</v>
      </c>
      <c r="Q1294" s="6" t="s">
        <v>27</v>
      </c>
      <c r="R1294" s="6">
        <v>0</v>
      </c>
      <c r="S1294" s="6" t="s">
        <v>28</v>
      </c>
      <c r="T1294" s="7">
        <f t="shared" si="100"/>
        <v>0.42035619469026547</v>
      </c>
      <c r="U1294" s="6">
        <f t="shared" si="101"/>
        <v>4</v>
      </c>
      <c r="V1294" s="5" t="str">
        <f t="shared" si="102"/>
        <v>GOOD</v>
      </c>
      <c r="W1294" s="6" t="str">
        <f t="shared" si="103"/>
        <v>55+</v>
      </c>
      <c r="X1294" s="6" t="str">
        <f t="shared" si="104"/>
        <v>Lower-Middle</v>
      </c>
    </row>
    <row r="1295" spans="1:24">
      <c r="A1295" s="6" t="s">
        <v>496</v>
      </c>
      <c r="B1295" s="6" t="s">
        <v>2891</v>
      </c>
      <c r="C1295" s="6" t="s">
        <v>46</v>
      </c>
      <c r="D1295" s="6" t="s">
        <v>321</v>
      </c>
      <c r="E1295" s="6" t="s">
        <v>322</v>
      </c>
      <c r="F1295" s="6">
        <v>71</v>
      </c>
      <c r="G1295" s="6" t="s">
        <v>24</v>
      </c>
      <c r="H1295" s="6" t="s">
        <v>2892</v>
      </c>
      <c r="I1295" s="6" t="s">
        <v>4304</v>
      </c>
      <c r="J1295" s="8">
        <v>44552</v>
      </c>
      <c r="K1295" s="8">
        <v>45301</v>
      </c>
      <c r="L1295" s="6">
        <v>118100.75</v>
      </c>
      <c r="M1295" s="6">
        <v>68600.800000000003</v>
      </c>
      <c r="N1295" s="6">
        <v>730</v>
      </c>
      <c r="O1295" s="6">
        <v>179000</v>
      </c>
      <c r="P1295" s="6" t="s">
        <v>26</v>
      </c>
      <c r="Q1295" s="6" t="s">
        <v>27</v>
      </c>
      <c r="R1295" s="6">
        <v>0</v>
      </c>
      <c r="S1295" s="6" t="s">
        <v>28</v>
      </c>
      <c r="T1295" s="7">
        <f t="shared" si="100"/>
        <v>0.38324469273743017</v>
      </c>
      <c r="U1295" s="6">
        <f t="shared" si="101"/>
        <v>5</v>
      </c>
      <c r="V1295" s="5" t="str">
        <f t="shared" si="102"/>
        <v>GOOD</v>
      </c>
      <c r="W1295" s="6" t="str">
        <f t="shared" si="103"/>
        <v>55+</v>
      </c>
      <c r="X1295" s="6" t="str">
        <f t="shared" si="104"/>
        <v>Upper-Middle</v>
      </c>
    </row>
    <row r="1296" spans="1:24">
      <c r="A1296" s="6" t="s">
        <v>324</v>
      </c>
      <c r="B1296" s="6" t="s">
        <v>2893</v>
      </c>
      <c r="C1296" s="6" t="s">
        <v>31</v>
      </c>
      <c r="D1296" s="6" t="s">
        <v>313</v>
      </c>
      <c r="E1296" s="6" t="s">
        <v>385</v>
      </c>
      <c r="F1296" s="6">
        <v>56</v>
      </c>
      <c r="G1296" s="6" t="s">
        <v>34</v>
      </c>
      <c r="H1296" s="6" t="s">
        <v>2894</v>
      </c>
      <c r="I1296" s="6" t="s">
        <v>4305</v>
      </c>
      <c r="J1296" s="8">
        <v>45611</v>
      </c>
      <c r="K1296" s="8">
        <v>45306</v>
      </c>
      <c r="L1296" s="6">
        <v>19800.900000000001</v>
      </c>
      <c r="M1296" s="6">
        <v>11300.75</v>
      </c>
      <c r="N1296" s="6">
        <v>685</v>
      </c>
      <c r="O1296" s="6">
        <v>66000</v>
      </c>
      <c r="P1296" s="6" t="s">
        <v>26</v>
      </c>
      <c r="Q1296" s="6" t="s">
        <v>43</v>
      </c>
      <c r="R1296" s="6">
        <v>0</v>
      </c>
      <c r="S1296" s="6" t="s">
        <v>28</v>
      </c>
      <c r="T1296" s="7">
        <f t="shared" si="100"/>
        <v>0.17122348484848485</v>
      </c>
      <c r="U1296" s="6">
        <f t="shared" si="101"/>
        <v>0</v>
      </c>
      <c r="V1296" s="5" t="str">
        <f t="shared" si="102"/>
        <v>GOOD</v>
      </c>
      <c r="W1296" s="6" t="str">
        <f t="shared" si="103"/>
        <v>55+</v>
      </c>
      <c r="X1296" s="6" t="str">
        <f t="shared" si="104"/>
        <v>Low</v>
      </c>
    </row>
    <row r="1297" spans="1:24">
      <c r="A1297" s="6" t="s">
        <v>503</v>
      </c>
      <c r="B1297" s="6" t="s">
        <v>2895</v>
      </c>
      <c r="C1297" s="6" t="s">
        <v>21</v>
      </c>
      <c r="D1297" s="6" t="s">
        <v>32</v>
      </c>
      <c r="E1297" s="6" t="s">
        <v>33</v>
      </c>
      <c r="F1297" s="6">
        <v>88</v>
      </c>
      <c r="G1297" s="6" t="s">
        <v>24</v>
      </c>
      <c r="H1297" s="6" t="s">
        <v>2896</v>
      </c>
      <c r="I1297" s="6" t="s">
        <v>3555</v>
      </c>
      <c r="J1297" s="8">
        <v>43546</v>
      </c>
      <c r="K1297" s="8">
        <v>45299</v>
      </c>
      <c r="L1297" s="6">
        <v>301500.25</v>
      </c>
      <c r="M1297" s="6">
        <v>112000.4</v>
      </c>
      <c r="N1297" s="6">
        <v>840</v>
      </c>
      <c r="O1297" s="6">
        <v>320000</v>
      </c>
      <c r="P1297" s="6" t="s">
        <v>36</v>
      </c>
      <c r="Q1297" s="6" t="s">
        <v>27</v>
      </c>
      <c r="R1297" s="6">
        <v>0</v>
      </c>
      <c r="S1297" s="6" t="s">
        <v>28</v>
      </c>
      <c r="T1297" s="7">
        <f t="shared" si="100"/>
        <v>0.35000124999999999</v>
      </c>
      <c r="U1297" s="6">
        <f t="shared" si="101"/>
        <v>7</v>
      </c>
      <c r="V1297" s="5" t="str">
        <f t="shared" si="102"/>
        <v>EXCEPTIONAL</v>
      </c>
      <c r="W1297" s="6" t="str">
        <f t="shared" si="103"/>
        <v>55+</v>
      </c>
      <c r="X1297" s="6" t="str">
        <f t="shared" si="104"/>
        <v>High</v>
      </c>
    </row>
    <row r="1298" spans="1:24">
      <c r="A1298" s="6" t="s">
        <v>506</v>
      </c>
      <c r="B1298" s="6" t="s">
        <v>2897</v>
      </c>
      <c r="C1298" s="6" t="s">
        <v>39</v>
      </c>
      <c r="D1298" s="6" t="s">
        <v>68</v>
      </c>
      <c r="E1298" s="6" t="s">
        <v>69</v>
      </c>
      <c r="F1298" s="6">
        <v>80</v>
      </c>
      <c r="G1298" s="6" t="s">
        <v>34</v>
      </c>
      <c r="H1298" s="6" t="s">
        <v>2898</v>
      </c>
      <c r="I1298" s="6" t="s">
        <v>4282</v>
      </c>
      <c r="J1298" s="8">
        <v>44065</v>
      </c>
      <c r="K1298" s="8">
        <v>45300</v>
      </c>
      <c r="L1298" s="6">
        <v>181900.4</v>
      </c>
      <c r="M1298" s="6">
        <v>112000.75</v>
      </c>
      <c r="N1298" s="6">
        <v>650</v>
      </c>
      <c r="O1298" s="6">
        <v>215000</v>
      </c>
      <c r="P1298" s="6" t="s">
        <v>76</v>
      </c>
      <c r="Q1298" s="6" t="s">
        <v>27</v>
      </c>
      <c r="R1298" s="6">
        <v>0</v>
      </c>
      <c r="S1298" s="6" t="s">
        <v>28</v>
      </c>
      <c r="T1298" s="7">
        <f t="shared" si="100"/>
        <v>0.5209337209302326</v>
      </c>
      <c r="U1298" s="6">
        <f t="shared" si="101"/>
        <v>6</v>
      </c>
      <c r="V1298" s="5" t="str">
        <f t="shared" si="102"/>
        <v>FAIR</v>
      </c>
      <c r="W1298" s="6" t="str">
        <f t="shared" si="103"/>
        <v>55+</v>
      </c>
      <c r="X1298" s="6" t="str">
        <f t="shared" si="104"/>
        <v>High</v>
      </c>
    </row>
    <row r="1299" spans="1:24">
      <c r="A1299" s="6" t="s">
        <v>509</v>
      </c>
      <c r="B1299" s="6" t="s">
        <v>2899</v>
      </c>
      <c r="C1299" s="6" t="s">
        <v>46</v>
      </c>
      <c r="D1299" s="6" t="s">
        <v>73</v>
      </c>
      <c r="E1299" s="6" t="s">
        <v>74</v>
      </c>
      <c r="F1299" s="6">
        <v>67</v>
      </c>
      <c r="G1299" s="6" t="s">
        <v>24</v>
      </c>
      <c r="H1299" s="6" t="s">
        <v>2900</v>
      </c>
      <c r="I1299" s="6" t="s">
        <v>4306</v>
      </c>
      <c r="J1299" s="8">
        <v>45282</v>
      </c>
      <c r="K1299" s="8">
        <v>45303</v>
      </c>
      <c r="L1299" s="6">
        <v>106900.4</v>
      </c>
      <c r="M1299" s="6">
        <v>62800.25</v>
      </c>
      <c r="N1299" s="6">
        <v>745</v>
      </c>
      <c r="O1299" s="6">
        <v>159000</v>
      </c>
      <c r="P1299" s="6" t="s">
        <v>26</v>
      </c>
      <c r="Q1299" s="6" t="s">
        <v>27</v>
      </c>
      <c r="R1299" s="6">
        <v>0</v>
      </c>
      <c r="S1299" s="6" t="s">
        <v>28</v>
      </c>
      <c r="T1299" s="7">
        <f t="shared" si="100"/>
        <v>0.39497012578616353</v>
      </c>
      <c r="U1299" s="6">
        <f t="shared" si="101"/>
        <v>3</v>
      </c>
      <c r="V1299" s="5" t="str">
        <f t="shared" si="102"/>
        <v>GOOD</v>
      </c>
      <c r="W1299" s="6" t="str">
        <f t="shared" si="103"/>
        <v>55+</v>
      </c>
      <c r="X1299" s="6" t="str">
        <f t="shared" si="104"/>
        <v>Upper-Middle</v>
      </c>
    </row>
    <row r="1300" spans="1:24">
      <c r="A1300" s="6" t="s">
        <v>513</v>
      </c>
      <c r="B1300" s="6" t="s">
        <v>2901</v>
      </c>
      <c r="C1300" s="6" t="s">
        <v>57</v>
      </c>
      <c r="D1300" s="6" t="s">
        <v>58</v>
      </c>
      <c r="E1300" s="6" t="s">
        <v>122</v>
      </c>
      <c r="F1300" s="6">
        <v>62</v>
      </c>
      <c r="G1300" s="6" t="s">
        <v>34</v>
      </c>
      <c r="H1300" s="6" t="s">
        <v>2902</v>
      </c>
      <c r="I1300" s="6" t="s">
        <v>3663</v>
      </c>
      <c r="J1300" s="8">
        <v>45465</v>
      </c>
      <c r="K1300" s="8">
        <v>45302</v>
      </c>
      <c r="L1300" s="6">
        <v>47500.800000000003</v>
      </c>
      <c r="M1300" s="6">
        <v>18400.900000000001</v>
      </c>
      <c r="N1300" s="6">
        <v>765</v>
      </c>
      <c r="O1300" s="6">
        <v>91000</v>
      </c>
      <c r="P1300" s="6" t="s">
        <v>36</v>
      </c>
      <c r="Q1300" s="6" t="s">
        <v>27</v>
      </c>
      <c r="R1300" s="6">
        <v>0</v>
      </c>
      <c r="S1300" s="6" t="s">
        <v>28</v>
      </c>
      <c r="T1300" s="7">
        <f t="shared" si="100"/>
        <v>0.20220769230769231</v>
      </c>
      <c r="U1300" s="6">
        <f t="shared" si="101"/>
        <v>4</v>
      </c>
      <c r="V1300" s="5" t="str">
        <f t="shared" si="102"/>
        <v>VERY GOOD</v>
      </c>
      <c r="W1300" s="6" t="str">
        <f t="shared" si="103"/>
        <v>55+</v>
      </c>
      <c r="X1300" s="6" t="str">
        <f t="shared" si="104"/>
        <v>Lower-Middle</v>
      </c>
    </row>
    <row r="1301" spans="1:24">
      <c r="A1301" s="6" t="s">
        <v>516</v>
      </c>
      <c r="B1301" s="6" t="s">
        <v>2903</v>
      </c>
      <c r="C1301" s="6" t="s">
        <v>52</v>
      </c>
      <c r="D1301" s="6" t="s">
        <v>277</v>
      </c>
      <c r="E1301" s="6" t="s">
        <v>404</v>
      </c>
      <c r="F1301" s="6">
        <v>75</v>
      </c>
      <c r="G1301" s="6" t="s">
        <v>24</v>
      </c>
      <c r="H1301" s="6" t="s">
        <v>2904</v>
      </c>
      <c r="I1301" s="6" t="s">
        <v>3664</v>
      </c>
      <c r="J1301" s="8">
        <v>44734</v>
      </c>
      <c r="K1301" s="8">
        <v>45301</v>
      </c>
      <c r="L1301" s="6">
        <v>80800.75</v>
      </c>
      <c r="M1301" s="6">
        <v>53900.4</v>
      </c>
      <c r="N1301" s="6">
        <v>675</v>
      </c>
      <c r="O1301" s="6">
        <v>131000</v>
      </c>
      <c r="P1301" s="6" t="s">
        <v>26</v>
      </c>
      <c r="Q1301" s="6" t="s">
        <v>27</v>
      </c>
      <c r="R1301" s="6">
        <v>0</v>
      </c>
      <c r="S1301" s="6" t="s">
        <v>28</v>
      </c>
      <c r="T1301" s="7">
        <f t="shared" si="100"/>
        <v>0.41145343511450383</v>
      </c>
      <c r="U1301" s="6">
        <f t="shared" si="101"/>
        <v>5</v>
      </c>
      <c r="V1301" s="5" t="str">
        <f t="shared" si="102"/>
        <v>GOOD</v>
      </c>
      <c r="W1301" s="6" t="str">
        <f t="shared" si="103"/>
        <v>55+</v>
      </c>
      <c r="X1301" s="6" t="str">
        <f t="shared" si="104"/>
        <v>Upper-Middle</v>
      </c>
    </row>
    <row r="1302" spans="1:24">
      <c r="A1302" s="6" t="s">
        <v>519</v>
      </c>
      <c r="B1302" s="6" t="s">
        <v>2905</v>
      </c>
      <c r="C1302" s="6" t="s">
        <v>84</v>
      </c>
      <c r="D1302" s="6" t="s">
        <v>183</v>
      </c>
      <c r="E1302" s="6" t="s">
        <v>184</v>
      </c>
      <c r="F1302" s="6">
        <v>54</v>
      </c>
      <c r="G1302" s="6" t="s">
        <v>34</v>
      </c>
      <c r="H1302" s="6" t="s">
        <v>2906</v>
      </c>
      <c r="I1302" s="6" t="s">
        <v>3665</v>
      </c>
      <c r="J1302" s="8">
        <v>45624</v>
      </c>
      <c r="K1302" s="8">
        <v>45304</v>
      </c>
      <c r="L1302" s="6">
        <v>5200.25</v>
      </c>
      <c r="M1302" s="6">
        <v>16400.599999999999</v>
      </c>
      <c r="N1302" s="6">
        <v>615</v>
      </c>
      <c r="O1302" s="6">
        <v>51000</v>
      </c>
      <c r="P1302" s="6" t="s">
        <v>76</v>
      </c>
      <c r="Q1302" s="6" t="s">
        <v>43</v>
      </c>
      <c r="R1302" s="6">
        <v>0</v>
      </c>
      <c r="S1302" s="6" t="s">
        <v>28</v>
      </c>
      <c r="T1302" s="7">
        <f t="shared" si="100"/>
        <v>0.32158039215686274</v>
      </c>
      <c r="U1302" s="6">
        <f t="shared" si="101"/>
        <v>2</v>
      </c>
      <c r="V1302" s="5" t="str">
        <f t="shared" si="102"/>
        <v>FAIR</v>
      </c>
      <c r="W1302" s="6" t="str">
        <f t="shared" si="103"/>
        <v>45-54</v>
      </c>
      <c r="X1302" s="6" t="str">
        <f t="shared" si="104"/>
        <v>Low</v>
      </c>
    </row>
    <row r="1303" spans="1:24">
      <c r="A1303" s="6" t="s">
        <v>522</v>
      </c>
      <c r="B1303" s="6" t="s">
        <v>2907</v>
      </c>
      <c r="C1303" s="6" t="s">
        <v>39</v>
      </c>
      <c r="D1303" s="6" t="s">
        <v>40</v>
      </c>
      <c r="E1303" s="6" t="s">
        <v>41</v>
      </c>
      <c r="F1303" s="6">
        <v>82</v>
      </c>
      <c r="G1303" s="6" t="s">
        <v>24</v>
      </c>
      <c r="H1303" s="6" t="s">
        <v>2908</v>
      </c>
      <c r="I1303" s="6" t="s">
        <v>3510</v>
      </c>
      <c r="J1303" s="8">
        <v>44034</v>
      </c>
      <c r="K1303" s="8">
        <v>45299</v>
      </c>
      <c r="L1303" s="6">
        <v>216500.8</v>
      </c>
      <c r="M1303" s="6">
        <v>125000.25</v>
      </c>
      <c r="N1303" s="6">
        <v>660</v>
      </c>
      <c r="O1303" s="6">
        <v>250000</v>
      </c>
      <c r="P1303" s="6" t="s">
        <v>76</v>
      </c>
      <c r="Q1303" s="6" t="s">
        <v>27</v>
      </c>
      <c r="R1303" s="6">
        <v>0</v>
      </c>
      <c r="S1303" s="6" t="s">
        <v>28</v>
      </c>
      <c r="T1303" s="7">
        <f t="shared" si="100"/>
        <v>0.50000100000000003</v>
      </c>
      <c r="U1303" s="6">
        <f t="shared" si="101"/>
        <v>7</v>
      </c>
      <c r="V1303" s="5" t="str">
        <f t="shared" si="102"/>
        <v>FAIR</v>
      </c>
      <c r="W1303" s="6" t="str">
        <f t="shared" si="103"/>
        <v>55+</v>
      </c>
      <c r="X1303" s="6" t="str">
        <f t="shared" si="104"/>
        <v>High</v>
      </c>
    </row>
    <row r="1304" spans="1:24">
      <c r="A1304" s="6" t="s">
        <v>306</v>
      </c>
      <c r="B1304" s="6" t="s">
        <v>2909</v>
      </c>
      <c r="C1304" s="6" t="s">
        <v>46</v>
      </c>
      <c r="D1304" s="6" t="s">
        <v>209</v>
      </c>
      <c r="E1304" s="6" t="s">
        <v>447</v>
      </c>
      <c r="F1304" s="6">
        <v>69</v>
      </c>
      <c r="G1304" s="6" t="s">
        <v>34</v>
      </c>
      <c r="H1304" s="6" t="s">
        <v>2910</v>
      </c>
      <c r="I1304" s="6" t="s">
        <v>4307</v>
      </c>
      <c r="J1304" s="8">
        <v>44887</v>
      </c>
      <c r="K1304" s="8">
        <v>45302</v>
      </c>
      <c r="L1304" s="6">
        <v>101900.9</v>
      </c>
      <c r="M1304" s="6">
        <v>59700.75</v>
      </c>
      <c r="N1304" s="6">
        <v>730</v>
      </c>
      <c r="O1304" s="6">
        <v>154000</v>
      </c>
      <c r="P1304" s="6" t="s">
        <v>26</v>
      </c>
      <c r="Q1304" s="6" t="s">
        <v>27</v>
      </c>
      <c r="R1304" s="6">
        <v>0</v>
      </c>
      <c r="S1304" s="6" t="s">
        <v>28</v>
      </c>
      <c r="T1304" s="7">
        <f t="shared" si="100"/>
        <v>0.38766720779220781</v>
      </c>
      <c r="U1304" s="6">
        <f t="shared" si="101"/>
        <v>4</v>
      </c>
      <c r="V1304" s="5" t="str">
        <f t="shared" si="102"/>
        <v>GOOD</v>
      </c>
      <c r="W1304" s="6" t="str">
        <f t="shared" si="103"/>
        <v>55+</v>
      </c>
      <c r="X1304" s="6" t="str">
        <f t="shared" si="104"/>
        <v>Upper-Middle</v>
      </c>
    </row>
    <row r="1305" spans="1:24">
      <c r="A1305" s="6" t="s">
        <v>527</v>
      </c>
      <c r="B1305" s="6" t="s">
        <v>2911</v>
      </c>
      <c r="C1305" s="6" t="s">
        <v>31</v>
      </c>
      <c r="D1305" s="6" t="s">
        <v>32</v>
      </c>
      <c r="E1305" s="6" t="s">
        <v>90</v>
      </c>
      <c r="F1305" s="6">
        <v>58</v>
      </c>
      <c r="G1305" s="6" t="s">
        <v>34</v>
      </c>
      <c r="H1305" s="6" t="s">
        <v>2912</v>
      </c>
      <c r="I1305" s="6" t="s">
        <v>3688</v>
      </c>
      <c r="J1305" s="8">
        <v>45618</v>
      </c>
      <c r="K1305" s="8">
        <v>45305</v>
      </c>
      <c r="L1305" s="6">
        <v>20900.400000000001</v>
      </c>
      <c r="M1305" s="6">
        <v>11400.25</v>
      </c>
      <c r="N1305" s="6">
        <v>705</v>
      </c>
      <c r="O1305" s="6">
        <v>68000</v>
      </c>
      <c r="P1305" s="6" t="s">
        <v>26</v>
      </c>
      <c r="Q1305" s="6" t="s">
        <v>43</v>
      </c>
      <c r="R1305" s="6">
        <v>0</v>
      </c>
      <c r="S1305" s="6" t="s">
        <v>28</v>
      </c>
      <c r="T1305" s="7">
        <f t="shared" si="100"/>
        <v>0.16765073529411764</v>
      </c>
      <c r="U1305" s="6">
        <f t="shared" si="101"/>
        <v>1</v>
      </c>
      <c r="V1305" s="5" t="str">
        <f t="shared" si="102"/>
        <v>GOOD</v>
      </c>
      <c r="W1305" s="6" t="str">
        <f t="shared" si="103"/>
        <v>55+</v>
      </c>
      <c r="X1305" s="6" t="str">
        <f t="shared" si="104"/>
        <v>Low</v>
      </c>
    </row>
    <row r="1306" spans="1:24">
      <c r="A1306" s="6" t="s">
        <v>530</v>
      </c>
      <c r="B1306" s="6" t="s">
        <v>2913</v>
      </c>
      <c r="C1306" s="6" t="s">
        <v>57</v>
      </c>
      <c r="D1306" s="6" t="s">
        <v>219</v>
      </c>
      <c r="E1306" s="6" t="s">
        <v>220</v>
      </c>
      <c r="F1306" s="6">
        <v>63</v>
      </c>
      <c r="G1306" s="6" t="s">
        <v>24</v>
      </c>
      <c r="H1306" s="6" t="s">
        <v>2914</v>
      </c>
      <c r="I1306" s="6" t="s">
        <v>4308</v>
      </c>
      <c r="J1306" s="8">
        <v>45434</v>
      </c>
      <c r="K1306" s="8">
        <v>45303</v>
      </c>
      <c r="L1306" s="6">
        <v>46400.6</v>
      </c>
      <c r="M1306" s="6">
        <v>17800.8</v>
      </c>
      <c r="N1306" s="6">
        <v>710</v>
      </c>
      <c r="O1306" s="6">
        <v>84000</v>
      </c>
      <c r="P1306" s="6" t="s">
        <v>36</v>
      </c>
      <c r="Q1306" s="6" t="s">
        <v>27</v>
      </c>
      <c r="R1306" s="6">
        <v>0</v>
      </c>
      <c r="S1306" s="6" t="s">
        <v>28</v>
      </c>
      <c r="T1306" s="7">
        <f t="shared" si="100"/>
        <v>0.21191428571428569</v>
      </c>
      <c r="U1306" s="6">
        <f t="shared" si="101"/>
        <v>3</v>
      </c>
      <c r="V1306" s="5" t="str">
        <f t="shared" si="102"/>
        <v>GOOD</v>
      </c>
      <c r="W1306" s="6" t="str">
        <f t="shared" si="103"/>
        <v>55+</v>
      </c>
      <c r="X1306" s="6" t="str">
        <f t="shared" si="104"/>
        <v>Lower-Middle</v>
      </c>
    </row>
    <row r="1307" spans="1:24">
      <c r="A1307" s="6" t="s">
        <v>533</v>
      </c>
      <c r="B1307" s="6" t="s">
        <v>2915</v>
      </c>
      <c r="C1307" s="6" t="s">
        <v>52</v>
      </c>
      <c r="D1307" s="6" t="s">
        <v>204</v>
      </c>
      <c r="E1307" s="6" t="s">
        <v>259</v>
      </c>
      <c r="F1307" s="6">
        <v>70</v>
      </c>
      <c r="G1307" s="6" t="s">
        <v>34</v>
      </c>
      <c r="H1307" s="6" t="s">
        <v>2916</v>
      </c>
      <c r="I1307" s="6" t="s">
        <v>3735</v>
      </c>
      <c r="J1307" s="8">
        <v>44734</v>
      </c>
      <c r="K1307" s="8">
        <v>45301</v>
      </c>
      <c r="L1307" s="6">
        <v>77700.25</v>
      </c>
      <c r="M1307" s="6">
        <v>50800.9</v>
      </c>
      <c r="N1307" s="6">
        <v>695</v>
      </c>
      <c r="O1307" s="6">
        <v>119000</v>
      </c>
      <c r="P1307" s="6" t="s">
        <v>26</v>
      </c>
      <c r="Q1307" s="6" t="s">
        <v>27</v>
      </c>
      <c r="R1307" s="6">
        <v>0</v>
      </c>
      <c r="S1307" s="6" t="s">
        <v>28</v>
      </c>
      <c r="T1307" s="7">
        <f t="shared" si="100"/>
        <v>0.42689831932773109</v>
      </c>
      <c r="U1307" s="6">
        <f t="shared" si="101"/>
        <v>5</v>
      </c>
      <c r="V1307" s="5" t="str">
        <f t="shared" si="102"/>
        <v>GOOD</v>
      </c>
      <c r="W1307" s="6" t="str">
        <f t="shared" si="103"/>
        <v>55+</v>
      </c>
      <c r="X1307" s="6" t="str">
        <f t="shared" si="104"/>
        <v>Lower-Middle</v>
      </c>
    </row>
    <row r="1308" spans="1:24">
      <c r="A1308" s="6" t="s">
        <v>536</v>
      </c>
      <c r="B1308" s="6" t="s">
        <v>2917</v>
      </c>
      <c r="C1308" s="6" t="s">
        <v>39</v>
      </c>
      <c r="D1308" s="6" t="s">
        <v>195</v>
      </c>
      <c r="E1308" s="6" t="s">
        <v>300</v>
      </c>
      <c r="F1308" s="6">
        <v>78</v>
      </c>
      <c r="G1308" s="6" t="s">
        <v>24</v>
      </c>
      <c r="H1308" s="6" t="s">
        <v>2918</v>
      </c>
      <c r="I1308" s="6" t="s">
        <v>4309</v>
      </c>
      <c r="J1308" s="8">
        <v>44187</v>
      </c>
      <c r="K1308" s="8">
        <v>45300</v>
      </c>
      <c r="L1308" s="6">
        <v>148700.4</v>
      </c>
      <c r="M1308" s="6">
        <v>99000.6</v>
      </c>
      <c r="N1308" s="6">
        <v>670</v>
      </c>
      <c r="O1308" s="6">
        <v>186000</v>
      </c>
      <c r="P1308" s="6" t="s">
        <v>76</v>
      </c>
      <c r="Q1308" s="6" t="s">
        <v>27</v>
      </c>
      <c r="R1308" s="6">
        <v>0</v>
      </c>
      <c r="S1308" s="6" t="s">
        <v>28</v>
      </c>
      <c r="T1308" s="7">
        <f t="shared" si="100"/>
        <v>0.53226129032258063</v>
      </c>
      <c r="U1308" s="6">
        <f t="shared" si="101"/>
        <v>6</v>
      </c>
      <c r="V1308" s="5" t="str">
        <f t="shared" si="102"/>
        <v>GOOD</v>
      </c>
      <c r="W1308" s="6" t="str">
        <f t="shared" si="103"/>
        <v>55+</v>
      </c>
      <c r="X1308" s="6" t="str">
        <f t="shared" si="104"/>
        <v>Upper-Middle</v>
      </c>
    </row>
    <row r="1309" spans="1:24">
      <c r="A1309" s="6" t="s">
        <v>539</v>
      </c>
      <c r="B1309" s="6" t="s">
        <v>2919</v>
      </c>
      <c r="C1309" s="6" t="s">
        <v>21</v>
      </c>
      <c r="D1309" s="6" t="s">
        <v>58</v>
      </c>
      <c r="E1309" s="6" t="s">
        <v>59</v>
      </c>
      <c r="F1309" s="6">
        <v>86</v>
      </c>
      <c r="G1309" s="6" t="s">
        <v>34</v>
      </c>
      <c r="H1309" s="6" t="s">
        <v>2920</v>
      </c>
      <c r="I1309" s="6" t="s">
        <v>3671</v>
      </c>
      <c r="J1309" s="8">
        <v>43760</v>
      </c>
      <c r="K1309" s="8">
        <v>45299</v>
      </c>
      <c r="L1309" s="6">
        <v>315600.75</v>
      </c>
      <c r="M1309" s="6">
        <v>116000.8</v>
      </c>
      <c r="N1309" s="6">
        <v>835</v>
      </c>
      <c r="O1309" s="6">
        <v>331000</v>
      </c>
      <c r="P1309" s="6" t="s">
        <v>36</v>
      </c>
      <c r="Q1309" s="6" t="s">
        <v>27</v>
      </c>
      <c r="R1309" s="6">
        <v>0</v>
      </c>
      <c r="S1309" s="6" t="s">
        <v>28</v>
      </c>
      <c r="T1309" s="7">
        <f t="shared" si="100"/>
        <v>0.3504555891238671</v>
      </c>
      <c r="U1309" s="6">
        <f t="shared" si="101"/>
        <v>7</v>
      </c>
      <c r="V1309" s="5" t="str">
        <f t="shared" si="102"/>
        <v>EXCEPTIONAL</v>
      </c>
      <c r="W1309" s="6" t="str">
        <f t="shared" si="103"/>
        <v>55+</v>
      </c>
      <c r="X1309" s="6" t="str">
        <f t="shared" si="104"/>
        <v>High</v>
      </c>
    </row>
    <row r="1310" spans="1:24">
      <c r="A1310" s="6" t="s">
        <v>542</v>
      </c>
      <c r="B1310" s="6" t="s">
        <v>2921</v>
      </c>
      <c r="C1310" s="6" t="s">
        <v>52</v>
      </c>
      <c r="D1310" s="6" t="s">
        <v>68</v>
      </c>
      <c r="E1310" s="6" t="s">
        <v>179</v>
      </c>
      <c r="F1310" s="6">
        <v>73</v>
      </c>
      <c r="G1310" s="6" t="s">
        <v>34</v>
      </c>
      <c r="H1310" s="6" t="s">
        <v>2922</v>
      </c>
      <c r="I1310" s="6" t="s">
        <v>4298</v>
      </c>
      <c r="J1310" s="8">
        <v>44703</v>
      </c>
      <c r="K1310" s="8">
        <v>45302</v>
      </c>
      <c r="L1310" s="6">
        <v>86400.6</v>
      </c>
      <c r="M1310" s="6">
        <v>56400.25</v>
      </c>
      <c r="N1310" s="6">
        <v>665</v>
      </c>
      <c r="O1310" s="6">
        <v>139000</v>
      </c>
      <c r="P1310" s="6" t="s">
        <v>26</v>
      </c>
      <c r="Q1310" s="6" t="s">
        <v>27</v>
      </c>
      <c r="R1310" s="6">
        <v>0</v>
      </c>
      <c r="S1310" s="6" t="s">
        <v>28</v>
      </c>
      <c r="T1310" s="7">
        <f t="shared" si="100"/>
        <v>0.40575719424460432</v>
      </c>
      <c r="U1310" s="6">
        <f t="shared" si="101"/>
        <v>4</v>
      </c>
      <c r="V1310" s="5" t="str">
        <f t="shared" si="102"/>
        <v>FAIR</v>
      </c>
      <c r="W1310" s="6" t="str">
        <f t="shared" si="103"/>
        <v>55+</v>
      </c>
      <c r="X1310" s="6" t="str">
        <f t="shared" si="104"/>
        <v>Upper-Middle</v>
      </c>
    </row>
    <row r="1311" spans="1:24">
      <c r="A1311" s="6" t="s">
        <v>545</v>
      </c>
      <c r="B1311" s="6" t="s">
        <v>2923</v>
      </c>
      <c r="C1311" s="6" t="s">
        <v>46</v>
      </c>
      <c r="D1311" s="6" t="s">
        <v>241</v>
      </c>
      <c r="E1311" s="6" t="s">
        <v>389</v>
      </c>
      <c r="F1311" s="6">
        <v>65</v>
      </c>
      <c r="G1311" s="6" t="s">
        <v>24</v>
      </c>
      <c r="H1311" s="6" t="s">
        <v>2924</v>
      </c>
      <c r="I1311" s="6" t="s">
        <v>4310</v>
      </c>
      <c r="J1311" s="8">
        <v>45344</v>
      </c>
      <c r="K1311" s="8">
        <v>45303</v>
      </c>
      <c r="L1311" s="6">
        <v>109700.8</v>
      </c>
      <c r="M1311" s="6">
        <v>63900.4</v>
      </c>
      <c r="N1311" s="6">
        <v>750</v>
      </c>
      <c r="O1311" s="6">
        <v>165000</v>
      </c>
      <c r="P1311" s="6" t="s">
        <v>26</v>
      </c>
      <c r="Q1311" s="6" t="s">
        <v>27</v>
      </c>
      <c r="R1311" s="6">
        <v>0</v>
      </c>
      <c r="S1311" s="6" t="s">
        <v>28</v>
      </c>
      <c r="T1311" s="7">
        <f t="shared" si="100"/>
        <v>0.38727515151515152</v>
      </c>
      <c r="U1311" s="6">
        <f t="shared" si="101"/>
        <v>3</v>
      </c>
      <c r="V1311" s="5" t="str">
        <f t="shared" si="102"/>
        <v>VERY GOOD</v>
      </c>
      <c r="W1311" s="6" t="str">
        <f t="shared" si="103"/>
        <v>55+</v>
      </c>
      <c r="X1311" s="6" t="str">
        <f t="shared" si="104"/>
        <v>Upper-Middle</v>
      </c>
    </row>
    <row r="1312" spans="1:24">
      <c r="A1312" s="6" t="s">
        <v>548</v>
      </c>
      <c r="B1312" s="6" t="s">
        <v>2925</v>
      </c>
      <c r="C1312" s="6" t="s">
        <v>57</v>
      </c>
      <c r="D1312" s="6" t="s">
        <v>22</v>
      </c>
      <c r="E1312" s="6" t="s">
        <v>381</v>
      </c>
      <c r="F1312" s="6">
        <v>61</v>
      </c>
      <c r="G1312" s="6" t="s">
        <v>34</v>
      </c>
      <c r="H1312" s="6" t="s">
        <v>2926</v>
      </c>
      <c r="I1312" s="6" t="s">
        <v>3769</v>
      </c>
      <c r="J1312" s="8">
        <v>45526</v>
      </c>
      <c r="K1312" s="8">
        <v>45305</v>
      </c>
      <c r="L1312" s="6">
        <v>48600.9</v>
      </c>
      <c r="M1312" s="6">
        <v>18800.75</v>
      </c>
      <c r="N1312" s="6">
        <v>770</v>
      </c>
      <c r="O1312" s="6">
        <v>96000</v>
      </c>
      <c r="P1312" s="6" t="s">
        <v>36</v>
      </c>
      <c r="Q1312" s="6" t="s">
        <v>27</v>
      </c>
      <c r="R1312" s="6">
        <v>0</v>
      </c>
      <c r="S1312" s="6" t="s">
        <v>28</v>
      </c>
      <c r="T1312" s="7">
        <f t="shared" si="100"/>
        <v>0.19584114583333334</v>
      </c>
      <c r="U1312" s="6">
        <f t="shared" si="101"/>
        <v>1</v>
      </c>
      <c r="V1312" s="5" t="str">
        <f t="shared" si="102"/>
        <v>VERY GOOD</v>
      </c>
      <c r="W1312" s="6" t="str">
        <f t="shared" si="103"/>
        <v>55+</v>
      </c>
      <c r="X1312" s="6" t="str">
        <f t="shared" si="104"/>
        <v>Lower-Middle</v>
      </c>
    </row>
    <row r="1313" spans="1:24">
      <c r="A1313" s="6" t="s">
        <v>551</v>
      </c>
      <c r="B1313" s="6" t="s">
        <v>2927</v>
      </c>
      <c r="C1313" s="6" t="s">
        <v>39</v>
      </c>
      <c r="D1313" s="6" t="s">
        <v>313</v>
      </c>
      <c r="E1313" s="6" t="s">
        <v>501</v>
      </c>
      <c r="F1313" s="6">
        <v>84</v>
      </c>
      <c r="G1313" s="6" t="s">
        <v>24</v>
      </c>
      <c r="H1313" s="6" t="s">
        <v>2928</v>
      </c>
      <c r="I1313" s="6" t="s">
        <v>4311</v>
      </c>
      <c r="J1313" s="8">
        <v>43943</v>
      </c>
      <c r="K1313" s="8">
        <v>45299</v>
      </c>
      <c r="L1313" s="6">
        <v>201800.25</v>
      </c>
      <c r="M1313" s="6">
        <v>120000.8</v>
      </c>
      <c r="N1313" s="6">
        <v>645</v>
      </c>
      <c r="O1313" s="6">
        <v>236000</v>
      </c>
      <c r="P1313" s="6" t="s">
        <v>76</v>
      </c>
      <c r="Q1313" s="6" t="s">
        <v>27</v>
      </c>
      <c r="R1313" s="6">
        <v>0</v>
      </c>
      <c r="S1313" s="6" t="s">
        <v>28</v>
      </c>
      <c r="T1313" s="7">
        <f t="shared" si="100"/>
        <v>0.50847796610169493</v>
      </c>
      <c r="U1313" s="6">
        <f t="shared" si="101"/>
        <v>7</v>
      </c>
      <c r="V1313" s="5" t="str">
        <f t="shared" si="102"/>
        <v>FAIR</v>
      </c>
      <c r="W1313" s="6" t="str">
        <f t="shared" si="103"/>
        <v>55+</v>
      </c>
      <c r="X1313" s="6" t="str">
        <f t="shared" si="104"/>
        <v>High</v>
      </c>
    </row>
    <row r="1314" spans="1:24">
      <c r="A1314" s="6" t="s">
        <v>554</v>
      </c>
      <c r="B1314" s="6" t="s">
        <v>2929</v>
      </c>
      <c r="C1314" s="6" t="s">
        <v>31</v>
      </c>
      <c r="D1314" s="6" t="s">
        <v>214</v>
      </c>
      <c r="E1314" s="6" t="s">
        <v>483</v>
      </c>
      <c r="F1314" s="6">
        <v>57</v>
      </c>
      <c r="G1314" s="6" t="s">
        <v>34</v>
      </c>
      <c r="H1314" s="6" t="s">
        <v>2930</v>
      </c>
      <c r="I1314" s="6" t="s">
        <v>4312</v>
      </c>
      <c r="J1314" s="8">
        <v>45624</v>
      </c>
      <c r="K1314" s="8">
        <v>45306</v>
      </c>
      <c r="L1314" s="6">
        <v>41200.5</v>
      </c>
      <c r="M1314" s="6">
        <v>18400.400000000001</v>
      </c>
      <c r="N1314" s="6">
        <v>720</v>
      </c>
      <c r="O1314" s="6">
        <v>73000</v>
      </c>
      <c r="P1314" s="6" t="s">
        <v>36</v>
      </c>
      <c r="Q1314" s="6" t="s">
        <v>27</v>
      </c>
      <c r="R1314" s="6">
        <v>0</v>
      </c>
      <c r="S1314" s="6" t="s">
        <v>28</v>
      </c>
      <c r="T1314" s="7">
        <f t="shared" si="100"/>
        <v>0.25206027397260278</v>
      </c>
      <c r="U1314" s="6">
        <f t="shared" si="101"/>
        <v>0</v>
      </c>
      <c r="V1314" s="5" t="str">
        <f t="shared" si="102"/>
        <v>GOOD</v>
      </c>
      <c r="W1314" s="6" t="str">
        <f t="shared" si="103"/>
        <v>55+</v>
      </c>
      <c r="X1314" s="6" t="str">
        <f t="shared" si="104"/>
        <v>Low</v>
      </c>
    </row>
    <row r="1315" spans="1:24">
      <c r="A1315" s="6" t="s">
        <v>108</v>
      </c>
      <c r="B1315" s="6" t="s">
        <v>2931</v>
      </c>
      <c r="C1315" s="6" t="s">
        <v>84</v>
      </c>
      <c r="D1315" s="6" t="s">
        <v>32</v>
      </c>
      <c r="E1315" s="6" t="s">
        <v>33</v>
      </c>
      <c r="F1315" s="6">
        <v>53</v>
      </c>
      <c r="G1315" s="6" t="s">
        <v>24</v>
      </c>
      <c r="H1315" s="6" t="s">
        <v>2932</v>
      </c>
      <c r="I1315" s="6" t="s">
        <v>3688</v>
      </c>
      <c r="J1315" s="8">
        <v>45624</v>
      </c>
      <c r="K1315" s="8">
        <v>45304</v>
      </c>
      <c r="L1315" s="6">
        <v>4950.8</v>
      </c>
      <c r="M1315" s="6">
        <v>14800.25</v>
      </c>
      <c r="N1315" s="6">
        <v>605</v>
      </c>
      <c r="O1315" s="6">
        <v>49000</v>
      </c>
      <c r="P1315" s="6" t="s">
        <v>76</v>
      </c>
      <c r="Q1315" s="6" t="s">
        <v>43</v>
      </c>
      <c r="R1315" s="6">
        <v>0</v>
      </c>
      <c r="S1315" s="6" t="s">
        <v>28</v>
      </c>
      <c r="T1315" s="7">
        <f t="shared" si="100"/>
        <v>0.30204591836734695</v>
      </c>
      <c r="U1315" s="6">
        <f t="shared" si="101"/>
        <v>2</v>
      </c>
      <c r="V1315" s="5" t="str">
        <f t="shared" si="102"/>
        <v>FAIR</v>
      </c>
      <c r="W1315" s="6" t="str">
        <f t="shared" si="103"/>
        <v>45-54</v>
      </c>
      <c r="X1315" s="6" t="str">
        <f t="shared" si="104"/>
        <v>Low</v>
      </c>
    </row>
    <row r="1316" spans="1:24">
      <c r="A1316" s="6" t="s">
        <v>559</v>
      </c>
      <c r="B1316" s="6" t="s">
        <v>2933</v>
      </c>
      <c r="C1316" s="6" t="s">
        <v>46</v>
      </c>
      <c r="D1316" s="6" t="s">
        <v>254</v>
      </c>
      <c r="E1316" s="6" t="s">
        <v>255</v>
      </c>
      <c r="F1316" s="6">
        <v>67</v>
      </c>
      <c r="G1316" s="6" t="s">
        <v>34</v>
      </c>
      <c r="H1316" s="6" t="s">
        <v>2934</v>
      </c>
      <c r="I1316" s="6" t="s">
        <v>4313</v>
      </c>
      <c r="J1316" s="8">
        <v>45221</v>
      </c>
      <c r="K1316" s="8">
        <v>45302</v>
      </c>
      <c r="L1316" s="6">
        <v>96400.4</v>
      </c>
      <c r="M1316" s="6">
        <v>58600.75</v>
      </c>
      <c r="N1316" s="6">
        <v>710</v>
      </c>
      <c r="O1316" s="6">
        <v>147000</v>
      </c>
      <c r="P1316" s="6" t="s">
        <v>26</v>
      </c>
      <c r="Q1316" s="6" t="s">
        <v>27</v>
      </c>
      <c r="R1316" s="6">
        <v>0</v>
      </c>
      <c r="S1316" s="6" t="s">
        <v>28</v>
      </c>
      <c r="T1316" s="7">
        <f t="shared" si="100"/>
        <v>0.39864455782312924</v>
      </c>
      <c r="U1316" s="6">
        <f t="shared" si="101"/>
        <v>4</v>
      </c>
      <c r="V1316" s="5" t="str">
        <f t="shared" si="102"/>
        <v>GOOD</v>
      </c>
      <c r="W1316" s="6" t="str">
        <f t="shared" si="103"/>
        <v>55+</v>
      </c>
      <c r="X1316" s="6" t="str">
        <f t="shared" si="104"/>
        <v>Upper-Middle</v>
      </c>
    </row>
    <row r="1317" spans="1:24">
      <c r="A1317" s="6" t="s">
        <v>562</v>
      </c>
      <c r="B1317" s="6" t="s">
        <v>2935</v>
      </c>
      <c r="C1317" s="6" t="s">
        <v>39</v>
      </c>
      <c r="D1317" s="6" t="s">
        <v>47</v>
      </c>
      <c r="E1317" s="6" t="s">
        <v>48</v>
      </c>
      <c r="F1317" s="6">
        <v>81</v>
      </c>
      <c r="G1317" s="6" t="s">
        <v>24</v>
      </c>
      <c r="H1317" s="6" t="s">
        <v>2936</v>
      </c>
      <c r="I1317" s="6" t="s">
        <v>3965</v>
      </c>
      <c r="J1317" s="8">
        <v>44096</v>
      </c>
      <c r="K1317" s="8">
        <v>45300</v>
      </c>
      <c r="L1317" s="6">
        <v>182000.6</v>
      </c>
      <c r="M1317" s="6">
        <v>113000.25</v>
      </c>
      <c r="N1317" s="6">
        <v>675</v>
      </c>
      <c r="O1317" s="6">
        <v>216000</v>
      </c>
      <c r="P1317" s="6" t="s">
        <v>76</v>
      </c>
      <c r="Q1317" s="6" t="s">
        <v>27</v>
      </c>
      <c r="R1317" s="6">
        <v>0</v>
      </c>
      <c r="S1317" s="6" t="s">
        <v>28</v>
      </c>
      <c r="T1317" s="7">
        <f t="shared" si="100"/>
        <v>0.52314930555555561</v>
      </c>
      <c r="U1317" s="6">
        <f t="shared" si="101"/>
        <v>6</v>
      </c>
      <c r="V1317" s="5" t="str">
        <f t="shared" si="102"/>
        <v>GOOD</v>
      </c>
      <c r="W1317" s="6" t="str">
        <f t="shared" si="103"/>
        <v>55+</v>
      </c>
      <c r="X1317" s="6" t="str">
        <f t="shared" si="104"/>
        <v>High</v>
      </c>
    </row>
    <row r="1318" spans="1:24">
      <c r="A1318" s="6" t="s">
        <v>565</v>
      </c>
      <c r="B1318" s="6" t="s">
        <v>2937</v>
      </c>
      <c r="C1318" s="6" t="s">
        <v>52</v>
      </c>
      <c r="D1318" s="6" t="s">
        <v>233</v>
      </c>
      <c r="E1318" s="6" t="s">
        <v>296</v>
      </c>
      <c r="F1318" s="6">
        <v>66</v>
      </c>
      <c r="G1318" s="6" t="s">
        <v>34</v>
      </c>
      <c r="H1318" s="6" t="s">
        <v>2938</v>
      </c>
      <c r="I1318" s="6" t="s">
        <v>3678</v>
      </c>
      <c r="J1318" s="8">
        <v>45007</v>
      </c>
      <c r="K1318" s="8">
        <v>45301</v>
      </c>
      <c r="L1318" s="6">
        <v>72800.75</v>
      </c>
      <c r="M1318" s="6">
        <v>49700.800000000003</v>
      </c>
      <c r="N1318" s="6">
        <v>725</v>
      </c>
      <c r="O1318" s="6">
        <v>113000</v>
      </c>
      <c r="P1318" s="6" t="s">
        <v>26</v>
      </c>
      <c r="Q1318" s="6" t="s">
        <v>27</v>
      </c>
      <c r="R1318" s="6">
        <v>0</v>
      </c>
      <c r="S1318" s="6" t="s">
        <v>28</v>
      </c>
      <c r="T1318" s="7">
        <f t="shared" si="100"/>
        <v>0.43983008849557526</v>
      </c>
      <c r="U1318" s="6">
        <f t="shared" si="101"/>
        <v>5</v>
      </c>
      <c r="V1318" s="5" t="str">
        <f t="shared" si="102"/>
        <v>GOOD</v>
      </c>
      <c r="W1318" s="6" t="str">
        <f t="shared" si="103"/>
        <v>55+</v>
      </c>
      <c r="X1318" s="6" t="str">
        <f t="shared" si="104"/>
        <v>Lower-Middle</v>
      </c>
    </row>
    <row r="1319" spans="1:24">
      <c r="A1319" s="6" t="s">
        <v>568</v>
      </c>
      <c r="B1319" s="6" t="s">
        <v>2939</v>
      </c>
      <c r="C1319" s="6" t="s">
        <v>57</v>
      </c>
      <c r="D1319" s="6" t="s">
        <v>79</v>
      </c>
      <c r="E1319" s="6" t="s">
        <v>102</v>
      </c>
      <c r="F1319" s="6">
        <v>64</v>
      </c>
      <c r="G1319" s="6" t="s">
        <v>24</v>
      </c>
      <c r="H1319" s="6" t="s">
        <v>2940</v>
      </c>
      <c r="I1319" s="6" t="s">
        <v>3679</v>
      </c>
      <c r="J1319" s="8">
        <v>45465</v>
      </c>
      <c r="K1319" s="8">
        <v>45303</v>
      </c>
      <c r="L1319" s="6">
        <v>50800.4</v>
      </c>
      <c r="M1319" s="6">
        <v>19600.900000000001</v>
      </c>
      <c r="N1319" s="6">
        <v>740</v>
      </c>
      <c r="O1319" s="6">
        <v>99000</v>
      </c>
      <c r="P1319" s="6" t="s">
        <v>36</v>
      </c>
      <c r="Q1319" s="6" t="s">
        <v>27</v>
      </c>
      <c r="R1319" s="6">
        <v>0</v>
      </c>
      <c r="S1319" s="6" t="s">
        <v>28</v>
      </c>
      <c r="T1319" s="7">
        <f t="shared" si="100"/>
        <v>0.19798888888888891</v>
      </c>
      <c r="U1319" s="6">
        <f t="shared" si="101"/>
        <v>3</v>
      </c>
      <c r="V1319" s="5" t="str">
        <f t="shared" si="102"/>
        <v>GOOD</v>
      </c>
      <c r="W1319" s="6" t="str">
        <f t="shared" si="103"/>
        <v>55+</v>
      </c>
      <c r="X1319" s="6" t="str">
        <f t="shared" si="104"/>
        <v>Lower-Middle</v>
      </c>
    </row>
    <row r="1320" spans="1:24">
      <c r="A1320" s="6" t="s">
        <v>571</v>
      </c>
      <c r="B1320" s="6" t="s">
        <v>2941</v>
      </c>
      <c r="C1320" s="6" t="s">
        <v>21</v>
      </c>
      <c r="D1320" s="6" t="s">
        <v>63</v>
      </c>
      <c r="E1320" s="6" t="s">
        <v>106</v>
      </c>
      <c r="F1320" s="6">
        <v>87</v>
      </c>
      <c r="G1320" s="6" t="s">
        <v>34</v>
      </c>
      <c r="H1320" s="6" t="s">
        <v>2942</v>
      </c>
      <c r="I1320" s="6" t="s">
        <v>4314</v>
      </c>
      <c r="J1320" s="8">
        <v>43638</v>
      </c>
      <c r="K1320" s="8">
        <v>45299</v>
      </c>
      <c r="L1320" s="6">
        <v>270900.90000000002</v>
      </c>
      <c r="M1320" s="6">
        <v>103000.6</v>
      </c>
      <c r="N1320" s="6">
        <v>830</v>
      </c>
      <c r="O1320" s="6">
        <v>311000</v>
      </c>
      <c r="P1320" s="6" t="s">
        <v>36</v>
      </c>
      <c r="Q1320" s="6" t="s">
        <v>27</v>
      </c>
      <c r="R1320" s="6">
        <v>0</v>
      </c>
      <c r="S1320" s="6" t="s">
        <v>28</v>
      </c>
      <c r="T1320" s="7">
        <f t="shared" si="100"/>
        <v>0.33119163987138267</v>
      </c>
      <c r="U1320" s="6">
        <f t="shared" si="101"/>
        <v>7</v>
      </c>
      <c r="V1320" s="5" t="str">
        <f t="shared" si="102"/>
        <v>EXCEPTIONAL</v>
      </c>
      <c r="W1320" s="6" t="str">
        <f t="shared" si="103"/>
        <v>55+</v>
      </c>
      <c r="X1320" s="6" t="str">
        <f t="shared" si="104"/>
        <v>High</v>
      </c>
    </row>
    <row r="1321" spans="1:24">
      <c r="A1321" s="6" t="s">
        <v>574</v>
      </c>
      <c r="B1321" s="6" t="s">
        <v>2943</v>
      </c>
      <c r="C1321" s="6" t="s">
        <v>39</v>
      </c>
      <c r="D1321" s="6" t="s">
        <v>68</v>
      </c>
      <c r="E1321" s="6" t="s">
        <v>114</v>
      </c>
      <c r="F1321" s="6">
        <v>79</v>
      </c>
      <c r="G1321" s="6" t="s">
        <v>24</v>
      </c>
      <c r="H1321" s="6" t="s">
        <v>2944</v>
      </c>
      <c r="I1321" s="6" t="s">
        <v>4315</v>
      </c>
      <c r="J1321" s="8">
        <v>44239</v>
      </c>
      <c r="K1321" s="8">
        <v>45300</v>
      </c>
      <c r="L1321" s="6">
        <v>159800.25</v>
      </c>
      <c r="M1321" s="6">
        <v>105000.4</v>
      </c>
      <c r="N1321" s="6">
        <v>655</v>
      </c>
      <c r="O1321" s="6">
        <v>201000</v>
      </c>
      <c r="P1321" s="6" t="s">
        <v>76</v>
      </c>
      <c r="Q1321" s="6" t="s">
        <v>27</v>
      </c>
      <c r="R1321" s="6">
        <v>0</v>
      </c>
      <c r="S1321" s="6" t="s">
        <v>28</v>
      </c>
      <c r="T1321" s="7">
        <f t="shared" si="100"/>
        <v>0.5223900497512437</v>
      </c>
      <c r="U1321" s="6">
        <f t="shared" si="101"/>
        <v>6</v>
      </c>
      <c r="V1321" s="5" t="str">
        <f t="shared" si="102"/>
        <v>FAIR</v>
      </c>
      <c r="W1321" s="6" t="str">
        <f t="shared" si="103"/>
        <v>55+</v>
      </c>
      <c r="X1321" s="6" t="str">
        <f t="shared" si="104"/>
        <v>High</v>
      </c>
    </row>
    <row r="1322" spans="1:24">
      <c r="A1322" s="6" t="s">
        <v>577</v>
      </c>
      <c r="B1322" s="6" t="s">
        <v>2945</v>
      </c>
      <c r="C1322" s="6" t="s">
        <v>46</v>
      </c>
      <c r="D1322" s="6" t="s">
        <v>85</v>
      </c>
      <c r="E1322" s="6" t="s">
        <v>130</v>
      </c>
      <c r="F1322" s="6">
        <v>68</v>
      </c>
      <c r="G1322" s="6" t="s">
        <v>34</v>
      </c>
      <c r="H1322" s="6" t="s">
        <v>2946</v>
      </c>
      <c r="I1322" s="6" t="s">
        <v>3778</v>
      </c>
      <c r="J1322" s="8">
        <v>45129</v>
      </c>
      <c r="K1322" s="8">
        <v>45302</v>
      </c>
      <c r="L1322" s="6">
        <v>115300.6</v>
      </c>
      <c r="M1322" s="6">
        <v>66600.75</v>
      </c>
      <c r="N1322" s="6">
        <v>760</v>
      </c>
      <c r="O1322" s="6">
        <v>170000</v>
      </c>
      <c r="P1322" s="6" t="s">
        <v>26</v>
      </c>
      <c r="Q1322" s="6" t="s">
        <v>27</v>
      </c>
      <c r="R1322" s="6">
        <v>0</v>
      </c>
      <c r="S1322" s="6" t="s">
        <v>28</v>
      </c>
      <c r="T1322" s="7">
        <f t="shared" si="100"/>
        <v>0.39176911764705885</v>
      </c>
      <c r="U1322" s="6">
        <f t="shared" si="101"/>
        <v>4</v>
      </c>
      <c r="V1322" s="5" t="str">
        <f t="shared" si="102"/>
        <v>VERY GOOD</v>
      </c>
      <c r="W1322" s="6" t="str">
        <f t="shared" si="103"/>
        <v>55+</v>
      </c>
      <c r="X1322" s="6" t="str">
        <f t="shared" si="104"/>
        <v>Upper-Middle</v>
      </c>
    </row>
    <row r="1323" spans="1:24">
      <c r="A1323" s="6" t="s">
        <v>458</v>
      </c>
      <c r="B1323" s="6" t="s">
        <v>2947</v>
      </c>
      <c r="C1323" s="6" t="s">
        <v>31</v>
      </c>
      <c r="D1323" s="6" t="s">
        <v>460</v>
      </c>
      <c r="E1323" s="6" t="s">
        <v>461</v>
      </c>
      <c r="F1323" s="6">
        <v>59</v>
      </c>
      <c r="G1323" s="6" t="s">
        <v>24</v>
      </c>
      <c r="H1323" s="6" t="s">
        <v>2948</v>
      </c>
      <c r="I1323" s="6" t="s">
        <v>4316</v>
      </c>
      <c r="J1323" s="8">
        <v>45624</v>
      </c>
      <c r="K1323" s="8">
        <v>45306</v>
      </c>
      <c r="L1323" s="6">
        <v>23900.25</v>
      </c>
      <c r="M1323" s="6">
        <v>14200.8</v>
      </c>
      <c r="N1323" s="6">
        <v>695</v>
      </c>
      <c r="O1323" s="6">
        <v>70000</v>
      </c>
      <c r="P1323" s="6" t="s">
        <v>26</v>
      </c>
      <c r="Q1323" s="6" t="s">
        <v>43</v>
      </c>
      <c r="R1323" s="6">
        <v>0</v>
      </c>
      <c r="S1323" s="6" t="s">
        <v>28</v>
      </c>
      <c r="T1323" s="7">
        <f t="shared" si="100"/>
        <v>0.20286857142857143</v>
      </c>
      <c r="U1323" s="6">
        <f t="shared" si="101"/>
        <v>0</v>
      </c>
      <c r="V1323" s="5" t="str">
        <f t="shared" si="102"/>
        <v>GOOD</v>
      </c>
      <c r="W1323" s="6" t="str">
        <f t="shared" si="103"/>
        <v>55+</v>
      </c>
      <c r="X1323" s="6" t="str">
        <f t="shared" si="104"/>
        <v>Low</v>
      </c>
    </row>
    <row r="1324" spans="1:24">
      <c r="A1324" s="6" t="s">
        <v>582</v>
      </c>
      <c r="B1324" s="6" t="s">
        <v>2949</v>
      </c>
      <c r="C1324" s="6" t="s">
        <v>57</v>
      </c>
      <c r="D1324" s="6" t="s">
        <v>22</v>
      </c>
      <c r="E1324" s="6" t="s">
        <v>53</v>
      </c>
      <c r="F1324" s="6">
        <v>62</v>
      </c>
      <c r="G1324" s="6" t="s">
        <v>34</v>
      </c>
      <c r="H1324" s="6" t="s">
        <v>2950</v>
      </c>
      <c r="I1324" s="6" t="s">
        <v>3605</v>
      </c>
      <c r="J1324" s="8">
        <v>45404</v>
      </c>
      <c r="K1324" s="8">
        <v>45303</v>
      </c>
      <c r="L1324" s="6">
        <v>49700.9</v>
      </c>
      <c r="M1324" s="6">
        <v>19200.25</v>
      </c>
      <c r="N1324" s="6">
        <v>755</v>
      </c>
      <c r="O1324" s="6">
        <v>92000</v>
      </c>
      <c r="P1324" s="6" t="s">
        <v>36</v>
      </c>
      <c r="Q1324" s="6" t="s">
        <v>27</v>
      </c>
      <c r="R1324" s="6">
        <v>0</v>
      </c>
      <c r="S1324" s="6" t="s">
        <v>28</v>
      </c>
      <c r="T1324" s="7">
        <f t="shared" si="100"/>
        <v>0.2086983695652174</v>
      </c>
      <c r="U1324" s="6">
        <f t="shared" si="101"/>
        <v>3</v>
      </c>
      <c r="V1324" s="5" t="str">
        <f t="shared" si="102"/>
        <v>VERY GOOD</v>
      </c>
      <c r="W1324" s="6" t="str">
        <f t="shared" si="103"/>
        <v>55+</v>
      </c>
      <c r="X1324" s="6" t="str">
        <f t="shared" si="104"/>
        <v>Lower-Middle</v>
      </c>
    </row>
    <row r="1325" spans="1:24">
      <c r="A1325" s="6" t="s">
        <v>55</v>
      </c>
      <c r="B1325" s="6" t="s">
        <v>2951</v>
      </c>
      <c r="C1325" s="6" t="s">
        <v>39</v>
      </c>
      <c r="D1325" s="6" t="s">
        <v>58</v>
      </c>
      <c r="E1325" s="6" t="s">
        <v>122</v>
      </c>
      <c r="F1325" s="6">
        <v>80</v>
      </c>
      <c r="G1325" s="6" t="s">
        <v>24</v>
      </c>
      <c r="H1325" s="6" t="s">
        <v>2952</v>
      </c>
      <c r="I1325" s="6" t="s">
        <v>3685</v>
      </c>
      <c r="J1325" s="8">
        <v>44157</v>
      </c>
      <c r="K1325" s="8">
        <v>45300</v>
      </c>
      <c r="L1325" s="6">
        <v>192700.4</v>
      </c>
      <c r="M1325" s="6">
        <v>118000.75</v>
      </c>
      <c r="N1325" s="6">
        <v>685</v>
      </c>
      <c r="O1325" s="6">
        <v>226000</v>
      </c>
      <c r="P1325" s="6" t="s">
        <v>76</v>
      </c>
      <c r="Q1325" s="6" t="s">
        <v>27</v>
      </c>
      <c r="R1325" s="6">
        <v>0</v>
      </c>
      <c r="S1325" s="6" t="s">
        <v>28</v>
      </c>
      <c r="T1325" s="7">
        <f t="shared" si="100"/>
        <v>0.52212721238938054</v>
      </c>
      <c r="U1325" s="6">
        <f t="shared" si="101"/>
        <v>6</v>
      </c>
      <c r="V1325" s="5" t="str">
        <f t="shared" si="102"/>
        <v>GOOD</v>
      </c>
      <c r="W1325" s="6" t="str">
        <f t="shared" si="103"/>
        <v>55+</v>
      </c>
      <c r="X1325" s="6" t="str">
        <f t="shared" si="104"/>
        <v>High</v>
      </c>
    </row>
    <row r="1326" spans="1:24">
      <c r="A1326" s="6" t="s">
        <v>469</v>
      </c>
      <c r="B1326" s="6" t="s">
        <v>2953</v>
      </c>
      <c r="C1326" s="6" t="s">
        <v>52</v>
      </c>
      <c r="D1326" s="6" t="s">
        <v>471</v>
      </c>
      <c r="E1326" s="6" t="s">
        <v>472</v>
      </c>
      <c r="F1326" s="6">
        <v>71</v>
      </c>
      <c r="G1326" s="6" t="s">
        <v>34</v>
      </c>
      <c r="H1326" s="6" t="s">
        <v>2954</v>
      </c>
      <c r="I1326" s="6" t="s">
        <v>4317</v>
      </c>
      <c r="J1326" s="8">
        <v>44795</v>
      </c>
      <c r="K1326" s="8">
        <v>45301</v>
      </c>
      <c r="L1326" s="6">
        <v>79700.800000000003</v>
      </c>
      <c r="M1326" s="6">
        <v>52800.6</v>
      </c>
      <c r="N1326" s="6">
        <v>715</v>
      </c>
      <c r="O1326" s="6">
        <v>125000</v>
      </c>
      <c r="P1326" s="6" t="s">
        <v>26</v>
      </c>
      <c r="Q1326" s="6" t="s">
        <v>27</v>
      </c>
      <c r="R1326" s="6">
        <v>0</v>
      </c>
      <c r="S1326" s="6" t="s">
        <v>28</v>
      </c>
      <c r="T1326" s="7">
        <f t="shared" si="100"/>
        <v>0.42240479999999997</v>
      </c>
      <c r="U1326" s="6">
        <f t="shared" si="101"/>
        <v>5</v>
      </c>
      <c r="V1326" s="5" t="str">
        <f t="shared" si="102"/>
        <v>GOOD</v>
      </c>
      <c r="W1326" s="6" t="str">
        <f t="shared" si="103"/>
        <v>55+</v>
      </c>
      <c r="X1326" s="6" t="str">
        <f t="shared" si="104"/>
        <v>Lower-Middle</v>
      </c>
    </row>
    <row r="1327" spans="1:24">
      <c r="A1327" s="6" t="s">
        <v>474</v>
      </c>
      <c r="B1327" s="6" t="s">
        <v>2955</v>
      </c>
      <c r="C1327" s="6" t="s">
        <v>46</v>
      </c>
      <c r="D1327" s="6" t="s">
        <v>345</v>
      </c>
      <c r="E1327" s="6" t="s">
        <v>476</v>
      </c>
      <c r="F1327" s="6">
        <v>74</v>
      </c>
      <c r="G1327" s="6" t="s">
        <v>24</v>
      </c>
      <c r="H1327" s="6" t="s">
        <v>2956</v>
      </c>
      <c r="I1327" s="6" t="s">
        <v>3687</v>
      </c>
      <c r="J1327" s="8">
        <v>44703</v>
      </c>
      <c r="K1327" s="8">
        <v>45302</v>
      </c>
      <c r="L1327" s="6">
        <v>107500.25</v>
      </c>
      <c r="M1327" s="6">
        <v>62800.4</v>
      </c>
      <c r="N1327" s="6">
        <v>680</v>
      </c>
      <c r="O1327" s="6">
        <v>154000</v>
      </c>
      <c r="P1327" s="6" t="s">
        <v>26</v>
      </c>
      <c r="Q1327" s="6" t="s">
        <v>27</v>
      </c>
      <c r="R1327" s="6">
        <v>0</v>
      </c>
      <c r="S1327" s="6" t="s">
        <v>28</v>
      </c>
      <c r="T1327" s="7">
        <f t="shared" si="100"/>
        <v>0.40779480519480521</v>
      </c>
      <c r="U1327" s="6">
        <f t="shared" si="101"/>
        <v>4</v>
      </c>
      <c r="V1327" s="5" t="str">
        <f t="shared" si="102"/>
        <v>GOOD</v>
      </c>
      <c r="W1327" s="6" t="str">
        <f t="shared" si="103"/>
        <v>55+</v>
      </c>
      <c r="X1327" s="6" t="str">
        <f t="shared" si="104"/>
        <v>Upper-Middle</v>
      </c>
    </row>
    <row r="1328" spans="1:24">
      <c r="A1328" s="6" t="s">
        <v>592</v>
      </c>
      <c r="B1328" s="6" t="s">
        <v>2957</v>
      </c>
      <c r="C1328" s="6" t="s">
        <v>84</v>
      </c>
      <c r="D1328" s="6" t="s">
        <v>32</v>
      </c>
      <c r="E1328" s="6" t="s">
        <v>90</v>
      </c>
      <c r="F1328" s="6">
        <v>54</v>
      </c>
      <c r="G1328" s="6" t="s">
        <v>34</v>
      </c>
      <c r="H1328" s="6" t="s">
        <v>2958</v>
      </c>
      <c r="I1328" s="6" t="s">
        <v>3721</v>
      </c>
      <c r="J1328" s="8">
        <v>45631</v>
      </c>
      <c r="K1328" s="8">
        <v>45304</v>
      </c>
      <c r="L1328" s="6">
        <v>5050.3999999999996</v>
      </c>
      <c r="M1328" s="6">
        <v>15400.75</v>
      </c>
      <c r="N1328" s="6">
        <v>610</v>
      </c>
      <c r="O1328" s="6">
        <v>50000</v>
      </c>
      <c r="P1328" s="6" t="s">
        <v>76</v>
      </c>
      <c r="Q1328" s="6" t="s">
        <v>43</v>
      </c>
      <c r="R1328" s="6">
        <v>0</v>
      </c>
      <c r="S1328" s="6" t="s">
        <v>28</v>
      </c>
      <c r="T1328" s="7">
        <f t="shared" si="100"/>
        <v>0.30801499999999998</v>
      </c>
      <c r="U1328" s="6">
        <f t="shared" si="101"/>
        <v>2</v>
      </c>
      <c r="V1328" s="5" t="str">
        <f t="shared" si="102"/>
        <v>FAIR</v>
      </c>
      <c r="W1328" s="6" t="str">
        <f t="shared" si="103"/>
        <v>45-54</v>
      </c>
      <c r="X1328" s="6" t="str">
        <f t="shared" si="104"/>
        <v>Low</v>
      </c>
    </row>
    <row r="1329" spans="1:24">
      <c r="A1329" s="6" t="s">
        <v>595</v>
      </c>
      <c r="B1329" s="6" t="s">
        <v>2959</v>
      </c>
      <c r="C1329" s="6" t="s">
        <v>21</v>
      </c>
      <c r="D1329" s="6" t="s">
        <v>209</v>
      </c>
      <c r="E1329" s="6" t="s">
        <v>210</v>
      </c>
      <c r="F1329" s="6">
        <v>86</v>
      </c>
      <c r="G1329" s="6" t="s">
        <v>24</v>
      </c>
      <c r="H1329" s="6" t="s">
        <v>2960</v>
      </c>
      <c r="I1329" s="6" t="s">
        <v>4153</v>
      </c>
      <c r="J1329" s="8">
        <v>43852</v>
      </c>
      <c r="K1329" s="8">
        <v>45299</v>
      </c>
      <c r="L1329" s="6">
        <v>290700.79999999999</v>
      </c>
      <c r="M1329" s="6">
        <v>109000.25</v>
      </c>
      <c r="N1329" s="6">
        <v>825</v>
      </c>
      <c r="O1329" s="6">
        <v>306000</v>
      </c>
      <c r="P1329" s="6" t="s">
        <v>36</v>
      </c>
      <c r="Q1329" s="6" t="s">
        <v>27</v>
      </c>
      <c r="R1329" s="6">
        <v>0</v>
      </c>
      <c r="S1329" s="6" t="s">
        <v>28</v>
      </c>
      <c r="T1329" s="7">
        <f t="shared" si="100"/>
        <v>0.35620996732026144</v>
      </c>
      <c r="U1329" s="6">
        <f t="shared" si="101"/>
        <v>7</v>
      </c>
      <c r="V1329" s="5" t="str">
        <f t="shared" si="102"/>
        <v>EXCEPTIONAL</v>
      </c>
      <c r="W1329" s="6" t="str">
        <f t="shared" si="103"/>
        <v>55+</v>
      </c>
      <c r="X1329" s="6" t="str">
        <f t="shared" si="104"/>
        <v>High</v>
      </c>
    </row>
    <row r="1330" spans="1:24">
      <c r="A1330" s="6" t="s">
        <v>226</v>
      </c>
      <c r="B1330" s="6" t="s">
        <v>2961</v>
      </c>
      <c r="C1330" s="6" t="s">
        <v>57</v>
      </c>
      <c r="D1330" s="6" t="s">
        <v>228</v>
      </c>
      <c r="E1330" s="6" t="s">
        <v>678</v>
      </c>
      <c r="F1330" s="6">
        <v>61</v>
      </c>
      <c r="G1330" s="6" t="s">
        <v>34</v>
      </c>
      <c r="H1330" s="6" t="s">
        <v>2962</v>
      </c>
      <c r="I1330" s="6" t="s">
        <v>4318</v>
      </c>
      <c r="J1330" s="8">
        <v>45587</v>
      </c>
      <c r="K1330" s="8">
        <v>45305</v>
      </c>
      <c r="L1330" s="6">
        <v>46400.75</v>
      </c>
      <c r="M1330" s="6">
        <v>17600.400000000001</v>
      </c>
      <c r="N1330" s="6">
        <v>725</v>
      </c>
      <c r="O1330" s="6">
        <v>82000</v>
      </c>
      <c r="P1330" s="6" t="s">
        <v>36</v>
      </c>
      <c r="Q1330" s="6" t="s">
        <v>27</v>
      </c>
      <c r="R1330" s="6">
        <v>0</v>
      </c>
      <c r="S1330" s="6" t="s">
        <v>28</v>
      </c>
      <c r="T1330" s="7">
        <f t="shared" si="100"/>
        <v>0.21463902439024393</v>
      </c>
      <c r="U1330" s="6">
        <f t="shared" si="101"/>
        <v>1</v>
      </c>
      <c r="V1330" s="5" t="str">
        <f t="shared" si="102"/>
        <v>GOOD</v>
      </c>
      <c r="W1330" s="6" t="str">
        <f t="shared" si="103"/>
        <v>55+</v>
      </c>
      <c r="X1330" s="6" t="str">
        <f t="shared" si="104"/>
        <v>Lower-Middle</v>
      </c>
    </row>
    <row r="1331" spans="1:24">
      <c r="A1331" s="6" t="s">
        <v>488</v>
      </c>
      <c r="B1331" s="6" t="s">
        <v>2963</v>
      </c>
      <c r="C1331" s="6" t="s">
        <v>39</v>
      </c>
      <c r="D1331" s="6" t="s">
        <v>304</v>
      </c>
      <c r="E1331" s="6" t="s">
        <v>304</v>
      </c>
      <c r="F1331" s="6">
        <v>78</v>
      </c>
      <c r="G1331" s="6" t="s">
        <v>24</v>
      </c>
      <c r="H1331" s="6" t="s">
        <v>2964</v>
      </c>
      <c r="I1331" s="6" t="s">
        <v>4319</v>
      </c>
      <c r="J1331" s="8">
        <v>44328</v>
      </c>
      <c r="K1331" s="8">
        <v>45300</v>
      </c>
      <c r="L1331" s="6">
        <v>170900.6</v>
      </c>
      <c r="M1331" s="6">
        <v>109000.9</v>
      </c>
      <c r="N1331" s="6">
        <v>675</v>
      </c>
      <c r="O1331" s="6">
        <v>206000</v>
      </c>
      <c r="P1331" s="6" t="s">
        <v>76</v>
      </c>
      <c r="Q1331" s="6" t="s">
        <v>27</v>
      </c>
      <c r="R1331" s="6">
        <v>0</v>
      </c>
      <c r="S1331" s="6" t="s">
        <v>28</v>
      </c>
      <c r="T1331" s="7">
        <f t="shared" si="100"/>
        <v>0.52913058252427181</v>
      </c>
      <c r="U1331" s="6">
        <f t="shared" si="101"/>
        <v>6</v>
      </c>
      <c r="V1331" s="5" t="str">
        <f t="shared" si="102"/>
        <v>GOOD</v>
      </c>
      <c r="W1331" s="6" t="str">
        <f t="shared" si="103"/>
        <v>55+</v>
      </c>
      <c r="X1331" s="6" t="str">
        <f t="shared" si="104"/>
        <v>High</v>
      </c>
    </row>
    <row r="1332" spans="1:24">
      <c r="A1332" s="6" t="s">
        <v>491</v>
      </c>
      <c r="B1332" s="6" t="s">
        <v>2965</v>
      </c>
      <c r="C1332" s="6" t="s">
        <v>52</v>
      </c>
      <c r="D1332" s="6" t="s">
        <v>493</v>
      </c>
      <c r="E1332" s="6" t="s">
        <v>494</v>
      </c>
      <c r="F1332" s="6">
        <v>69</v>
      </c>
      <c r="G1332" s="6" t="s">
        <v>34</v>
      </c>
      <c r="H1332" s="6" t="s">
        <v>2966</v>
      </c>
      <c r="I1332" s="6" t="s">
        <v>4320</v>
      </c>
      <c r="J1332" s="8">
        <v>45099</v>
      </c>
      <c r="K1332" s="8">
        <v>45302</v>
      </c>
      <c r="L1332" s="6">
        <v>73900.399999999994</v>
      </c>
      <c r="M1332" s="6">
        <v>48600.25</v>
      </c>
      <c r="N1332" s="6">
        <v>705</v>
      </c>
      <c r="O1332" s="6">
        <v>114000</v>
      </c>
      <c r="P1332" s="6" t="s">
        <v>26</v>
      </c>
      <c r="Q1332" s="6" t="s">
        <v>27</v>
      </c>
      <c r="R1332" s="6">
        <v>0</v>
      </c>
      <c r="S1332" s="6" t="s">
        <v>28</v>
      </c>
      <c r="T1332" s="7">
        <f t="shared" si="100"/>
        <v>0.42631798245614033</v>
      </c>
      <c r="U1332" s="6">
        <f t="shared" si="101"/>
        <v>4</v>
      </c>
      <c r="V1332" s="5" t="str">
        <f t="shared" si="102"/>
        <v>GOOD</v>
      </c>
      <c r="W1332" s="6" t="str">
        <f t="shared" si="103"/>
        <v>55+</v>
      </c>
      <c r="X1332" s="6" t="str">
        <f t="shared" si="104"/>
        <v>Lower-Middle</v>
      </c>
    </row>
    <row r="1333" spans="1:24">
      <c r="A1333" s="6" t="s">
        <v>496</v>
      </c>
      <c r="B1333" s="6" t="s">
        <v>2967</v>
      </c>
      <c r="C1333" s="6" t="s">
        <v>46</v>
      </c>
      <c r="D1333" s="6" t="s">
        <v>321</v>
      </c>
      <c r="E1333" s="6" t="s">
        <v>498</v>
      </c>
      <c r="F1333" s="6">
        <v>72</v>
      </c>
      <c r="G1333" s="6" t="s">
        <v>24</v>
      </c>
      <c r="H1333" s="6" t="s">
        <v>2968</v>
      </c>
      <c r="I1333" s="6" t="s">
        <v>4321</v>
      </c>
      <c r="J1333" s="8">
        <v>44583</v>
      </c>
      <c r="K1333" s="8">
        <v>45301</v>
      </c>
      <c r="L1333" s="6">
        <v>119100.75</v>
      </c>
      <c r="M1333" s="6">
        <v>69700.800000000003</v>
      </c>
      <c r="N1333" s="6">
        <v>730</v>
      </c>
      <c r="O1333" s="6">
        <v>180000</v>
      </c>
      <c r="P1333" s="6" t="s">
        <v>26</v>
      </c>
      <c r="Q1333" s="6" t="s">
        <v>27</v>
      </c>
      <c r="R1333" s="6">
        <v>0</v>
      </c>
      <c r="S1333" s="6" t="s">
        <v>28</v>
      </c>
      <c r="T1333" s="7">
        <f t="shared" si="100"/>
        <v>0.38722666666666666</v>
      </c>
      <c r="U1333" s="6">
        <f t="shared" si="101"/>
        <v>5</v>
      </c>
      <c r="V1333" s="5" t="str">
        <f t="shared" si="102"/>
        <v>GOOD</v>
      </c>
      <c r="W1333" s="6" t="str">
        <f t="shared" si="103"/>
        <v>55+</v>
      </c>
      <c r="X1333" s="6" t="str">
        <f t="shared" si="104"/>
        <v>Upper-Middle</v>
      </c>
    </row>
    <row r="1334" spans="1:24">
      <c r="A1334" s="6" t="s">
        <v>324</v>
      </c>
      <c r="B1334" s="6" t="s">
        <v>2969</v>
      </c>
      <c r="C1334" s="6" t="s">
        <v>31</v>
      </c>
      <c r="D1334" s="6" t="s">
        <v>313</v>
      </c>
      <c r="E1334" s="6" t="s">
        <v>314</v>
      </c>
      <c r="F1334" s="6">
        <v>57</v>
      </c>
      <c r="G1334" s="6" t="s">
        <v>34</v>
      </c>
      <c r="H1334" s="6" t="s">
        <v>2970</v>
      </c>
      <c r="I1334" s="6" t="s">
        <v>4322</v>
      </c>
      <c r="J1334" s="8">
        <v>45624</v>
      </c>
      <c r="K1334" s="8">
        <v>45306</v>
      </c>
      <c r="L1334" s="6">
        <v>20200.900000000001</v>
      </c>
      <c r="M1334" s="6">
        <v>11500.75</v>
      </c>
      <c r="N1334" s="6">
        <v>685</v>
      </c>
      <c r="O1334" s="6">
        <v>67000</v>
      </c>
      <c r="P1334" s="6" t="s">
        <v>26</v>
      </c>
      <c r="Q1334" s="6" t="s">
        <v>43</v>
      </c>
      <c r="R1334" s="6">
        <v>0</v>
      </c>
      <c r="S1334" s="6" t="s">
        <v>28</v>
      </c>
      <c r="T1334" s="7">
        <f t="shared" si="100"/>
        <v>0.17165298507462687</v>
      </c>
      <c r="U1334" s="6">
        <f t="shared" si="101"/>
        <v>0</v>
      </c>
      <c r="V1334" s="5" t="str">
        <f t="shared" si="102"/>
        <v>GOOD</v>
      </c>
      <c r="W1334" s="6" t="str">
        <f t="shared" si="103"/>
        <v>55+</v>
      </c>
      <c r="X1334" s="6" t="str">
        <f t="shared" si="104"/>
        <v>Low</v>
      </c>
    </row>
    <row r="1335" spans="1:24">
      <c r="A1335" s="6" t="s">
        <v>503</v>
      </c>
      <c r="B1335" s="6" t="s">
        <v>2971</v>
      </c>
      <c r="C1335" s="6" t="s">
        <v>21</v>
      </c>
      <c r="D1335" s="6" t="s">
        <v>32</v>
      </c>
      <c r="E1335" s="6" t="s">
        <v>33</v>
      </c>
      <c r="F1335" s="6">
        <v>89</v>
      </c>
      <c r="G1335" s="6" t="s">
        <v>24</v>
      </c>
      <c r="H1335" s="6" t="s">
        <v>2972</v>
      </c>
      <c r="I1335" s="6" t="s">
        <v>3695</v>
      </c>
      <c r="J1335" s="8">
        <v>43577</v>
      </c>
      <c r="K1335" s="8">
        <v>45299</v>
      </c>
      <c r="L1335" s="6">
        <v>301600.25</v>
      </c>
      <c r="M1335" s="6">
        <v>113000.4</v>
      </c>
      <c r="N1335" s="6">
        <v>840</v>
      </c>
      <c r="O1335" s="6">
        <v>321000</v>
      </c>
      <c r="P1335" s="6" t="s">
        <v>36</v>
      </c>
      <c r="Q1335" s="6" t="s">
        <v>27</v>
      </c>
      <c r="R1335" s="6">
        <v>0</v>
      </c>
      <c r="S1335" s="6" t="s">
        <v>28</v>
      </c>
      <c r="T1335" s="7">
        <f t="shared" si="100"/>
        <v>0.35202616822429905</v>
      </c>
      <c r="U1335" s="6">
        <f t="shared" si="101"/>
        <v>7</v>
      </c>
      <c r="V1335" s="5" t="str">
        <f t="shared" si="102"/>
        <v>EXCEPTIONAL</v>
      </c>
      <c r="W1335" s="6" t="str">
        <f t="shared" si="103"/>
        <v>55+</v>
      </c>
      <c r="X1335" s="6" t="str">
        <f t="shared" si="104"/>
        <v>High</v>
      </c>
    </row>
    <row r="1336" spans="1:24">
      <c r="A1336" s="6" t="s">
        <v>506</v>
      </c>
      <c r="B1336" s="6" t="s">
        <v>2973</v>
      </c>
      <c r="C1336" s="6" t="s">
        <v>39</v>
      </c>
      <c r="D1336" s="6" t="s">
        <v>68</v>
      </c>
      <c r="E1336" s="6" t="s">
        <v>69</v>
      </c>
      <c r="F1336" s="6">
        <v>81</v>
      </c>
      <c r="G1336" s="6" t="s">
        <v>34</v>
      </c>
      <c r="H1336" s="6" t="s">
        <v>2974</v>
      </c>
      <c r="I1336" s="6" t="s">
        <v>4298</v>
      </c>
      <c r="J1336" s="8">
        <v>44096</v>
      </c>
      <c r="K1336" s="8">
        <v>45300</v>
      </c>
      <c r="L1336" s="6">
        <v>182000.4</v>
      </c>
      <c r="M1336" s="6">
        <v>113000.75</v>
      </c>
      <c r="N1336" s="6">
        <v>650</v>
      </c>
      <c r="O1336" s="6">
        <v>216000</v>
      </c>
      <c r="P1336" s="6" t="s">
        <v>76</v>
      </c>
      <c r="Q1336" s="6" t="s">
        <v>27</v>
      </c>
      <c r="R1336" s="6">
        <v>0</v>
      </c>
      <c r="S1336" s="6" t="s">
        <v>28</v>
      </c>
      <c r="T1336" s="7">
        <f t="shared" si="100"/>
        <v>0.52315162037037033</v>
      </c>
      <c r="U1336" s="6">
        <f t="shared" si="101"/>
        <v>6</v>
      </c>
      <c r="V1336" s="5" t="str">
        <f t="shared" si="102"/>
        <v>FAIR</v>
      </c>
      <c r="W1336" s="6" t="str">
        <f t="shared" si="103"/>
        <v>55+</v>
      </c>
      <c r="X1336" s="6" t="str">
        <f t="shared" si="104"/>
        <v>High</v>
      </c>
    </row>
    <row r="1337" spans="1:24">
      <c r="A1337" s="6" t="s">
        <v>509</v>
      </c>
      <c r="B1337" s="6" t="s">
        <v>2975</v>
      </c>
      <c r="C1337" s="6" t="s">
        <v>46</v>
      </c>
      <c r="D1337" s="6" t="s">
        <v>73</v>
      </c>
      <c r="E1337" s="6" t="s">
        <v>126</v>
      </c>
      <c r="F1337" s="6">
        <v>68</v>
      </c>
      <c r="G1337" s="6" t="s">
        <v>24</v>
      </c>
      <c r="H1337" s="6" t="s">
        <v>2976</v>
      </c>
      <c r="I1337" s="6" t="s">
        <v>4323</v>
      </c>
      <c r="J1337" s="8">
        <v>45313</v>
      </c>
      <c r="K1337" s="8">
        <v>45303</v>
      </c>
      <c r="L1337" s="6">
        <v>107900.4</v>
      </c>
      <c r="M1337" s="6">
        <v>63900.25</v>
      </c>
      <c r="N1337" s="6">
        <v>745</v>
      </c>
      <c r="O1337" s="6">
        <v>160000</v>
      </c>
      <c r="P1337" s="6" t="s">
        <v>26</v>
      </c>
      <c r="Q1337" s="6" t="s">
        <v>27</v>
      </c>
      <c r="R1337" s="6">
        <v>0</v>
      </c>
      <c r="S1337" s="6" t="s">
        <v>28</v>
      </c>
      <c r="T1337" s="7">
        <f t="shared" si="100"/>
        <v>0.39937656249999998</v>
      </c>
      <c r="U1337" s="6">
        <f t="shared" si="101"/>
        <v>3</v>
      </c>
      <c r="V1337" s="5" t="str">
        <f t="shared" si="102"/>
        <v>GOOD</v>
      </c>
      <c r="W1337" s="6" t="str">
        <f t="shared" si="103"/>
        <v>55+</v>
      </c>
      <c r="X1337" s="6" t="str">
        <f t="shared" si="104"/>
        <v>Upper-Middle</v>
      </c>
    </row>
    <row r="1338" spans="1:24">
      <c r="A1338" s="6" t="s">
        <v>513</v>
      </c>
      <c r="B1338" s="6" t="s">
        <v>2977</v>
      </c>
      <c r="C1338" s="6" t="s">
        <v>57</v>
      </c>
      <c r="D1338" s="6" t="s">
        <v>58</v>
      </c>
      <c r="E1338" s="6" t="s">
        <v>122</v>
      </c>
      <c r="F1338" s="6">
        <v>63</v>
      </c>
      <c r="G1338" s="6" t="s">
        <v>34</v>
      </c>
      <c r="H1338" s="6" t="s">
        <v>2978</v>
      </c>
      <c r="I1338" s="6" t="s">
        <v>3697</v>
      </c>
      <c r="J1338" s="8">
        <v>45495</v>
      </c>
      <c r="K1338" s="8">
        <v>45302</v>
      </c>
      <c r="L1338" s="6">
        <v>48600.800000000003</v>
      </c>
      <c r="M1338" s="6">
        <v>18800.900000000001</v>
      </c>
      <c r="N1338" s="6">
        <v>765</v>
      </c>
      <c r="O1338" s="6">
        <v>92000</v>
      </c>
      <c r="P1338" s="6" t="s">
        <v>36</v>
      </c>
      <c r="Q1338" s="6" t="s">
        <v>27</v>
      </c>
      <c r="R1338" s="6">
        <v>0</v>
      </c>
      <c r="S1338" s="6" t="s">
        <v>28</v>
      </c>
      <c r="T1338" s="7">
        <f t="shared" si="100"/>
        <v>0.2043576086956522</v>
      </c>
      <c r="U1338" s="6">
        <f t="shared" si="101"/>
        <v>4</v>
      </c>
      <c r="V1338" s="5" t="str">
        <f t="shared" si="102"/>
        <v>VERY GOOD</v>
      </c>
      <c r="W1338" s="6" t="str">
        <f t="shared" si="103"/>
        <v>55+</v>
      </c>
      <c r="X1338" s="6" t="str">
        <f t="shared" si="104"/>
        <v>Lower-Middle</v>
      </c>
    </row>
    <row r="1339" spans="1:24">
      <c r="A1339" s="6" t="s">
        <v>516</v>
      </c>
      <c r="B1339" s="6" t="s">
        <v>2979</v>
      </c>
      <c r="C1339" s="6" t="s">
        <v>52</v>
      </c>
      <c r="D1339" s="6" t="s">
        <v>277</v>
      </c>
      <c r="E1339" s="6" t="s">
        <v>278</v>
      </c>
      <c r="F1339" s="6">
        <v>76</v>
      </c>
      <c r="G1339" s="6" t="s">
        <v>24</v>
      </c>
      <c r="H1339" s="6" t="s">
        <v>2980</v>
      </c>
      <c r="I1339" s="6" t="s">
        <v>3731</v>
      </c>
      <c r="J1339" s="8">
        <v>44764</v>
      </c>
      <c r="K1339" s="8">
        <v>45301</v>
      </c>
      <c r="L1339" s="6">
        <v>81900.75</v>
      </c>
      <c r="M1339" s="6">
        <v>55000.4</v>
      </c>
      <c r="N1339" s="6">
        <v>675</v>
      </c>
      <c r="O1339" s="6">
        <v>132000</v>
      </c>
      <c r="P1339" s="6" t="s">
        <v>26</v>
      </c>
      <c r="Q1339" s="6" t="s">
        <v>27</v>
      </c>
      <c r="R1339" s="6">
        <v>0</v>
      </c>
      <c r="S1339" s="6" t="s">
        <v>28</v>
      </c>
      <c r="T1339" s="7">
        <f t="shared" si="100"/>
        <v>0.41666969696969697</v>
      </c>
      <c r="U1339" s="6">
        <f t="shared" si="101"/>
        <v>5</v>
      </c>
      <c r="V1339" s="5" t="str">
        <f t="shared" si="102"/>
        <v>GOOD</v>
      </c>
      <c r="W1339" s="6" t="str">
        <f t="shared" si="103"/>
        <v>55+</v>
      </c>
      <c r="X1339" s="6" t="str">
        <f t="shared" si="104"/>
        <v>Upper-Middle</v>
      </c>
    </row>
    <row r="1340" spans="1:24">
      <c r="A1340" s="6" t="s">
        <v>519</v>
      </c>
      <c r="B1340" s="6" t="s">
        <v>2981</v>
      </c>
      <c r="C1340" s="6" t="s">
        <v>84</v>
      </c>
      <c r="D1340" s="6" t="s">
        <v>183</v>
      </c>
      <c r="E1340" s="6" t="s">
        <v>273</v>
      </c>
      <c r="F1340" s="6">
        <v>55</v>
      </c>
      <c r="G1340" s="6" t="s">
        <v>34</v>
      </c>
      <c r="H1340" s="6" t="s">
        <v>2982</v>
      </c>
      <c r="I1340" s="6" t="s">
        <v>3699</v>
      </c>
      <c r="J1340" s="8">
        <v>45638</v>
      </c>
      <c r="K1340" s="8">
        <v>45304</v>
      </c>
      <c r="L1340" s="6">
        <v>5300.25</v>
      </c>
      <c r="M1340" s="6">
        <v>16600.599999999999</v>
      </c>
      <c r="N1340" s="6">
        <v>615</v>
      </c>
      <c r="O1340" s="6">
        <v>52000</v>
      </c>
      <c r="P1340" s="6" t="s">
        <v>76</v>
      </c>
      <c r="Q1340" s="6" t="s">
        <v>43</v>
      </c>
      <c r="R1340" s="6">
        <v>0</v>
      </c>
      <c r="S1340" s="6" t="s">
        <v>28</v>
      </c>
      <c r="T1340" s="7">
        <f t="shared" si="100"/>
        <v>0.31924230769230766</v>
      </c>
      <c r="U1340" s="6">
        <f t="shared" si="101"/>
        <v>2</v>
      </c>
      <c r="V1340" s="5" t="str">
        <f t="shared" si="102"/>
        <v>FAIR</v>
      </c>
      <c r="W1340" s="6" t="str">
        <f t="shared" si="103"/>
        <v>55+</v>
      </c>
      <c r="X1340" s="6" t="str">
        <f t="shared" si="104"/>
        <v>Low</v>
      </c>
    </row>
    <row r="1341" spans="1:24">
      <c r="A1341" s="6" t="s">
        <v>522</v>
      </c>
      <c r="B1341" s="6" t="s">
        <v>2983</v>
      </c>
      <c r="C1341" s="6" t="s">
        <v>39</v>
      </c>
      <c r="D1341" s="6" t="s">
        <v>40</v>
      </c>
      <c r="E1341" s="6" t="s">
        <v>94</v>
      </c>
      <c r="F1341" s="6">
        <v>83</v>
      </c>
      <c r="G1341" s="6" t="s">
        <v>24</v>
      </c>
      <c r="H1341" s="6" t="s">
        <v>2984</v>
      </c>
      <c r="I1341" s="6" t="s">
        <v>3510</v>
      </c>
      <c r="J1341" s="8">
        <v>44065</v>
      </c>
      <c r="K1341" s="8">
        <v>45299</v>
      </c>
      <c r="L1341" s="6">
        <v>216600.8</v>
      </c>
      <c r="M1341" s="6">
        <v>126000.25</v>
      </c>
      <c r="N1341" s="6">
        <v>660</v>
      </c>
      <c r="O1341" s="6">
        <v>251000</v>
      </c>
      <c r="P1341" s="6" t="s">
        <v>76</v>
      </c>
      <c r="Q1341" s="6" t="s">
        <v>27</v>
      </c>
      <c r="R1341" s="6">
        <v>0</v>
      </c>
      <c r="S1341" s="6" t="s">
        <v>28</v>
      </c>
      <c r="T1341" s="7">
        <f t="shared" si="100"/>
        <v>0.50199302788844624</v>
      </c>
      <c r="U1341" s="6">
        <f t="shared" si="101"/>
        <v>7</v>
      </c>
      <c r="V1341" s="5" t="str">
        <f t="shared" si="102"/>
        <v>FAIR</v>
      </c>
      <c r="W1341" s="6" t="str">
        <f t="shared" si="103"/>
        <v>55+</v>
      </c>
      <c r="X1341" s="6" t="str">
        <f t="shared" si="104"/>
        <v>High</v>
      </c>
    </row>
    <row r="1342" spans="1:24">
      <c r="A1342" s="6" t="s">
        <v>306</v>
      </c>
      <c r="B1342" s="6" t="s">
        <v>2985</v>
      </c>
      <c r="C1342" s="6" t="s">
        <v>46</v>
      </c>
      <c r="D1342" s="6" t="s">
        <v>209</v>
      </c>
      <c r="E1342" s="6" t="s">
        <v>210</v>
      </c>
      <c r="F1342" s="6">
        <v>70</v>
      </c>
      <c r="G1342" s="6" t="s">
        <v>34</v>
      </c>
      <c r="H1342" s="6" t="s">
        <v>2986</v>
      </c>
      <c r="I1342" s="6" t="s">
        <v>3733</v>
      </c>
      <c r="J1342" s="8">
        <v>44917</v>
      </c>
      <c r="K1342" s="8">
        <v>45302</v>
      </c>
      <c r="L1342" s="6">
        <v>103000.9</v>
      </c>
      <c r="M1342" s="6">
        <v>60800.75</v>
      </c>
      <c r="N1342" s="6">
        <v>730</v>
      </c>
      <c r="O1342" s="6">
        <v>155000</v>
      </c>
      <c r="P1342" s="6" t="s">
        <v>26</v>
      </c>
      <c r="Q1342" s="6" t="s">
        <v>27</v>
      </c>
      <c r="R1342" s="6">
        <v>0</v>
      </c>
      <c r="S1342" s="6" t="s">
        <v>28</v>
      </c>
      <c r="T1342" s="7">
        <f t="shared" si="100"/>
        <v>0.39226290322580643</v>
      </c>
      <c r="U1342" s="6">
        <f t="shared" si="101"/>
        <v>4</v>
      </c>
      <c r="V1342" s="5" t="str">
        <f t="shared" si="102"/>
        <v>GOOD</v>
      </c>
      <c r="W1342" s="6" t="str">
        <f t="shared" si="103"/>
        <v>55+</v>
      </c>
      <c r="X1342" s="6" t="str">
        <f t="shared" si="104"/>
        <v>Upper-Middle</v>
      </c>
    </row>
    <row r="1343" spans="1:24">
      <c r="A1343" s="6" t="s">
        <v>527</v>
      </c>
      <c r="B1343" s="6" t="s">
        <v>2987</v>
      </c>
      <c r="C1343" s="6" t="s">
        <v>31</v>
      </c>
      <c r="D1343" s="6" t="s">
        <v>32</v>
      </c>
      <c r="E1343" s="6" t="s">
        <v>90</v>
      </c>
      <c r="F1343" s="6">
        <v>59</v>
      </c>
      <c r="G1343" s="6" t="s">
        <v>34</v>
      </c>
      <c r="H1343" s="6" t="s">
        <v>2988</v>
      </c>
      <c r="I1343" s="6" t="s">
        <v>3721</v>
      </c>
      <c r="J1343" s="8">
        <v>45634</v>
      </c>
      <c r="K1343" s="8">
        <v>45305</v>
      </c>
      <c r="L1343" s="6">
        <v>21300.400000000001</v>
      </c>
      <c r="M1343" s="6">
        <v>11600.25</v>
      </c>
      <c r="N1343" s="6">
        <v>705</v>
      </c>
      <c r="O1343" s="6">
        <v>69000</v>
      </c>
      <c r="P1343" s="6" t="s">
        <v>26</v>
      </c>
      <c r="Q1343" s="6" t="s">
        <v>43</v>
      </c>
      <c r="R1343" s="6">
        <v>0</v>
      </c>
      <c r="S1343" s="6" t="s">
        <v>28</v>
      </c>
      <c r="T1343" s="7">
        <f t="shared" si="100"/>
        <v>0.1681195652173913</v>
      </c>
      <c r="U1343" s="6">
        <f t="shared" si="101"/>
        <v>1</v>
      </c>
      <c r="V1343" s="5" t="str">
        <f t="shared" si="102"/>
        <v>GOOD</v>
      </c>
      <c r="W1343" s="6" t="str">
        <f t="shared" si="103"/>
        <v>55+</v>
      </c>
      <c r="X1343" s="6" t="str">
        <f t="shared" si="104"/>
        <v>Low</v>
      </c>
    </row>
    <row r="1344" spans="1:24">
      <c r="A1344" s="6" t="s">
        <v>530</v>
      </c>
      <c r="B1344" s="6" t="s">
        <v>2989</v>
      </c>
      <c r="C1344" s="6" t="s">
        <v>57</v>
      </c>
      <c r="D1344" s="6" t="s">
        <v>219</v>
      </c>
      <c r="E1344" s="6" t="s">
        <v>220</v>
      </c>
      <c r="F1344" s="6">
        <v>64</v>
      </c>
      <c r="G1344" s="6" t="s">
        <v>24</v>
      </c>
      <c r="H1344" s="6" t="s">
        <v>2990</v>
      </c>
      <c r="I1344" s="6" t="s">
        <v>4324</v>
      </c>
      <c r="J1344" s="8">
        <v>45465</v>
      </c>
      <c r="K1344" s="8">
        <v>45303</v>
      </c>
      <c r="L1344" s="6">
        <v>47500.6</v>
      </c>
      <c r="M1344" s="6">
        <v>18200.8</v>
      </c>
      <c r="N1344" s="6">
        <v>710</v>
      </c>
      <c r="O1344" s="6">
        <v>85000</v>
      </c>
      <c r="P1344" s="6" t="s">
        <v>36</v>
      </c>
      <c r="Q1344" s="6" t="s">
        <v>27</v>
      </c>
      <c r="R1344" s="6">
        <v>0</v>
      </c>
      <c r="S1344" s="6" t="s">
        <v>28</v>
      </c>
      <c r="T1344" s="7">
        <f t="shared" si="100"/>
        <v>0.21412705882352939</v>
      </c>
      <c r="U1344" s="6">
        <f t="shared" si="101"/>
        <v>3</v>
      </c>
      <c r="V1344" s="5" t="str">
        <f t="shared" si="102"/>
        <v>GOOD</v>
      </c>
      <c r="W1344" s="6" t="str">
        <f t="shared" si="103"/>
        <v>55+</v>
      </c>
      <c r="X1344" s="6" t="str">
        <f t="shared" si="104"/>
        <v>Lower-Middle</v>
      </c>
    </row>
    <row r="1345" spans="1:24">
      <c r="A1345" s="6" t="s">
        <v>533</v>
      </c>
      <c r="B1345" s="6" t="s">
        <v>2991</v>
      </c>
      <c r="C1345" s="6" t="s">
        <v>52</v>
      </c>
      <c r="D1345" s="6" t="s">
        <v>204</v>
      </c>
      <c r="E1345" s="6" t="s">
        <v>205</v>
      </c>
      <c r="F1345" s="6">
        <v>71</v>
      </c>
      <c r="G1345" s="6" t="s">
        <v>34</v>
      </c>
      <c r="H1345" s="6" t="s">
        <v>2992</v>
      </c>
      <c r="I1345" s="6" t="s">
        <v>4019</v>
      </c>
      <c r="J1345" s="8">
        <v>44764</v>
      </c>
      <c r="K1345" s="8">
        <v>45301</v>
      </c>
      <c r="L1345" s="6">
        <v>78800.25</v>
      </c>
      <c r="M1345" s="6">
        <v>51900.9</v>
      </c>
      <c r="N1345" s="6">
        <v>695</v>
      </c>
      <c r="O1345" s="6">
        <v>120000</v>
      </c>
      <c r="P1345" s="6" t="s">
        <v>26</v>
      </c>
      <c r="Q1345" s="6" t="s">
        <v>27</v>
      </c>
      <c r="R1345" s="6">
        <v>0</v>
      </c>
      <c r="S1345" s="6" t="s">
        <v>28</v>
      </c>
      <c r="T1345" s="7">
        <f t="shared" si="100"/>
        <v>0.43250749999999999</v>
      </c>
      <c r="U1345" s="6">
        <f t="shared" si="101"/>
        <v>5</v>
      </c>
      <c r="V1345" s="5" t="str">
        <f t="shared" si="102"/>
        <v>GOOD</v>
      </c>
      <c r="W1345" s="6" t="str">
        <f t="shared" si="103"/>
        <v>55+</v>
      </c>
      <c r="X1345" s="6" t="str">
        <f t="shared" si="104"/>
        <v>Lower-Middle</v>
      </c>
    </row>
    <row r="1346" spans="1:24">
      <c r="A1346" s="6" t="s">
        <v>536</v>
      </c>
      <c r="B1346" s="6" t="s">
        <v>2993</v>
      </c>
      <c r="C1346" s="6" t="s">
        <v>39</v>
      </c>
      <c r="D1346" s="6" t="s">
        <v>195</v>
      </c>
      <c r="E1346" s="6" t="s">
        <v>196</v>
      </c>
      <c r="F1346" s="6">
        <v>79</v>
      </c>
      <c r="G1346" s="6" t="s">
        <v>24</v>
      </c>
      <c r="H1346" s="6" t="s">
        <v>2994</v>
      </c>
      <c r="I1346" s="6" t="s">
        <v>4325</v>
      </c>
      <c r="J1346" s="8">
        <v>44218</v>
      </c>
      <c r="K1346" s="8">
        <v>45300</v>
      </c>
      <c r="L1346" s="6">
        <v>148800.4</v>
      </c>
      <c r="M1346" s="6">
        <v>100000.6</v>
      </c>
      <c r="N1346" s="6">
        <v>670</v>
      </c>
      <c r="O1346" s="6">
        <v>187000</v>
      </c>
      <c r="P1346" s="6" t="s">
        <v>76</v>
      </c>
      <c r="Q1346" s="6" t="s">
        <v>27</v>
      </c>
      <c r="R1346" s="6">
        <v>0</v>
      </c>
      <c r="S1346" s="6" t="s">
        <v>28</v>
      </c>
      <c r="T1346" s="7">
        <f t="shared" ref="T1346:T1409" si="105">IFERROR(M1346/O1346,"")</f>
        <v>0.53476256684491985</v>
      </c>
      <c r="U1346" s="6">
        <f t="shared" ref="U1346:U1409" si="106">MAX($K$2:$K$1599)-K1346</f>
        <v>6</v>
      </c>
      <c r="V1346" s="5" t="str">
        <f t="shared" ref="V1346:V1409" si="107">IF(N1346&lt;670,"FAIR", IF(N1346&lt;750,"GOOD",IF(N1346&lt;800,"VERY GOOD","EXCEPTIONAL")))</f>
        <v>GOOD</v>
      </c>
      <c r="W1346" s="6" t="str">
        <f t="shared" ref="W1346:W1409" si="108">IF(F1346&lt;25,"18-24",IF(F1346&lt;35,"25-34",IF(F1346&lt;45,"35-44",IF(F1346&lt;55,"45-54","55+"))))</f>
        <v>55+</v>
      </c>
      <c r="X1346" s="6" t="str">
        <f t="shared" ref="X1346:X1409" si="109">IF(O1346&lt;=_xlfn.QUARTILE.INC($O$2:$O$1599,1),"Low",IF(O1346&lt;=_xlfn.QUARTILE.INC($O$2:$O$1599,2),"Lower-Middle",IF(O1346&lt;=_xlfn.QUARTILE.INC($O$2:$O$1599,3),"Upper-Middle","High")))</f>
        <v>Upper-Middle</v>
      </c>
    </row>
    <row r="1347" spans="1:24">
      <c r="A1347" s="6" t="s">
        <v>539</v>
      </c>
      <c r="B1347" s="6" t="s">
        <v>2995</v>
      </c>
      <c r="C1347" s="6" t="s">
        <v>21</v>
      </c>
      <c r="D1347" s="6" t="s">
        <v>58</v>
      </c>
      <c r="E1347" s="6" t="s">
        <v>59</v>
      </c>
      <c r="F1347" s="6">
        <v>87</v>
      </c>
      <c r="G1347" s="6" t="s">
        <v>34</v>
      </c>
      <c r="H1347" s="6" t="s">
        <v>2996</v>
      </c>
      <c r="I1347" s="6" t="s">
        <v>3704</v>
      </c>
      <c r="J1347" s="8">
        <v>43791</v>
      </c>
      <c r="K1347" s="8">
        <v>45299</v>
      </c>
      <c r="L1347" s="6">
        <v>315700.75</v>
      </c>
      <c r="M1347" s="6">
        <v>117000.8</v>
      </c>
      <c r="N1347" s="6">
        <v>835</v>
      </c>
      <c r="O1347" s="6">
        <v>332000</v>
      </c>
      <c r="P1347" s="6" t="s">
        <v>36</v>
      </c>
      <c r="Q1347" s="6" t="s">
        <v>27</v>
      </c>
      <c r="R1347" s="6">
        <v>0</v>
      </c>
      <c r="S1347" s="6" t="s">
        <v>28</v>
      </c>
      <c r="T1347" s="7">
        <f t="shared" si="105"/>
        <v>0.35241204819277111</v>
      </c>
      <c r="U1347" s="6">
        <f t="shared" si="106"/>
        <v>7</v>
      </c>
      <c r="V1347" s="5" t="str">
        <f t="shared" si="107"/>
        <v>EXCEPTIONAL</v>
      </c>
      <c r="W1347" s="6" t="str">
        <f t="shared" si="108"/>
        <v>55+</v>
      </c>
      <c r="X1347" s="6" t="str">
        <f t="shared" si="109"/>
        <v>High</v>
      </c>
    </row>
    <row r="1348" spans="1:24">
      <c r="A1348" s="6" t="s">
        <v>542</v>
      </c>
      <c r="B1348" s="6" t="s">
        <v>2997</v>
      </c>
      <c r="C1348" s="6" t="s">
        <v>52</v>
      </c>
      <c r="D1348" s="6" t="s">
        <v>68</v>
      </c>
      <c r="E1348" s="6" t="s">
        <v>114</v>
      </c>
      <c r="F1348" s="6">
        <v>74</v>
      </c>
      <c r="G1348" s="6" t="s">
        <v>34</v>
      </c>
      <c r="H1348" s="6" t="s">
        <v>2998</v>
      </c>
      <c r="I1348" s="6" t="s">
        <v>4315</v>
      </c>
      <c r="J1348" s="8">
        <v>44734</v>
      </c>
      <c r="K1348" s="8">
        <v>45302</v>
      </c>
      <c r="L1348" s="6">
        <v>87500.6</v>
      </c>
      <c r="M1348" s="6">
        <v>57500.25</v>
      </c>
      <c r="N1348" s="6">
        <v>665</v>
      </c>
      <c r="O1348" s="6">
        <v>140000</v>
      </c>
      <c r="P1348" s="6" t="s">
        <v>26</v>
      </c>
      <c r="Q1348" s="6" t="s">
        <v>27</v>
      </c>
      <c r="R1348" s="6">
        <v>0</v>
      </c>
      <c r="S1348" s="6" t="s">
        <v>28</v>
      </c>
      <c r="T1348" s="7">
        <f t="shared" si="105"/>
        <v>0.41071607142857142</v>
      </c>
      <c r="U1348" s="6">
        <f t="shared" si="106"/>
        <v>4</v>
      </c>
      <c r="V1348" s="5" t="str">
        <f t="shared" si="107"/>
        <v>FAIR</v>
      </c>
      <c r="W1348" s="6" t="str">
        <f t="shared" si="108"/>
        <v>55+</v>
      </c>
      <c r="X1348" s="6" t="str">
        <f t="shared" si="109"/>
        <v>Upper-Middle</v>
      </c>
    </row>
    <row r="1349" spans="1:24">
      <c r="A1349" s="6" t="s">
        <v>545</v>
      </c>
      <c r="B1349" s="6" t="s">
        <v>2999</v>
      </c>
      <c r="C1349" s="6" t="s">
        <v>46</v>
      </c>
      <c r="D1349" s="6" t="s">
        <v>241</v>
      </c>
      <c r="E1349" s="6" t="s">
        <v>242</v>
      </c>
      <c r="F1349" s="6">
        <v>66</v>
      </c>
      <c r="G1349" s="6" t="s">
        <v>24</v>
      </c>
      <c r="H1349" s="6" t="s">
        <v>3000</v>
      </c>
      <c r="I1349" s="6" t="s">
        <v>4326</v>
      </c>
      <c r="J1349" s="8">
        <v>45373</v>
      </c>
      <c r="K1349" s="8">
        <v>45303</v>
      </c>
      <c r="L1349" s="6">
        <v>110800.8</v>
      </c>
      <c r="M1349" s="6">
        <v>65000.4</v>
      </c>
      <c r="N1349" s="6">
        <v>750</v>
      </c>
      <c r="O1349" s="6">
        <v>166000</v>
      </c>
      <c r="P1349" s="6" t="s">
        <v>26</v>
      </c>
      <c r="Q1349" s="6" t="s">
        <v>27</v>
      </c>
      <c r="R1349" s="6">
        <v>0</v>
      </c>
      <c r="S1349" s="6" t="s">
        <v>28</v>
      </c>
      <c r="T1349" s="7">
        <f t="shared" si="105"/>
        <v>0.39156867469879519</v>
      </c>
      <c r="U1349" s="6">
        <f t="shared" si="106"/>
        <v>3</v>
      </c>
      <c r="V1349" s="5" t="str">
        <f t="shared" si="107"/>
        <v>VERY GOOD</v>
      </c>
      <c r="W1349" s="6" t="str">
        <f t="shared" si="108"/>
        <v>55+</v>
      </c>
      <c r="X1349" s="6" t="str">
        <f t="shared" si="109"/>
        <v>Upper-Middle</v>
      </c>
    </row>
    <row r="1350" spans="1:24">
      <c r="A1350" s="6" t="s">
        <v>548</v>
      </c>
      <c r="B1350" s="6" t="s">
        <v>3001</v>
      </c>
      <c r="C1350" s="6" t="s">
        <v>57</v>
      </c>
      <c r="D1350" s="6" t="s">
        <v>22</v>
      </c>
      <c r="E1350" s="6" t="s">
        <v>282</v>
      </c>
      <c r="F1350" s="6">
        <v>62</v>
      </c>
      <c r="G1350" s="6" t="s">
        <v>34</v>
      </c>
      <c r="H1350" s="6" t="s">
        <v>3002</v>
      </c>
      <c r="I1350" s="6" t="s">
        <v>3706</v>
      </c>
      <c r="J1350" s="8">
        <v>45557</v>
      </c>
      <c r="K1350" s="8">
        <v>45305</v>
      </c>
      <c r="L1350" s="6">
        <v>49700.9</v>
      </c>
      <c r="M1350" s="6">
        <v>19200.75</v>
      </c>
      <c r="N1350" s="6">
        <v>770</v>
      </c>
      <c r="O1350" s="6">
        <v>97000</v>
      </c>
      <c r="P1350" s="6" t="s">
        <v>36</v>
      </c>
      <c r="Q1350" s="6" t="s">
        <v>27</v>
      </c>
      <c r="R1350" s="6">
        <v>0</v>
      </c>
      <c r="S1350" s="6" t="s">
        <v>28</v>
      </c>
      <c r="T1350" s="7">
        <f t="shared" si="105"/>
        <v>0.19794587628865978</v>
      </c>
      <c r="U1350" s="6">
        <f t="shared" si="106"/>
        <v>1</v>
      </c>
      <c r="V1350" s="5" t="str">
        <f t="shared" si="107"/>
        <v>VERY GOOD</v>
      </c>
      <c r="W1350" s="6" t="str">
        <f t="shared" si="108"/>
        <v>55+</v>
      </c>
      <c r="X1350" s="6" t="str">
        <f t="shared" si="109"/>
        <v>Lower-Middle</v>
      </c>
    </row>
    <row r="1351" spans="1:24">
      <c r="A1351" s="6" t="s">
        <v>551</v>
      </c>
      <c r="B1351" s="6" t="s">
        <v>3003</v>
      </c>
      <c r="C1351" s="6" t="s">
        <v>39</v>
      </c>
      <c r="D1351" s="6" t="s">
        <v>313</v>
      </c>
      <c r="E1351" s="6" t="s">
        <v>385</v>
      </c>
      <c r="F1351" s="6">
        <v>85</v>
      </c>
      <c r="G1351" s="6" t="s">
        <v>24</v>
      </c>
      <c r="H1351" s="6" t="s">
        <v>3004</v>
      </c>
      <c r="I1351" s="6" t="s">
        <v>4327</v>
      </c>
      <c r="J1351" s="8">
        <v>43973</v>
      </c>
      <c r="K1351" s="8">
        <v>45299</v>
      </c>
      <c r="L1351" s="6">
        <v>201900.25</v>
      </c>
      <c r="M1351" s="6">
        <v>121000.8</v>
      </c>
      <c r="N1351" s="6">
        <v>645</v>
      </c>
      <c r="O1351" s="6">
        <v>237000</v>
      </c>
      <c r="P1351" s="6" t="s">
        <v>76</v>
      </c>
      <c r="Q1351" s="6" t="s">
        <v>27</v>
      </c>
      <c r="R1351" s="6">
        <v>0</v>
      </c>
      <c r="S1351" s="6" t="s">
        <v>28</v>
      </c>
      <c r="T1351" s="7">
        <f t="shared" si="105"/>
        <v>0.51055189873417728</v>
      </c>
      <c r="U1351" s="6">
        <f t="shared" si="106"/>
        <v>7</v>
      </c>
      <c r="V1351" s="5" t="str">
        <f t="shared" si="107"/>
        <v>FAIR</v>
      </c>
      <c r="W1351" s="6" t="str">
        <f t="shared" si="108"/>
        <v>55+</v>
      </c>
      <c r="X1351" s="6" t="str">
        <f t="shared" si="109"/>
        <v>High</v>
      </c>
    </row>
    <row r="1352" spans="1:24">
      <c r="A1352" s="6" t="s">
        <v>554</v>
      </c>
      <c r="B1352" s="6" t="s">
        <v>3005</v>
      </c>
      <c r="C1352" s="6" t="s">
        <v>31</v>
      </c>
      <c r="D1352" s="6" t="s">
        <v>214</v>
      </c>
      <c r="E1352" s="6" t="s">
        <v>215</v>
      </c>
      <c r="F1352" s="6">
        <v>58</v>
      </c>
      <c r="G1352" s="6" t="s">
        <v>34</v>
      </c>
      <c r="H1352" s="6" t="s">
        <v>3006</v>
      </c>
      <c r="I1352" s="6" t="s">
        <v>4328</v>
      </c>
      <c r="J1352" s="8">
        <v>45638</v>
      </c>
      <c r="K1352" s="8">
        <v>45306</v>
      </c>
      <c r="L1352" s="6">
        <v>42200.5</v>
      </c>
      <c r="M1352" s="6">
        <v>18800.400000000001</v>
      </c>
      <c r="N1352" s="6">
        <v>720</v>
      </c>
      <c r="O1352" s="6">
        <v>74000</v>
      </c>
      <c r="P1352" s="6" t="s">
        <v>36</v>
      </c>
      <c r="Q1352" s="6" t="s">
        <v>27</v>
      </c>
      <c r="R1352" s="6">
        <v>0</v>
      </c>
      <c r="S1352" s="6" t="s">
        <v>28</v>
      </c>
      <c r="T1352" s="7">
        <f t="shared" si="105"/>
        <v>0.25405945945945946</v>
      </c>
      <c r="U1352" s="6">
        <f t="shared" si="106"/>
        <v>0</v>
      </c>
      <c r="V1352" s="5" t="str">
        <f t="shared" si="107"/>
        <v>GOOD</v>
      </c>
      <c r="W1352" s="6" t="str">
        <f t="shared" si="108"/>
        <v>55+</v>
      </c>
      <c r="X1352" s="6" t="str">
        <f t="shared" si="109"/>
        <v>Low</v>
      </c>
    </row>
    <row r="1353" spans="1:24">
      <c r="A1353" s="6" t="s">
        <v>108</v>
      </c>
      <c r="B1353" s="6" t="s">
        <v>3007</v>
      </c>
      <c r="C1353" s="6" t="s">
        <v>84</v>
      </c>
      <c r="D1353" s="6" t="s">
        <v>32</v>
      </c>
      <c r="E1353" s="6" t="s">
        <v>33</v>
      </c>
      <c r="F1353" s="6">
        <v>54</v>
      </c>
      <c r="G1353" s="6" t="s">
        <v>24</v>
      </c>
      <c r="H1353" s="6" t="s">
        <v>3008</v>
      </c>
      <c r="I1353" s="6" t="s">
        <v>3721</v>
      </c>
      <c r="J1353" s="8">
        <v>45641</v>
      </c>
      <c r="K1353" s="8">
        <v>45304</v>
      </c>
      <c r="L1353" s="6">
        <v>5050.8</v>
      </c>
      <c r="M1353" s="6">
        <v>15000.25</v>
      </c>
      <c r="N1353" s="6">
        <v>605</v>
      </c>
      <c r="O1353" s="6">
        <v>50000</v>
      </c>
      <c r="P1353" s="6" t="s">
        <v>76</v>
      </c>
      <c r="Q1353" s="6" t="s">
        <v>43</v>
      </c>
      <c r="R1353" s="6">
        <v>0</v>
      </c>
      <c r="S1353" s="6" t="s">
        <v>28</v>
      </c>
      <c r="T1353" s="7">
        <f t="shared" si="105"/>
        <v>0.30000500000000002</v>
      </c>
      <c r="U1353" s="6">
        <f t="shared" si="106"/>
        <v>2</v>
      </c>
      <c r="V1353" s="5" t="str">
        <f t="shared" si="107"/>
        <v>FAIR</v>
      </c>
      <c r="W1353" s="6" t="str">
        <f t="shared" si="108"/>
        <v>45-54</v>
      </c>
      <c r="X1353" s="6" t="str">
        <f t="shared" si="109"/>
        <v>Low</v>
      </c>
    </row>
    <row r="1354" spans="1:24">
      <c r="A1354" s="6" t="s">
        <v>559</v>
      </c>
      <c r="B1354" s="6" t="s">
        <v>3009</v>
      </c>
      <c r="C1354" s="6" t="s">
        <v>46</v>
      </c>
      <c r="D1354" s="6" t="s">
        <v>254</v>
      </c>
      <c r="E1354" s="6" t="s">
        <v>255</v>
      </c>
      <c r="F1354" s="6">
        <v>68</v>
      </c>
      <c r="G1354" s="6" t="s">
        <v>34</v>
      </c>
      <c r="H1354" s="6" t="s">
        <v>3010</v>
      </c>
      <c r="I1354" s="6" t="s">
        <v>4329</v>
      </c>
      <c r="J1354" s="8">
        <v>45252</v>
      </c>
      <c r="K1354" s="8">
        <v>45302</v>
      </c>
      <c r="L1354" s="6">
        <v>97500.4</v>
      </c>
      <c r="M1354" s="6">
        <v>59700.75</v>
      </c>
      <c r="N1354" s="6">
        <v>710</v>
      </c>
      <c r="O1354" s="6">
        <v>148000</v>
      </c>
      <c r="P1354" s="6" t="s">
        <v>26</v>
      </c>
      <c r="Q1354" s="6" t="s">
        <v>27</v>
      </c>
      <c r="R1354" s="6">
        <v>0</v>
      </c>
      <c r="S1354" s="6" t="s">
        <v>28</v>
      </c>
      <c r="T1354" s="7">
        <f t="shared" si="105"/>
        <v>0.40338344594594594</v>
      </c>
      <c r="U1354" s="6">
        <f t="shared" si="106"/>
        <v>4</v>
      </c>
      <c r="V1354" s="5" t="str">
        <f t="shared" si="107"/>
        <v>GOOD</v>
      </c>
      <c r="W1354" s="6" t="str">
        <f t="shared" si="108"/>
        <v>55+</v>
      </c>
      <c r="X1354" s="6" t="str">
        <f t="shared" si="109"/>
        <v>Upper-Middle</v>
      </c>
    </row>
    <row r="1355" spans="1:24">
      <c r="A1355" s="6" t="s">
        <v>562</v>
      </c>
      <c r="B1355" s="6" t="s">
        <v>3011</v>
      </c>
      <c r="C1355" s="6" t="s">
        <v>39</v>
      </c>
      <c r="D1355" s="6" t="s">
        <v>47</v>
      </c>
      <c r="E1355" s="6" t="s">
        <v>48</v>
      </c>
      <c r="F1355" s="6">
        <v>82</v>
      </c>
      <c r="G1355" s="6" t="s">
        <v>24</v>
      </c>
      <c r="H1355" s="6" t="s">
        <v>3012</v>
      </c>
      <c r="I1355" s="6" t="s">
        <v>3710</v>
      </c>
      <c r="J1355" s="8">
        <v>44126</v>
      </c>
      <c r="K1355" s="8">
        <v>45300</v>
      </c>
      <c r="L1355" s="6">
        <v>182100.6</v>
      </c>
      <c r="M1355" s="6">
        <v>114000.25</v>
      </c>
      <c r="N1355" s="6">
        <v>675</v>
      </c>
      <c r="O1355" s="6">
        <v>217000</v>
      </c>
      <c r="P1355" s="6" t="s">
        <v>76</v>
      </c>
      <c r="Q1355" s="6" t="s">
        <v>27</v>
      </c>
      <c r="R1355" s="6">
        <v>0</v>
      </c>
      <c r="S1355" s="6" t="s">
        <v>28</v>
      </c>
      <c r="T1355" s="7">
        <f t="shared" si="105"/>
        <v>0.52534677419354836</v>
      </c>
      <c r="U1355" s="6">
        <f t="shared" si="106"/>
        <v>6</v>
      </c>
      <c r="V1355" s="5" t="str">
        <f t="shared" si="107"/>
        <v>GOOD</v>
      </c>
      <c r="W1355" s="6" t="str">
        <f t="shared" si="108"/>
        <v>55+</v>
      </c>
      <c r="X1355" s="6" t="str">
        <f t="shared" si="109"/>
        <v>High</v>
      </c>
    </row>
    <row r="1356" spans="1:24">
      <c r="A1356" s="6" t="s">
        <v>565</v>
      </c>
      <c r="B1356" s="6" t="s">
        <v>3013</v>
      </c>
      <c r="C1356" s="6" t="s">
        <v>52</v>
      </c>
      <c r="D1356" s="6" t="s">
        <v>233</v>
      </c>
      <c r="E1356" s="6" t="s">
        <v>234</v>
      </c>
      <c r="F1356" s="6">
        <v>67</v>
      </c>
      <c r="G1356" s="6" t="s">
        <v>34</v>
      </c>
      <c r="H1356" s="6" t="s">
        <v>3014</v>
      </c>
      <c r="I1356" s="6" t="s">
        <v>3711</v>
      </c>
      <c r="J1356" s="8">
        <v>45038</v>
      </c>
      <c r="K1356" s="8">
        <v>45301</v>
      </c>
      <c r="L1356" s="6">
        <v>73900.75</v>
      </c>
      <c r="M1356" s="6">
        <v>50800.800000000003</v>
      </c>
      <c r="N1356" s="6">
        <v>725</v>
      </c>
      <c r="O1356" s="6">
        <v>114000</v>
      </c>
      <c r="P1356" s="6" t="s">
        <v>26</v>
      </c>
      <c r="Q1356" s="6" t="s">
        <v>27</v>
      </c>
      <c r="R1356" s="6">
        <v>0</v>
      </c>
      <c r="S1356" s="6" t="s">
        <v>28</v>
      </c>
      <c r="T1356" s="7">
        <f t="shared" si="105"/>
        <v>0.44562105263157897</v>
      </c>
      <c r="U1356" s="6">
        <f t="shared" si="106"/>
        <v>5</v>
      </c>
      <c r="V1356" s="5" t="str">
        <f t="shared" si="107"/>
        <v>GOOD</v>
      </c>
      <c r="W1356" s="6" t="str">
        <f t="shared" si="108"/>
        <v>55+</v>
      </c>
      <c r="X1356" s="6" t="str">
        <f t="shared" si="109"/>
        <v>Lower-Middle</v>
      </c>
    </row>
    <row r="1357" spans="1:24">
      <c r="A1357" s="6" t="s">
        <v>568</v>
      </c>
      <c r="B1357" s="6" t="s">
        <v>3015</v>
      </c>
      <c r="C1357" s="6" t="s">
        <v>57</v>
      </c>
      <c r="D1357" s="6" t="s">
        <v>79</v>
      </c>
      <c r="E1357" s="6" t="s">
        <v>80</v>
      </c>
      <c r="F1357" s="6">
        <v>65</v>
      </c>
      <c r="G1357" s="6" t="s">
        <v>24</v>
      </c>
      <c r="H1357" s="6" t="s">
        <v>3016</v>
      </c>
      <c r="I1357" s="6" t="s">
        <v>3712</v>
      </c>
      <c r="J1357" s="8">
        <v>45495</v>
      </c>
      <c r="K1357" s="8">
        <v>45303</v>
      </c>
      <c r="L1357" s="6">
        <v>51900.4</v>
      </c>
      <c r="M1357" s="6">
        <v>20000.900000000001</v>
      </c>
      <c r="N1357" s="6">
        <v>740</v>
      </c>
      <c r="O1357" s="6">
        <v>100000</v>
      </c>
      <c r="P1357" s="6" t="s">
        <v>36</v>
      </c>
      <c r="Q1357" s="6" t="s">
        <v>27</v>
      </c>
      <c r="R1357" s="6">
        <v>0</v>
      </c>
      <c r="S1357" s="6" t="s">
        <v>28</v>
      </c>
      <c r="T1357" s="7">
        <f t="shared" si="105"/>
        <v>0.20000900000000002</v>
      </c>
      <c r="U1357" s="6">
        <f t="shared" si="106"/>
        <v>3</v>
      </c>
      <c r="V1357" s="5" t="str">
        <f t="shared" si="107"/>
        <v>GOOD</v>
      </c>
      <c r="W1357" s="6" t="str">
        <f t="shared" si="108"/>
        <v>55+</v>
      </c>
      <c r="X1357" s="6" t="str">
        <f t="shared" si="109"/>
        <v>Lower-Middle</v>
      </c>
    </row>
    <row r="1358" spans="1:24">
      <c r="A1358" s="6" t="s">
        <v>571</v>
      </c>
      <c r="B1358" s="6" t="s">
        <v>3017</v>
      </c>
      <c r="C1358" s="6" t="s">
        <v>21</v>
      </c>
      <c r="D1358" s="6" t="s">
        <v>63</v>
      </c>
      <c r="E1358" s="6" t="s">
        <v>3514</v>
      </c>
      <c r="F1358" s="6">
        <v>88</v>
      </c>
      <c r="G1358" s="6" t="s">
        <v>34</v>
      </c>
      <c r="H1358" s="6" t="s">
        <v>3018</v>
      </c>
      <c r="I1358" s="6" t="s">
        <v>4330</v>
      </c>
      <c r="J1358" s="8">
        <v>43668</v>
      </c>
      <c r="K1358" s="8">
        <v>45299</v>
      </c>
      <c r="L1358" s="6">
        <v>271000.90000000002</v>
      </c>
      <c r="M1358" s="6">
        <v>104000.6</v>
      </c>
      <c r="N1358" s="6">
        <v>830</v>
      </c>
      <c r="O1358" s="6">
        <v>312000</v>
      </c>
      <c r="P1358" s="6" t="s">
        <v>36</v>
      </c>
      <c r="Q1358" s="6" t="s">
        <v>27</v>
      </c>
      <c r="R1358" s="6">
        <v>0</v>
      </c>
      <c r="S1358" s="6" t="s">
        <v>28</v>
      </c>
      <c r="T1358" s="7">
        <f t="shared" si="105"/>
        <v>0.33333525641025641</v>
      </c>
      <c r="U1358" s="6">
        <f t="shared" si="106"/>
        <v>7</v>
      </c>
      <c r="V1358" s="5" t="str">
        <f t="shared" si="107"/>
        <v>EXCEPTIONAL</v>
      </c>
      <c r="W1358" s="6" t="str">
        <f t="shared" si="108"/>
        <v>55+</v>
      </c>
      <c r="X1358" s="6" t="str">
        <f t="shared" si="109"/>
        <v>High</v>
      </c>
    </row>
    <row r="1359" spans="1:24">
      <c r="A1359" s="6" t="s">
        <v>574</v>
      </c>
      <c r="B1359" s="6" t="s">
        <v>3019</v>
      </c>
      <c r="C1359" s="6" t="s">
        <v>39</v>
      </c>
      <c r="D1359" s="6" t="s">
        <v>68</v>
      </c>
      <c r="E1359" s="6" t="s">
        <v>179</v>
      </c>
      <c r="F1359" s="6">
        <v>80</v>
      </c>
      <c r="G1359" s="6" t="s">
        <v>24</v>
      </c>
      <c r="H1359" s="6" t="s">
        <v>3020</v>
      </c>
      <c r="I1359" s="6" t="s">
        <v>4331</v>
      </c>
      <c r="J1359" s="8">
        <v>44267</v>
      </c>
      <c r="K1359" s="8">
        <v>45300</v>
      </c>
      <c r="L1359" s="6">
        <v>159900.25</v>
      </c>
      <c r="M1359" s="6">
        <v>106000.4</v>
      </c>
      <c r="N1359" s="6">
        <v>655</v>
      </c>
      <c r="O1359" s="6">
        <v>202000</v>
      </c>
      <c r="P1359" s="6" t="s">
        <v>76</v>
      </c>
      <c r="Q1359" s="6" t="s">
        <v>27</v>
      </c>
      <c r="R1359" s="6">
        <v>0</v>
      </c>
      <c r="S1359" s="6" t="s">
        <v>28</v>
      </c>
      <c r="T1359" s="7">
        <f t="shared" si="105"/>
        <v>0.52475445544554455</v>
      </c>
      <c r="U1359" s="6">
        <f t="shared" si="106"/>
        <v>6</v>
      </c>
      <c r="V1359" s="5" t="str">
        <f t="shared" si="107"/>
        <v>FAIR</v>
      </c>
      <c r="W1359" s="6" t="str">
        <f t="shared" si="108"/>
        <v>55+</v>
      </c>
      <c r="X1359" s="6" t="str">
        <f t="shared" si="109"/>
        <v>High</v>
      </c>
    </row>
    <row r="1360" spans="1:24">
      <c r="A1360" s="6" t="s">
        <v>577</v>
      </c>
      <c r="B1360" s="6" t="s">
        <v>3021</v>
      </c>
      <c r="C1360" s="6" t="s">
        <v>46</v>
      </c>
      <c r="D1360" s="6" t="s">
        <v>85</v>
      </c>
      <c r="E1360" s="6" t="s">
        <v>86</v>
      </c>
      <c r="F1360" s="6">
        <v>69</v>
      </c>
      <c r="G1360" s="6" t="s">
        <v>34</v>
      </c>
      <c r="H1360" s="6" t="s">
        <v>3022</v>
      </c>
      <c r="I1360" s="6" t="s">
        <v>3715</v>
      </c>
      <c r="J1360" s="8">
        <v>45160</v>
      </c>
      <c r="K1360" s="8">
        <v>45302</v>
      </c>
      <c r="L1360" s="6">
        <v>116400.6</v>
      </c>
      <c r="M1360" s="6">
        <v>67700.75</v>
      </c>
      <c r="N1360" s="6">
        <v>760</v>
      </c>
      <c r="O1360" s="6">
        <v>171000</v>
      </c>
      <c r="P1360" s="6" t="s">
        <v>26</v>
      </c>
      <c r="Q1360" s="6" t="s">
        <v>27</v>
      </c>
      <c r="R1360" s="6">
        <v>0</v>
      </c>
      <c r="S1360" s="6" t="s">
        <v>28</v>
      </c>
      <c r="T1360" s="7">
        <f t="shared" si="105"/>
        <v>0.3959108187134503</v>
      </c>
      <c r="U1360" s="6">
        <f t="shared" si="106"/>
        <v>4</v>
      </c>
      <c r="V1360" s="5" t="str">
        <f t="shared" si="107"/>
        <v>VERY GOOD</v>
      </c>
      <c r="W1360" s="6" t="str">
        <f t="shared" si="108"/>
        <v>55+</v>
      </c>
      <c r="X1360" s="6" t="str">
        <f t="shared" si="109"/>
        <v>Upper-Middle</v>
      </c>
    </row>
    <row r="1361" spans="1:24">
      <c r="A1361" s="6" t="s">
        <v>458</v>
      </c>
      <c r="B1361" s="6" t="s">
        <v>3023</v>
      </c>
      <c r="C1361" s="6" t="s">
        <v>31</v>
      </c>
      <c r="D1361" s="6" t="s">
        <v>460</v>
      </c>
      <c r="E1361" s="6" t="s">
        <v>663</v>
      </c>
      <c r="F1361" s="6">
        <v>60</v>
      </c>
      <c r="G1361" s="6" t="s">
        <v>24</v>
      </c>
      <c r="H1361" s="6" t="s">
        <v>3024</v>
      </c>
      <c r="I1361" s="6" t="s">
        <v>4332</v>
      </c>
      <c r="J1361" s="8">
        <v>45634</v>
      </c>
      <c r="K1361" s="8">
        <v>45306</v>
      </c>
      <c r="L1361" s="6">
        <v>24400.25</v>
      </c>
      <c r="M1361" s="6">
        <v>14500.8</v>
      </c>
      <c r="N1361" s="6">
        <v>695</v>
      </c>
      <c r="O1361" s="6">
        <v>71000</v>
      </c>
      <c r="P1361" s="6" t="s">
        <v>26</v>
      </c>
      <c r="Q1361" s="6" t="s">
        <v>43</v>
      </c>
      <c r="R1361" s="6">
        <v>0</v>
      </c>
      <c r="S1361" s="6" t="s">
        <v>28</v>
      </c>
      <c r="T1361" s="7">
        <f t="shared" si="105"/>
        <v>0.20423661971830984</v>
      </c>
      <c r="U1361" s="6">
        <f t="shared" si="106"/>
        <v>0</v>
      </c>
      <c r="V1361" s="5" t="str">
        <f t="shared" si="107"/>
        <v>GOOD</v>
      </c>
      <c r="W1361" s="6" t="str">
        <f t="shared" si="108"/>
        <v>55+</v>
      </c>
      <c r="X1361" s="6" t="str">
        <f t="shared" si="109"/>
        <v>Low</v>
      </c>
    </row>
    <row r="1362" spans="1:24">
      <c r="A1362" s="6" t="s">
        <v>582</v>
      </c>
      <c r="B1362" s="6" t="s">
        <v>3025</v>
      </c>
      <c r="C1362" s="6" t="s">
        <v>57</v>
      </c>
      <c r="D1362" s="6" t="s">
        <v>22</v>
      </c>
      <c r="E1362" s="6" t="s">
        <v>23</v>
      </c>
      <c r="F1362" s="6">
        <v>63</v>
      </c>
      <c r="G1362" s="6" t="s">
        <v>34</v>
      </c>
      <c r="H1362" s="6" t="s">
        <v>3026</v>
      </c>
      <c r="I1362" s="6" t="s">
        <v>3990</v>
      </c>
      <c r="J1362" s="8">
        <v>45434</v>
      </c>
      <c r="K1362" s="8">
        <v>45303</v>
      </c>
      <c r="L1362" s="6">
        <v>50800.9</v>
      </c>
      <c r="M1362" s="6">
        <v>19600.25</v>
      </c>
      <c r="N1362" s="6">
        <v>755</v>
      </c>
      <c r="O1362" s="6">
        <v>93000</v>
      </c>
      <c r="P1362" s="6" t="s">
        <v>36</v>
      </c>
      <c r="Q1362" s="6" t="s">
        <v>27</v>
      </c>
      <c r="R1362" s="6">
        <v>0</v>
      </c>
      <c r="S1362" s="6" t="s">
        <v>28</v>
      </c>
      <c r="T1362" s="7">
        <f t="shared" si="105"/>
        <v>0.21075537634408603</v>
      </c>
      <c r="U1362" s="6">
        <f t="shared" si="106"/>
        <v>3</v>
      </c>
      <c r="V1362" s="5" t="str">
        <f t="shared" si="107"/>
        <v>VERY GOOD</v>
      </c>
      <c r="W1362" s="6" t="str">
        <f t="shared" si="108"/>
        <v>55+</v>
      </c>
      <c r="X1362" s="6" t="str">
        <f t="shared" si="109"/>
        <v>Lower-Middle</v>
      </c>
    </row>
    <row r="1363" spans="1:24">
      <c r="A1363" s="6" t="s">
        <v>55</v>
      </c>
      <c r="B1363" s="6" t="s">
        <v>3027</v>
      </c>
      <c r="C1363" s="6" t="s">
        <v>39</v>
      </c>
      <c r="D1363" s="6" t="s">
        <v>58</v>
      </c>
      <c r="E1363" s="6" t="s">
        <v>122</v>
      </c>
      <c r="F1363" s="6">
        <v>81</v>
      </c>
      <c r="G1363" s="6" t="s">
        <v>24</v>
      </c>
      <c r="H1363" s="6" t="s">
        <v>3028</v>
      </c>
      <c r="I1363" s="6" t="s">
        <v>3718</v>
      </c>
      <c r="J1363" s="8">
        <v>44187</v>
      </c>
      <c r="K1363" s="8">
        <v>45300</v>
      </c>
      <c r="L1363" s="6">
        <v>192800.4</v>
      </c>
      <c r="M1363" s="6">
        <v>119000.75</v>
      </c>
      <c r="N1363" s="6">
        <v>685</v>
      </c>
      <c r="O1363" s="6">
        <v>227000</v>
      </c>
      <c r="P1363" s="6" t="s">
        <v>76</v>
      </c>
      <c r="Q1363" s="6" t="s">
        <v>27</v>
      </c>
      <c r="R1363" s="6">
        <v>0</v>
      </c>
      <c r="S1363" s="6" t="s">
        <v>28</v>
      </c>
      <c r="T1363" s="7">
        <f t="shared" si="105"/>
        <v>0.52423237885462559</v>
      </c>
      <c r="U1363" s="6">
        <f t="shared" si="106"/>
        <v>6</v>
      </c>
      <c r="V1363" s="5" t="str">
        <f t="shared" si="107"/>
        <v>GOOD</v>
      </c>
      <c r="W1363" s="6" t="str">
        <f t="shared" si="108"/>
        <v>55+</v>
      </c>
      <c r="X1363" s="6" t="str">
        <f t="shared" si="109"/>
        <v>High</v>
      </c>
    </row>
    <row r="1364" spans="1:24">
      <c r="A1364" s="6" t="s">
        <v>469</v>
      </c>
      <c r="B1364" s="6" t="s">
        <v>3029</v>
      </c>
      <c r="C1364" s="6" t="s">
        <v>52</v>
      </c>
      <c r="D1364" s="6" t="s">
        <v>471</v>
      </c>
      <c r="E1364" s="6" t="s">
        <v>472</v>
      </c>
      <c r="F1364" s="6">
        <v>72</v>
      </c>
      <c r="G1364" s="6" t="s">
        <v>34</v>
      </c>
      <c r="H1364" s="6" t="s">
        <v>3030</v>
      </c>
      <c r="I1364" s="6" t="s">
        <v>4333</v>
      </c>
      <c r="J1364" s="8">
        <v>44826</v>
      </c>
      <c r="K1364" s="8">
        <v>45301</v>
      </c>
      <c r="L1364" s="6">
        <v>80800.800000000003</v>
      </c>
      <c r="M1364" s="6">
        <v>53900.6</v>
      </c>
      <c r="N1364" s="6">
        <v>715</v>
      </c>
      <c r="O1364" s="6">
        <v>126000</v>
      </c>
      <c r="P1364" s="6" t="s">
        <v>26</v>
      </c>
      <c r="Q1364" s="6" t="s">
        <v>27</v>
      </c>
      <c r="R1364" s="6">
        <v>0</v>
      </c>
      <c r="S1364" s="6" t="s">
        <v>28</v>
      </c>
      <c r="T1364" s="7">
        <f t="shared" si="105"/>
        <v>0.42778253968253965</v>
      </c>
      <c r="U1364" s="6">
        <f t="shared" si="106"/>
        <v>5</v>
      </c>
      <c r="V1364" s="5" t="str">
        <f t="shared" si="107"/>
        <v>GOOD</v>
      </c>
      <c r="W1364" s="6" t="str">
        <f t="shared" si="108"/>
        <v>55+</v>
      </c>
      <c r="X1364" s="6" t="str">
        <f t="shared" si="109"/>
        <v>Lower-Middle</v>
      </c>
    </row>
    <row r="1365" spans="1:24">
      <c r="A1365" s="6" t="s">
        <v>474</v>
      </c>
      <c r="B1365" s="6" t="s">
        <v>3031</v>
      </c>
      <c r="C1365" s="6" t="s">
        <v>46</v>
      </c>
      <c r="D1365" s="6" t="s">
        <v>345</v>
      </c>
      <c r="E1365" s="6" t="s">
        <v>476</v>
      </c>
      <c r="F1365" s="6">
        <v>75</v>
      </c>
      <c r="G1365" s="6" t="s">
        <v>24</v>
      </c>
      <c r="H1365" s="6" t="s">
        <v>3032</v>
      </c>
      <c r="I1365" s="6" t="s">
        <v>3720</v>
      </c>
      <c r="J1365" s="8">
        <v>44734</v>
      </c>
      <c r="K1365" s="8">
        <v>45302</v>
      </c>
      <c r="L1365" s="6">
        <v>108600.25</v>
      </c>
      <c r="M1365" s="6">
        <v>63900.4</v>
      </c>
      <c r="N1365" s="6">
        <v>680</v>
      </c>
      <c r="O1365" s="6">
        <v>155000</v>
      </c>
      <c r="P1365" s="6" t="s">
        <v>26</v>
      </c>
      <c r="Q1365" s="6" t="s">
        <v>27</v>
      </c>
      <c r="R1365" s="6">
        <v>0</v>
      </c>
      <c r="S1365" s="6" t="s">
        <v>28</v>
      </c>
      <c r="T1365" s="7">
        <f t="shared" si="105"/>
        <v>0.41226064516129035</v>
      </c>
      <c r="U1365" s="6">
        <f t="shared" si="106"/>
        <v>4</v>
      </c>
      <c r="V1365" s="5" t="str">
        <f t="shared" si="107"/>
        <v>GOOD</v>
      </c>
      <c r="W1365" s="6" t="str">
        <f t="shared" si="108"/>
        <v>55+</v>
      </c>
      <c r="X1365" s="6" t="str">
        <f t="shared" si="109"/>
        <v>Upper-Middle</v>
      </c>
    </row>
    <row r="1366" spans="1:24">
      <c r="A1366" s="6" t="s">
        <v>592</v>
      </c>
      <c r="B1366" s="6" t="s">
        <v>3033</v>
      </c>
      <c r="C1366" s="6" t="s">
        <v>84</v>
      </c>
      <c r="D1366" s="6" t="s">
        <v>32</v>
      </c>
      <c r="E1366" s="6" t="s">
        <v>90</v>
      </c>
      <c r="F1366" s="6">
        <v>55</v>
      </c>
      <c r="G1366" s="6" t="s">
        <v>34</v>
      </c>
      <c r="H1366" s="6" t="s">
        <v>3034</v>
      </c>
      <c r="I1366" s="6" t="s">
        <v>3620</v>
      </c>
      <c r="J1366" s="8">
        <v>45648</v>
      </c>
      <c r="K1366" s="8">
        <v>45304</v>
      </c>
      <c r="L1366" s="6">
        <v>5150.3999999999996</v>
      </c>
      <c r="M1366" s="6">
        <v>15600.75</v>
      </c>
      <c r="N1366" s="6">
        <v>610</v>
      </c>
      <c r="O1366" s="6">
        <v>51000</v>
      </c>
      <c r="P1366" s="6" t="s">
        <v>76</v>
      </c>
      <c r="Q1366" s="6" t="s">
        <v>43</v>
      </c>
      <c r="R1366" s="6">
        <v>0</v>
      </c>
      <c r="S1366" s="6" t="s">
        <v>28</v>
      </c>
      <c r="T1366" s="7">
        <f t="shared" si="105"/>
        <v>0.30589705882352941</v>
      </c>
      <c r="U1366" s="6">
        <f t="shared" si="106"/>
        <v>2</v>
      </c>
      <c r="V1366" s="5" t="str">
        <f t="shared" si="107"/>
        <v>FAIR</v>
      </c>
      <c r="W1366" s="6" t="str">
        <f t="shared" si="108"/>
        <v>55+</v>
      </c>
      <c r="X1366" s="6" t="str">
        <f t="shared" si="109"/>
        <v>Low</v>
      </c>
    </row>
    <row r="1367" spans="1:24">
      <c r="A1367" s="6" t="s">
        <v>595</v>
      </c>
      <c r="B1367" s="6" t="s">
        <v>3035</v>
      </c>
      <c r="C1367" s="6" t="s">
        <v>21</v>
      </c>
      <c r="D1367" s="6" t="s">
        <v>209</v>
      </c>
      <c r="E1367" s="6" t="s">
        <v>210</v>
      </c>
      <c r="F1367" s="6">
        <v>87</v>
      </c>
      <c r="G1367" s="6" t="s">
        <v>24</v>
      </c>
      <c r="H1367" s="6" t="s">
        <v>3036</v>
      </c>
      <c r="I1367" s="6" t="s">
        <v>3733</v>
      </c>
      <c r="J1367" s="8">
        <v>43883</v>
      </c>
      <c r="K1367" s="8">
        <v>45299</v>
      </c>
      <c r="L1367" s="6">
        <v>290800.8</v>
      </c>
      <c r="M1367" s="6">
        <v>110000.25</v>
      </c>
      <c r="N1367" s="6">
        <v>825</v>
      </c>
      <c r="O1367" s="6">
        <v>307000</v>
      </c>
      <c r="P1367" s="6" t="s">
        <v>36</v>
      </c>
      <c r="Q1367" s="6" t="s">
        <v>27</v>
      </c>
      <c r="R1367" s="6">
        <v>0</v>
      </c>
      <c r="S1367" s="6" t="s">
        <v>28</v>
      </c>
      <c r="T1367" s="7">
        <f t="shared" si="105"/>
        <v>0.358307003257329</v>
      </c>
      <c r="U1367" s="6">
        <f t="shared" si="106"/>
        <v>7</v>
      </c>
      <c r="V1367" s="5" t="str">
        <f t="shared" si="107"/>
        <v>EXCEPTIONAL</v>
      </c>
      <c r="W1367" s="6" t="str">
        <f t="shared" si="108"/>
        <v>55+</v>
      </c>
      <c r="X1367" s="6" t="str">
        <f t="shared" si="109"/>
        <v>High</v>
      </c>
    </row>
    <row r="1368" spans="1:24">
      <c r="A1368" s="6" t="s">
        <v>226</v>
      </c>
      <c r="B1368" s="6" t="s">
        <v>3037</v>
      </c>
      <c r="C1368" s="6" t="s">
        <v>57</v>
      </c>
      <c r="D1368" s="6" t="s">
        <v>228</v>
      </c>
      <c r="E1368" s="6" t="s">
        <v>229</v>
      </c>
      <c r="F1368" s="6">
        <v>62</v>
      </c>
      <c r="G1368" s="6" t="s">
        <v>34</v>
      </c>
      <c r="H1368" s="6" t="s">
        <v>3038</v>
      </c>
      <c r="I1368" s="6" t="s">
        <v>4334</v>
      </c>
      <c r="J1368" s="8">
        <v>45618</v>
      </c>
      <c r="K1368" s="8">
        <v>45305</v>
      </c>
      <c r="L1368" s="6">
        <v>47500.75</v>
      </c>
      <c r="M1368" s="6">
        <v>18000.400000000001</v>
      </c>
      <c r="N1368" s="6">
        <v>725</v>
      </c>
      <c r="O1368" s="6">
        <v>83000</v>
      </c>
      <c r="P1368" s="6" t="s">
        <v>36</v>
      </c>
      <c r="Q1368" s="6" t="s">
        <v>27</v>
      </c>
      <c r="R1368" s="6">
        <v>0</v>
      </c>
      <c r="S1368" s="6" t="s">
        <v>28</v>
      </c>
      <c r="T1368" s="7">
        <f t="shared" si="105"/>
        <v>0.21687228915662651</v>
      </c>
      <c r="U1368" s="6">
        <f t="shared" si="106"/>
        <v>1</v>
      </c>
      <c r="V1368" s="5" t="str">
        <f t="shared" si="107"/>
        <v>GOOD</v>
      </c>
      <c r="W1368" s="6" t="str">
        <f t="shared" si="108"/>
        <v>55+</v>
      </c>
      <c r="X1368" s="6" t="str">
        <f t="shared" si="109"/>
        <v>Lower-Middle</v>
      </c>
    </row>
    <row r="1369" spans="1:24">
      <c r="A1369" s="6" t="s">
        <v>488</v>
      </c>
      <c r="B1369" s="6" t="s">
        <v>3039</v>
      </c>
      <c r="C1369" s="6" t="s">
        <v>39</v>
      </c>
      <c r="D1369" s="6" t="s">
        <v>304</v>
      </c>
      <c r="E1369" s="6" t="s">
        <v>304</v>
      </c>
      <c r="F1369" s="6">
        <v>79</v>
      </c>
      <c r="G1369" s="6" t="s">
        <v>24</v>
      </c>
      <c r="H1369" s="6" t="s">
        <v>3040</v>
      </c>
      <c r="I1369" s="6" t="s">
        <v>4335</v>
      </c>
      <c r="J1369" s="8">
        <v>44359</v>
      </c>
      <c r="K1369" s="8">
        <v>45300</v>
      </c>
      <c r="L1369" s="6">
        <v>171000.6</v>
      </c>
      <c r="M1369" s="6">
        <v>110000.9</v>
      </c>
      <c r="N1369" s="6">
        <v>675</v>
      </c>
      <c r="O1369" s="6">
        <v>207000</v>
      </c>
      <c r="P1369" s="6" t="s">
        <v>76</v>
      </c>
      <c r="Q1369" s="6" t="s">
        <v>27</v>
      </c>
      <c r="R1369" s="6">
        <v>0</v>
      </c>
      <c r="S1369" s="6" t="s">
        <v>28</v>
      </c>
      <c r="T1369" s="7">
        <f t="shared" si="105"/>
        <v>0.53140531400966184</v>
      </c>
      <c r="U1369" s="6">
        <f t="shared" si="106"/>
        <v>6</v>
      </c>
      <c r="V1369" s="5" t="str">
        <f t="shared" si="107"/>
        <v>GOOD</v>
      </c>
      <c r="W1369" s="6" t="str">
        <f t="shared" si="108"/>
        <v>55+</v>
      </c>
      <c r="X1369" s="6" t="str">
        <f t="shared" si="109"/>
        <v>High</v>
      </c>
    </row>
    <row r="1370" spans="1:24">
      <c r="A1370" s="6" t="s">
        <v>491</v>
      </c>
      <c r="B1370" s="6" t="s">
        <v>3041</v>
      </c>
      <c r="C1370" s="6" t="s">
        <v>52</v>
      </c>
      <c r="D1370" s="6" t="s">
        <v>493</v>
      </c>
      <c r="E1370" s="6" t="s">
        <v>494</v>
      </c>
      <c r="F1370" s="6">
        <v>70</v>
      </c>
      <c r="G1370" s="6" t="s">
        <v>34</v>
      </c>
      <c r="H1370" s="6" t="s">
        <v>3042</v>
      </c>
      <c r="I1370" s="6" t="s">
        <v>4336</v>
      </c>
      <c r="J1370" s="8">
        <v>45129</v>
      </c>
      <c r="K1370" s="8">
        <v>45302</v>
      </c>
      <c r="L1370" s="6">
        <v>75000.399999999994</v>
      </c>
      <c r="M1370" s="6">
        <v>49700.25</v>
      </c>
      <c r="N1370" s="6">
        <v>705</v>
      </c>
      <c r="O1370" s="6">
        <v>115000</v>
      </c>
      <c r="P1370" s="6" t="s">
        <v>26</v>
      </c>
      <c r="Q1370" s="6" t="s">
        <v>27</v>
      </c>
      <c r="R1370" s="6">
        <v>0</v>
      </c>
      <c r="S1370" s="6" t="s">
        <v>28</v>
      </c>
      <c r="T1370" s="7">
        <f t="shared" si="105"/>
        <v>0.43217608695652177</v>
      </c>
      <c r="U1370" s="6">
        <f t="shared" si="106"/>
        <v>4</v>
      </c>
      <c r="V1370" s="5" t="str">
        <f t="shared" si="107"/>
        <v>GOOD</v>
      </c>
      <c r="W1370" s="6" t="str">
        <f t="shared" si="108"/>
        <v>55+</v>
      </c>
      <c r="X1370" s="6" t="str">
        <f t="shared" si="109"/>
        <v>Lower-Middle</v>
      </c>
    </row>
    <row r="1371" spans="1:24">
      <c r="A1371" s="6" t="s">
        <v>496</v>
      </c>
      <c r="B1371" s="6" t="s">
        <v>3043</v>
      </c>
      <c r="C1371" s="6" t="s">
        <v>46</v>
      </c>
      <c r="D1371" s="6" t="s">
        <v>321</v>
      </c>
      <c r="E1371" s="6" t="s">
        <v>322</v>
      </c>
      <c r="F1371" s="6">
        <v>73</v>
      </c>
      <c r="G1371" s="6" t="s">
        <v>24</v>
      </c>
      <c r="H1371" s="6" t="s">
        <v>3044</v>
      </c>
      <c r="I1371" s="6" t="s">
        <v>4337</v>
      </c>
      <c r="J1371" s="8">
        <v>44614</v>
      </c>
      <c r="K1371" s="8">
        <v>45301</v>
      </c>
      <c r="L1371" s="6">
        <v>120100.75</v>
      </c>
      <c r="M1371" s="6">
        <v>70800.800000000003</v>
      </c>
      <c r="N1371" s="6">
        <v>730</v>
      </c>
      <c r="O1371" s="6">
        <v>181000</v>
      </c>
      <c r="P1371" s="6" t="s">
        <v>26</v>
      </c>
      <c r="Q1371" s="6" t="s">
        <v>27</v>
      </c>
      <c r="R1371" s="6">
        <v>0</v>
      </c>
      <c r="S1371" s="6" t="s">
        <v>28</v>
      </c>
      <c r="T1371" s="7">
        <f t="shared" si="105"/>
        <v>0.3911646408839779</v>
      </c>
      <c r="U1371" s="6">
        <f t="shared" si="106"/>
        <v>5</v>
      </c>
      <c r="V1371" s="5" t="str">
        <f t="shared" si="107"/>
        <v>GOOD</v>
      </c>
      <c r="W1371" s="6" t="str">
        <f t="shared" si="108"/>
        <v>55+</v>
      </c>
      <c r="X1371" s="6" t="str">
        <f t="shared" si="109"/>
        <v>Upper-Middle</v>
      </c>
    </row>
    <row r="1372" spans="1:24">
      <c r="A1372" s="6" t="s">
        <v>324</v>
      </c>
      <c r="B1372" s="6" t="s">
        <v>3045</v>
      </c>
      <c r="C1372" s="6" t="s">
        <v>31</v>
      </c>
      <c r="D1372" s="6" t="s">
        <v>313</v>
      </c>
      <c r="E1372" s="6" t="s">
        <v>501</v>
      </c>
      <c r="F1372" s="6">
        <v>58</v>
      </c>
      <c r="G1372" s="6" t="s">
        <v>34</v>
      </c>
      <c r="H1372" s="6" t="s">
        <v>3046</v>
      </c>
      <c r="I1372" s="6" t="s">
        <v>4338</v>
      </c>
      <c r="J1372" s="8">
        <v>45641</v>
      </c>
      <c r="K1372" s="8">
        <v>45306</v>
      </c>
      <c r="L1372" s="6">
        <v>20600.900000000001</v>
      </c>
      <c r="M1372" s="6">
        <v>11700.75</v>
      </c>
      <c r="N1372" s="6">
        <v>685</v>
      </c>
      <c r="O1372" s="6">
        <v>68000</v>
      </c>
      <c r="P1372" s="6" t="s">
        <v>26</v>
      </c>
      <c r="Q1372" s="6" t="s">
        <v>43</v>
      </c>
      <c r="R1372" s="6">
        <v>0</v>
      </c>
      <c r="S1372" s="6" t="s">
        <v>28</v>
      </c>
      <c r="T1372" s="7">
        <f t="shared" si="105"/>
        <v>0.17206985294117647</v>
      </c>
      <c r="U1372" s="6">
        <f t="shared" si="106"/>
        <v>0</v>
      </c>
      <c r="V1372" s="5" t="str">
        <f t="shared" si="107"/>
        <v>GOOD</v>
      </c>
      <c r="W1372" s="6" t="str">
        <f t="shared" si="108"/>
        <v>55+</v>
      </c>
      <c r="X1372" s="6" t="str">
        <f t="shared" si="109"/>
        <v>Low</v>
      </c>
    </row>
    <row r="1373" spans="1:24">
      <c r="A1373" s="6" t="s">
        <v>503</v>
      </c>
      <c r="B1373" s="6" t="s">
        <v>3047</v>
      </c>
      <c r="C1373" s="6" t="s">
        <v>21</v>
      </c>
      <c r="D1373" s="6" t="s">
        <v>32</v>
      </c>
      <c r="E1373" s="6" t="s">
        <v>33</v>
      </c>
      <c r="F1373" s="6">
        <v>90</v>
      </c>
      <c r="G1373" s="6" t="s">
        <v>24</v>
      </c>
      <c r="H1373" s="6" t="s">
        <v>3048</v>
      </c>
      <c r="I1373" s="6" t="s">
        <v>3728</v>
      </c>
      <c r="J1373" s="8">
        <v>43607</v>
      </c>
      <c r="K1373" s="8">
        <v>45299</v>
      </c>
      <c r="L1373" s="6">
        <v>301700.25</v>
      </c>
      <c r="M1373" s="6">
        <v>114000.4</v>
      </c>
      <c r="N1373" s="6">
        <v>840</v>
      </c>
      <c r="O1373" s="6">
        <v>322000</v>
      </c>
      <c r="P1373" s="6" t="s">
        <v>36</v>
      </c>
      <c r="Q1373" s="6" t="s">
        <v>27</v>
      </c>
      <c r="R1373" s="6">
        <v>0</v>
      </c>
      <c r="S1373" s="6" t="s">
        <v>28</v>
      </c>
      <c r="T1373" s="7">
        <f t="shared" si="105"/>
        <v>0.35403850931677017</v>
      </c>
      <c r="U1373" s="6">
        <f t="shared" si="106"/>
        <v>7</v>
      </c>
      <c r="V1373" s="5" t="str">
        <f t="shared" si="107"/>
        <v>EXCEPTIONAL</v>
      </c>
      <c r="W1373" s="6" t="str">
        <f t="shared" si="108"/>
        <v>55+</v>
      </c>
      <c r="X1373" s="6" t="str">
        <f t="shared" si="109"/>
        <v>High</v>
      </c>
    </row>
    <row r="1374" spans="1:24">
      <c r="A1374" s="6" t="s">
        <v>506</v>
      </c>
      <c r="B1374" s="6" t="s">
        <v>3049</v>
      </c>
      <c r="C1374" s="6" t="s">
        <v>39</v>
      </c>
      <c r="D1374" s="6" t="s">
        <v>68</v>
      </c>
      <c r="E1374" s="6" t="s">
        <v>69</v>
      </c>
      <c r="F1374" s="6">
        <v>82</v>
      </c>
      <c r="G1374" s="6" t="s">
        <v>34</v>
      </c>
      <c r="H1374" s="6" t="s">
        <v>3050</v>
      </c>
      <c r="I1374" s="6" t="s">
        <v>4315</v>
      </c>
      <c r="J1374" s="8">
        <v>44126</v>
      </c>
      <c r="K1374" s="8">
        <v>45300</v>
      </c>
      <c r="L1374" s="6">
        <v>182100.4</v>
      </c>
      <c r="M1374" s="6">
        <v>114000.75</v>
      </c>
      <c r="N1374" s="6">
        <v>650</v>
      </c>
      <c r="O1374" s="6">
        <v>217000</v>
      </c>
      <c r="P1374" s="6" t="s">
        <v>76</v>
      </c>
      <c r="Q1374" s="6" t="s">
        <v>27</v>
      </c>
      <c r="R1374" s="6">
        <v>0</v>
      </c>
      <c r="S1374" s="6" t="s">
        <v>28</v>
      </c>
      <c r="T1374" s="7">
        <f t="shared" si="105"/>
        <v>0.52534907834101385</v>
      </c>
      <c r="U1374" s="6">
        <f t="shared" si="106"/>
        <v>6</v>
      </c>
      <c r="V1374" s="5" t="str">
        <f t="shared" si="107"/>
        <v>FAIR</v>
      </c>
      <c r="W1374" s="6" t="str">
        <f t="shared" si="108"/>
        <v>55+</v>
      </c>
      <c r="X1374" s="6" t="str">
        <f t="shared" si="109"/>
        <v>High</v>
      </c>
    </row>
    <row r="1375" spans="1:24">
      <c r="A1375" s="6" t="s">
        <v>509</v>
      </c>
      <c r="B1375" s="6" t="s">
        <v>3051</v>
      </c>
      <c r="C1375" s="6" t="s">
        <v>46</v>
      </c>
      <c r="D1375" s="6" t="s">
        <v>73</v>
      </c>
      <c r="E1375" s="6" t="s">
        <v>158</v>
      </c>
      <c r="F1375" s="6">
        <v>69</v>
      </c>
      <c r="G1375" s="6" t="s">
        <v>24</v>
      </c>
      <c r="H1375" s="6" t="s">
        <v>3052</v>
      </c>
      <c r="I1375" s="6" t="s">
        <v>4339</v>
      </c>
      <c r="J1375" s="8">
        <v>45344</v>
      </c>
      <c r="K1375" s="8">
        <v>45303</v>
      </c>
      <c r="L1375" s="6">
        <v>108900.4</v>
      </c>
      <c r="M1375" s="6">
        <v>65000.25</v>
      </c>
      <c r="N1375" s="6">
        <v>745</v>
      </c>
      <c r="O1375" s="6">
        <v>161000</v>
      </c>
      <c r="P1375" s="6" t="s">
        <v>26</v>
      </c>
      <c r="Q1375" s="6" t="s">
        <v>27</v>
      </c>
      <c r="R1375" s="6">
        <v>0</v>
      </c>
      <c r="S1375" s="6" t="s">
        <v>28</v>
      </c>
      <c r="T1375" s="7">
        <f t="shared" si="105"/>
        <v>0.4037282608695652</v>
      </c>
      <c r="U1375" s="6">
        <f t="shared" si="106"/>
        <v>3</v>
      </c>
      <c r="V1375" s="5" t="str">
        <f t="shared" si="107"/>
        <v>GOOD</v>
      </c>
      <c r="W1375" s="6" t="str">
        <f t="shared" si="108"/>
        <v>55+</v>
      </c>
      <c r="X1375" s="6" t="str">
        <f t="shared" si="109"/>
        <v>Upper-Middle</v>
      </c>
    </row>
    <row r="1376" spans="1:24">
      <c r="A1376" s="6" t="s">
        <v>513</v>
      </c>
      <c r="B1376" s="6" t="s">
        <v>3053</v>
      </c>
      <c r="C1376" s="6" t="s">
        <v>57</v>
      </c>
      <c r="D1376" s="6" t="s">
        <v>58</v>
      </c>
      <c r="E1376" s="6" t="s">
        <v>122</v>
      </c>
      <c r="F1376" s="6">
        <v>64</v>
      </c>
      <c r="G1376" s="6" t="s">
        <v>34</v>
      </c>
      <c r="H1376" s="6" t="s">
        <v>3054</v>
      </c>
      <c r="I1376" s="6" t="s">
        <v>3730</v>
      </c>
      <c r="J1376" s="8">
        <v>45526</v>
      </c>
      <c r="K1376" s="8">
        <v>45302</v>
      </c>
      <c r="L1376" s="6">
        <v>49700.800000000003</v>
      </c>
      <c r="M1376" s="6">
        <v>19200.900000000001</v>
      </c>
      <c r="N1376" s="6">
        <v>765</v>
      </c>
      <c r="O1376" s="6">
        <v>93000</v>
      </c>
      <c r="P1376" s="6" t="s">
        <v>36</v>
      </c>
      <c r="Q1376" s="6" t="s">
        <v>27</v>
      </c>
      <c r="R1376" s="6">
        <v>0</v>
      </c>
      <c r="S1376" s="6" t="s">
        <v>28</v>
      </c>
      <c r="T1376" s="7">
        <f t="shared" si="105"/>
        <v>0.20646129032258065</v>
      </c>
      <c r="U1376" s="6">
        <f t="shared" si="106"/>
        <v>4</v>
      </c>
      <c r="V1376" s="5" t="str">
        <f t="shared" si="107"/>
        <v>VERY GOOD</v>
      </c>
      <c r="W1376" s="6" t="str">
        <f t="shared" si="108"/>
        <v>55+</v>
      </c>
      <c r="X1376" s="6" t="str">
        <f t="shared" si="109"/>
        <v>Lower-Middle</v>
      </c>
    </row>
    <row r="1377" spans="1:24">
      <c r="A1377" s="6" t="s">
        <v>516</v>
      </c>
      <c r="B1377" s="6" t="s">
        <v>3055</v>
      </c>
      <c r="C1377" s="6" t="s">
        <v>52</v>
      </c>
      <c r="D1377" s="6" t="s">
        <v>277</v>
      </c>
      <c r="E1377" s="6" t="s">
        <v>278</v>
      </c>
      <c r="F1377" s="6">
        <v>77</v>
      </c>
      <c r="G1377" s="6" t="s">
        <v>24</v>
      </c>
      <c r="H1377" s="6" t="s">
        <v>3056</v>
      </c>
      <c r="I1377" s="6" t="s">
        <v>3793</v>
      </c>
      <c r="J1377" s="8">
        <v>44795</v>
      </c>
      <c r="K1377" s="8">
        <v>45301</v>
      </c>
      <c r="L1377" s="6">
        <v>83000.75</v>
      </c>
      <c r="M1377" s="6">
        <v>56100.4</v>
      </c>
      <c r="N1377" s="6">
        <v>675</v>
      </c>
      <c r="O1377" s="6">
        <v>133000</v>
      </c>
      <c r="P1377" s="6" t="s">
        <v>26</v>
      </c>
      <c r="Q1377" s="6" t="s">
        <v>27</v>
      </c>
      <c r="R1377" s="6">
        <v>0</v>
      </c>
      <c r="S1377" s="6" t="s">
        <v>28</v>
      </c>
      <c r="T1377" s="7">
        <f t="shared" si="105"/>
        <v>0.42180751879699246</v>
      </c>
      <c r="U1377" s="6">
        <f t="shared" si="106"/>
        <v>5</v>
      </c>
      <c r="V1377" s="5" t="str">
        <f t="shared" si="107"/>
        <v>GOOD</v>
      </c>
      <c r="W1377" s="6" t="str">
        <f t="shared" si="108"/>
        <v>55+</v>
      </c>
      <c r="X1377" s="6" t="str">
        <f t="shared" si="109"/>
        <v>Upper-Middle</v>
      </c>
    </row>
    <row r="1378" spans="1:24">
      <c r="A1378" s="6" t="s">
        <v>519</v>
      </c>
      <c r="B1378" s="6" t="s">
        <v>3057</v>
      </c>
      <c r="C1378" s="6" t="s">
        <v>84</v>
      </c>
      <c r="D1378" s="6" t="s">
        <v>183</v>
      </c>
      <c r="E1378" s="6" t="s">
        <v>184</v>
      </c>
      <c r="F1378" s="6">
        <v>56</v>
      </c>
      <c r="G1378" s="6" t="s">
        <v>34</v>
      </c>
      <c r="H1378" s="6" t="s">
        <v>3058</v>
      </c>
      <c r="I1378" s="6" t="s">
        <v>3732</v>
      </c>
      <c r="J1378" s="8">
        <v>45654</v>
      </c>
      <c r="K1378" s="8">
        <v>45304</v>
      </c>
      <c r="L1378" s="6">
        <v>5400.25</v>
      </c>
      <c r="M1378" s="6">
        <v>16800.599999999999</v>
      </c>
      <c r="N1378" s="6">
        <v>615</v>
      </c>
      <c r="O1378" s="6">
        <v>53000</v>
      </c>
      <c r="P1378" s="6" t="s">
        <v>76</v>
      </c>
      <c r="Q1378" s="6" t="s">
        <v>43</v>
      </c>
      <c r="R1378" s="6">
        <v>0</v>
      </c>
      <c r="S1378" s="6" t="s">
        <v>28</v>
      </c>
      <c r="T1378" s="7">
        <f t="shared" si="105"/>
        <v>0.31699245283018868</v>
      </c>
      <c r="U1378" s="6">
        <f t="shared" si="106"/>
        <v>2</v>
      </c>
      <c r="V1378" s="5" t="str">
        <f t="shared" si="107"/>
        <v>FAIR</v>
      </c>
      <c r="W1378" s="6" t="str">
        <f t="shared" si="108"/>
        <v>55+</v>
      </c>
      <c r="X1378" s="6" t="str">
        <f t="shared" si="109"/>
        <v>Low</v>
      </c>
    </row>
    <row r="1379" spans="1:24">
      <c r="A1379" s="6" t="s">
        <v>522</v>
      </c>
      <c r="B1379" s="6" t="s">
        <v>3059</v>
      </c>
      <c r="C1379" s="6" t="s">
        <v>39</v>
      </c>
      <c r="D1379" s="6" t="s">
        <v>40</v>
      </c>
      <c r="E1379" s="6" t="s">
        <v>94</v>
      </c>
      <c r="F1379" s="6">
        <v>84</v>
      </c>
      <c r="G1379" s="6" t="s">
        <v>24</v>
      </c>
      <c r="H1379" s="6" t="s">
        <v>3060</v>
      </c>
      <c r="I1379" s="6" t="s">
        <v>3510</v>
      </c>
      <c r="J1379" s="8">
        <v>44096</v>
      </c>
      <c r="K1379" s="8">
        <v>45299</v>
      </c>
      <c r="L1379" s="6">
        <v>216700.79999999999</v>
      </c>
      <c r="M1379" s="6">
        <v>127000.25</v>
      </c>
      <c r="N1379" s="6">
        <v>660</v>
      </c>
      <c r="O1379" s="6">
        <v>252000</v>
      </c>
      <c r="P1379" s="6" t="s">
        <v>76</v>
      </c>
      <c r="Q1379" s="6" t="s">
        <v>27</v>
      </c>
      <c r="R1379" s="6">
        <v>0</v>
      </c>
      <c r="S1379" s="6" t="s">
        <v>28</v>
      </c>
      <c r="T1379" s="7">
        <f t="shared" si="105"/>
        <v>0.50396924603174598</v>
      </c>
      <c r="U1379" s="6">
        <f t="shared" si="106"/>
        <v>7</v>
      </c>
      <c r="V1379" s="5" t="str">
        <f t="shared" si="107"/>
        <v>FAIR</v>
      </c>
      <c r="W1379" s="6" t="str">
        <f t="shared" si="108"/>
        <v>55+</v>
      </c>
      <c r="X1379" s="6" t="str">
        <f t="shared" si="109"/>
        <v>High</v>
      </c>
    </row>
    <row r="1380" spans="1:24">
      <c r="A1380" s="6" t="s">
        <v>306</v>
      </c>
      <c r="B1380" s="6" t="s">
        <v>3061</v>
      </c>
      <c r="C1380" s="6" t="s">
        <v>46</v>
      </c>
      <c r="D1380" s="6" t="s">
        <v>209</v>
      </c>
      <c r="E1380" s="6" t="s">
        <v>703</v>
      </c>
      <c r="F1380" s="6">
        <v>71</v>
      </c>
      <c r="G1380" s="6" t="s">
        <v>34</v>
      </c>
      <c r="H1380" s="6" t="s">
        <v>3062</v>
      </c>
      <c r="I1380" s="6" t="s">
        <v>3978</v>
      </c>
      <c r="J1380" s="8">
        <v>44948</v>
      </c>
      <c r="K1380" s="8">
        <v>45302</v>
      </c>
      <c r="L1380" s="6">
        <v>104100.9</v>
      </c>
      <c r="M1380" s="6">
        <v>61900.75</v>
      </c>
      <c r="N1380" s="6">
        <v>730</v>
      </c>
      <c r="O1380" s="6">
        <v>156000</v>
      </c>
      <c r="P1380" s="6" t="s">
        <v>26</v>
      </c>
      <c r="Q1380" s="6" t="s">
        <v>27</v>
      </c>
      <c r="R1380" s="6">
        <v>0</v>
      </c>
      <c r="S1380" s="6" t="s">
        <v>28</v>
      </c>
      <c r="T1380" s="7">
        <f t="shared" si="105"/>
        <v>0.39679967948717948</v>
      </c>
      <c r="U1380" s="6">
        <f t="shared" si="106"/>
        <v>4</v>
      </c>
      <c r="V1380" s="5" t="str">
        <f t="shared" si="107"/>
        <v>GOOD</v>
      </c>
      <c r="W1380" s="6" t="str">
        <f t="shared" si="108"/>
        <v>55+</v>
      </c>
      <c r="X1380" s="6" t="str">
        <f t="shared" si="109"/>
        <v>Upper-Middle</v>
      </c>
    </row>
    <row r="1381" spans="1:24">
      <c r="A1381" s="6" t="s">
        <v>527</v>
      </c>
      <c r="B1381" s="6" t="s">
        <v>3063</v>
      </c>
      <c r="C1381" s="6" t="s">
        <v>31</v>
      </c>
      <c r="D1381" s="6" t="s">
        <v>32</v>
      </c>
      <c r="E1381" s="6" t="s">
        <v>90</v>
      </c>
      <c r="F1381" s="6">
        <v>60</v>
      </c>
      <c r="G1381" s="6" t="s">
        <v>34</v>
      </c>
      <c r="H1381" s="6" t="s">
        <v>3064</v>
      </c>
      <c r="I1381" s="6" t="s">
        <v>3620</v>
      </c>
      <c r="J1381" s="8">
        <v>45648</v>
      </c>
      <c r="K1381" s="8">
        <v>45305</v>
      </c>
      <c r="L1381" s="6">
        <v>21700.400000000001</v>
      </c>
      <c r="M1381" s="6">
        <v>11800.25</v>
      </c>
      <c r="N1381" s="6">
        <v>705</v>
      </c>
      <c r="O1381" s="6">
        <v>70000</v>
      </c>
      <c r="P1381" s="6" t="s">
        <v>26</v>
      </c>
      <c r="Q1381" s="6" t="s">
        <v>43</v>
      </c>
      <c r="R1381" s="6">
        <v>0</v>
      </c>
      <c r="S1381" s="6" t="s">
        <v>28</v>
      </c>
      <c r="T1381" s="7">
        <f t="shared" si="105"/>
        <v>0.168575</v>
      </c>
      <c r="U1381" s="6">
        <f t="shared" si="106"/>
        <v>1</v>
      </c>
      <c r="V1381" s="5" t="str">
        <f t="shared" si="107"/>
        <v>GOOD</v>
      </c>
      <c r="W1381" s="6" t="str">
        <f t="shared" si="108"/>
        <v>55+</v>
      </c>
      <c r="X1381" s="6" t="str">
        <f t="shared" si="109"/>
        <v>Low</v>
      </c>
    </row>
    <row r="1382" spans="1:24">
      <c r="A1382" s="6" t="s">
        <v>530</v>
      </c>
      <c r="B1382" s="6" t="s">
        <v>3065</v>
      </c>
      <c r="C1382" s="6" t="s">
        <v>57</v>
      </c>
      <c r="D1382" s="6" t="s">
        <v>219</v>
      </c>
      <c r="E1382" s="6" t="s">
        <v>220</v>
      </c>
      <c r="F1382" s="6">
        <v>65</v>
      </c>
      <c r="G1382" s="6" t="s">
        <v>24</v>
      </c>
      <c r="H1382" s="6" t="s">
        <v>3066</v>
      </c>
      <c r="I1382" s="6" t="s">
        <v>4340</v>
      </c>
      <c r="J1382" s="8">
        <v>45495</v>
      </c>
      <c r="K1382" s="8">
        <v>45303</v>
      </c>
      <c r="L1382" s="6">
        <v>48600.6</v>
      </c>
      <c r="M1382" s="6">
        <v>18600.8</v>
      </c>
      <c r="N1382" s="6">
        <v>710</v>
      </c>
      <c r="O1382" s="6">
        <v>86000</v>
      </c>
      <c r="P1382" s="6" t="s">
        <v>36</v>
      </c>
      <c r="Q1382" s="6" t="s">
        <v>27</v>
      </c>
      <c r="R1382" s="6">
        <v>0</v>
      </c>
      <c r="S1382" s="6" t="s">
        <v>28</v>
      </c>
      <c r="T1382" s="7">
        <f t="shared" si="105"/>
        <v>0.21628837209302323</v>
      </c>
      <c r="U1382" s="6">
        <f t="shared" si="106"/>
        <v>3</v>
      </c>
      <c r="V1382" s="5" t="str">
        <f t="shared" si="107"/>
        <v>GOOD</v>
      </c>
      <c r="W1382" s="6" t="str">
        <f t="shared" si="108"/>
        <v>55+</v>
      </c>
      <c r="X1382" s="6" t="str">
        <f t="shared" si="109"/>
        <v>Lower-Middle</v>
      </c>
    </row>
    <row r="1383" spans="1:24">
      <c r="A1383" s="6" t="s">
        <v>533</v>
      </c>
      <c r="B1383" s="6" t="s">
        <v>3067</v>
      </c>
      <c r="C1383" s="6" t="s">
        <v>52</v>
      </c>
      <c r="D1383" s="6" t="s">
        <v>204</v>
      </c>
      <c r="E1383" s="6" t="s">
        <v>259</v>
      </c>
      <c r="F1383" s="6">
        <v>72</v>
      </c>
      <c r="G1383" s="6" t="s">
        <v>34</v>
      </c>
      <c r="H1383" s="6" t="s">
        <v>3068</v>
      </c>
      <c r="I1383" s="6" t="s">
        <v>3797</v>
      </c>
      <c r="J1383" s="8">
        <v>44795</v>
      </c>
      <c r="K1383" s="8">
        <v>45301</v>
      </c>
      <c r="L1383" s="6">
        <v>79900.25</v>
      </c>
      <c r="M1383" s="6">
        <v>53000.9</v>
      </c>
      <c r="N1383" s="6">
        <v>695</v>
      </c>
      <c r="O1383" s="6">
        <v>121000</v>
      </c>
      <c r="P1383" s="6" t="s">
        <v>26</v>
      </c>
      <c r="Q1383" s="6" t="s">
        <v>27</v>
      </c>
      <c r="R1383" s="6">
        <v>0</v>
      </c>
      <c r="S1383" s="6" t="s">
        <v>28</v>
      </c>
      <c r="T1383" s="7">
        <f t="shared" si="105"/>
        <v>0.43802396694214879</v>
      </c>
      <c r="U1383" s="6">
        <f t="shared" si="106"/>
        <v>5</v>
      </c>
      <c r="V1383" s="5" t="str">
        <f t="shared" si="107"/>
        <v>GOOD</v>
      </c>
      <c r="W1383" s="6" t="str">
        <f t="shared" si="108"/>
        <v>55+</v>
      </c>
      <c r="X1383" s="6" t="str">
        <f t="shared" si="109"/>
        <v>Lower-Middle</v>
      </c>
    </row>
    <row r="1384" spans="1:24">
      <c r="A1384" s="6" t="s">
        <v>536</v>
      </c>
      <c r="B1384" s="6" t="s">
        <v>3069</v>
      </c>
      <c r="C1384" s="6" t="s">
        <v>39</v>
      </c>
      <c r="D1384" s="6" t="s">
        <v>195</v>
      </c>
      <c r="E1384" s="6" t="s">
        <v>196</v>
      </c>
      <c r="F1384" s="6">
        <v>80</v>
      </c>
      <c r="G1384" s="6" t="s">
        <v>24</v>
      </c>
      <c r="H1384" s="6" t="s">
        <v>3070</v>
      </c>
      <c r="I1384" s="6" t="s">
        <v>4341</v>
      </c>
      <c r="J1384" s="8">
        <v>44249</v>
      </c>
      <c r="K1384" s="8">
        <v>45300</v>
      </c>
      <c r="L1384" s="6">
        <v>148900.4</v>
      </c>
      <c r="M1384" s="6">
        <v>101000.6</v>
      </c>
      <c r="N1384" s="6">
        <v>670</v>
      </c>
      <c r="O1384" s="6">
        <v>188000</v>
      </c>
      <c r="P1384" s="6" t="s">
        <v>76</v>
      </c>
      <c r="Q1384" s="6" t="s">
        <v>27</v>
      </c>
      <c r="R1384" s="6">
        <v>0</v>
      </c>
      <c r="S1384" s="6" t="s">
        <v>28</v>
      </c>
      <c r="T1384" s="7">
        <f t="shared" si="105"/>
        <v>0.53723723404255319</v>
      </c>
      <c r="U1384" s="6">
        <f t="shared" si="106"/>
        <v>6</v>
      </c>
      <c r="V1384" s="5" t="str">
        <f t="shared" si="107"/>
        <v>GOOD</v>
      </c>
      <c r="W1384" s="6" t="str">
        <f t="shared" si="108"/>
        <v>55+</v>
      </c>
      <c r="X1384" s="6" t="str">
        <f t="shared" si="109"/>
        <v>Upper-Middle</v>
      </c>
    </row>
    <row r="1385" spans="1:24">
      <c r="A1385" s="6" t="s">
        <v>539</v>
      </c>
      <c r="B1385" s="6" t="s">
        <v>3071</v>
      </c>
      <c r="C1385" s="6" t="s">
        <v>21</v>
      </c>
      <c r="D1385" s="6" t="s">
        <v>58</v>
      </c>
      <c r="E1385" s="6" t="s">
        <v>59</v>
      </c>
      <c r="F1385" s="6">
        <v>88</v>
      </c>
      <c r="G1385" s="6" t="s">
        <v>34</v>
      </c>
      <c r="H1385" s="6" t="s">
        <v>3072</v>
      </c>
      <c r="I1385" s="6" t="s">
        <v>3737</v>
      </c>
      <c r="J1385" s="8">
        <v>43821</v>
      </c>
      <c r="K1385" s="8">
        <v>45299</v>
      </c>
      <c r="L1385" s="6">
        <v>315800.75</v>
      </c>
      <c r="M1385" s="6">
        <v>118000.8</v>
      </c>
      <c r="N1385" s="6">
        <v>835</v>
      </c>
      <c r="O1385" s="6">
        <v>333000</v>
      </c>
      <c r="P1385" s="6" t="s">
        <v>36</v>
      </c>
      <c r="Q1385" s="6" t="s">
        <v>27</v>
      </c>
      <c r="R1385" s="6">
        <v>0</v>
      </c>
      <c r="S1385" s="6" t="s">
        <v>28</v>
      </c>
      <c r="T1385" s="7">
        <f t="shared" si="105"/>
        <v>0.35435675675675676</v>
      </c>
      <c r="U1385" s="6">
        <f t="shared" si="106"/>
        <v>7</v>
      </c>
      <c r="V1385" s="5" t="str">
        <f t="shared" si="107"/>
        <v>EXCEPTIONAL</v>
      </c>
      <c r="W1385" s="6" t="str">
        <f t="shared" si="108"/>
        <v>55+</v>
      </c>
      <c r="X1385" s="6" t="str">
        <f t="shared" si="109"/>
        <v>High</v>
      </c>
    </row>
    <row r="1386" spans="1:24">
      <c r="A1386" s="6" t="s">
        <v>542</v>
      </c>
      <c r="B1386" s="6" t="s">
        <v>3073</v>
      </c>
      <c r="C1386" s="6" t="s">
        <v>52</v>
      </c>
      <c r="D1386" s="6" t="s">
        <v>68</v>
      </c>
      <c r="E1386" s="6" t="s">
        <v>69</v>
      </c>
      <c r="F1386" s="6">
        <v>75</v>
      </c>
      <c r="G1386" s="6" t="s">
        <v>34</v>
      </c>
      <c r="H1386" s="6" t="s">
        <v>3074</v>
      </c>
      <c r="I1386" s="6" t="s">
        <v>4331</v>
      </c>
      <c r="J1386" s="8">
        <v>44764</v>
      </c>
      <c r="K1386" s="8">
        <v>45302</v>
      </c>
      <c r="L1386" s="6">
        <v>88600.6</v>
      </c>
      <c r="M1386" s="6">
        <v>58600.25</v>
      </c>
      <c r="N1386" s="6">
        <v>665</v>
      </c>
      <c r="O1386" s="6">
        <v>141000</v>
      </c>
      <c r="P1386" s="6" t="s">
        <v>26</v>
      </c>
      <c r="Q1386" s="6" t="s">
        <v>27</v>
      </c>
      <c r="R1386" s="6">
        <v>0</v>
      </c>
      <c r="S1386" s="6" t="s">
        <v>28</v>
      </c>
      <c r="T1386" s="7">
        <f t="shared" si="105"/>
        <v>0.41560460992907799</v>
      </c>
      <c r="U1386" s="6">
        <f t="shared" si="106"/>
        <v>4</v>
      </c>
      <c r="V1386" s="5" t="str">
        <f t="shared" si="107"/>
        <v>FAIR</v>
      </c>
      <c r="W1386" s="6" t="str">
        <f t="shared" si="108"/>
        <v>55+</v>
      </c>
      <c r="X1386" s="6" t="str">
        <f t="shared" si="109"/>
        <v>Upper-Middle</v>
      </c>
    </row>
    <row r="1387" spans="1:24">
      <c r="A1387" s="6" t="s">
        <v>545</v>
      </c>
      <c r="B1387" s="6" t="s">
        <v>3075</v>
      </c>
      <c r="C1387" s="6" t="s">
        <v>46</v>
      </c>
      <c r="D1387" s="6" t="s">
        <v>241</v>
      </c>
      <c r="E1387" s="6" t="s">
        <v>242</v>
      </c>
      <c r="F1387" s="6">
        <v>67</v>
      </c>
      <c r="G1387" s="6" t="s">
        <v>24</v>
      </c>
      <c r="H1387" s="6" t="s">
        <v>3076</v>
      </c>
      <c r="I1387" s="6" t="s">
        <v>4342</v>
      </c>
      <c r="J1387" s="8">
        <v>45404</v>
      </c>
      <c r="K1387" s="8">
        <v>45303</v>
      </c>
      <c r="L1387" s="6">
        <v>111900.8</v>
      </c>
      <c r="M1387" s="6">
        <v>66100.399999999994</v>
      </c>
      <c r="N1387" s="6">
        <v>750</v>
      </c>
      <c r="O1387" s="6">
        <v>167000</v>
      </c>
      <c r="P1387" s="6" t="s">
        <v>26</v>
      </c>
      <c r="Q1387" s="6" t="s">
        <v>27</v>
      </c>
      <c r="R1387" s="6">
        <v>0</v>
      </c>
      <c r="S1387" s="6" t="s">
        <v>28</v>
      </c>
      <c r="T1387" s="7">
        <f t="shared" si="105"/>
        <v>0.39581077844311374</v>
      </c>
      <c r="U1387" s="6">
        <f t="shared" si="106"/>
        <v>3</v>
      </c>
      <c r="V1387" s="5" t="str">
        <f t="shared" si="107"/>
        <v>VERY GOOD</v>
      </c>
      <c r="W1387" s="6" t="str">
        <f t="shared" si="108"/>
        <v>55+</v>
      </c>
      <c r="X1387" s="6" t="str">
        <f t="shared" si="109"/>
        <v>Upper-Middle</v>
      </c>
    </row>
    <row r="1388" spans="1:24">
      <c r="A1388" s="6" t="s">
        <v>548</v>
      </c>
      <c r="B1388" s="6" t="s">
        <v>3077</v>
      </c>
      <c r="C1388" s="6" t="s">
        <v>57</v>
      </c>
      <c r="D1388" s="6" t="s">
        <v>22</v>
      </c>
      <c r="E1388" s="6" t="s">
        <v>118</v>
      </c>
      <c r="F1388" s="6">
        <v>63</v>
      </c>
      <c r="G1388" s="6" t="s">
        <v>34</v>
      </c>
      <c r="H1388" s="6" t="s">
        <v>3078</v>
      </c>
      <c r="I1388" s="6" t="s">
        <v>3831</v>
      </c>
      <c r="J1388" s="8">
        <v>45587</v>
      </c>
      <c r="K1388" s="8">
        <v>45305</v>
      </c>
      <c r="L1388" s="6">
        <v>50800.9</v>
      </c>
      <c r="M1388" s="6">
        <v>19600.75</v>
      </c>
      <c r="N1388" s="6">
        <v>770</v>
      </c>
      <c r="O1388" s="6">
        <v>98000</v>
      </c>
      <c r="P1388" s="6" t="s">
        <v>36</v>
      </c>
      <c r="Q1388" s="6" t="s">
        <v>27</v>
      </c>
      <c r="R1388" s="6">
        <v>0</v>
      </c>
      <c r="S1388" s="6" t="s">
        <v>28</v>
      </c>
      <c r="T1388" s="7">
        <f t="shared" si="105"/>
        <v>0.20000765306122448</v>
      </c>
      <c r="U1388" s="6">
        <f t="shared" si="106"/>
        <v>1</v>
      </c>
      <c r="V1388" s="5" t="str">
        <f t="shared" si="107"/>
        <v>VERY GOOD</v>
      </c>
      <c r="W1388" s="6" t="str">
        <f t="shared" si="108"/>
        <v>55+</v>
      </c>
      <c r="X1388" s="6" t="str">
        <f t="shared" si="109"/>
        <v>Lower-Middle</v>
      </c>
    </row>
    <row r="1389" spans="1:24">
      <c r="A1389" s="6" t="s">
        <v>551</v>
      </c>
      <c r="B1389" s="6" t="s">
        <v>3079</v>
      </c>
      <c r="C1389" s="6" t="s">
        <v>39</v>
      </c>
      <c r="D1389" s="6" t="s">
        <v>313</v>
      </c>
      <c r="E1389" s="6" t="s">
        <v>314</v>
      </c>
      <c r="F1389" s="6">
        <v>86</v>
      </c>
      <c r="G1389" s="6" t="s">
        <v>24</v>
      </c>
      <c r="H1389" s="6" t="s">
        <v>3080</v>
      </c>
      <c r="I1389" s="6" t="s">
        <v>4343</v>
      </c>
      <c r="J1389" s="8">
        <v>44004</v>
      </c>
      <c r="K1389" s="8">
        <v>45299</v>
      </c>
      <c r="L1389" s="6">
        <v>202000.25</v>
      </c>
      <c r="M1389" s="6">
        <v>122000.8</v>
      </c>
      <c r="N1389" s="6">
        <v>645</v>
      </c>
      <c r="O1389" s="6">
        <v>238000</v>
      </c>
      <c r="P1389" s="6" t="s">
        <v>76</v>
      </c>
      <c r="Q1389" s="6" t="s">
        <v>27</v>
      </c>
      <c r="R1389" s="6">
        <v>0</v>
      </c>
      <c r="S1389" s="6" t="s">
        <v>28</v>
      </c>
      <c r="T1389" s="7">
        <f t="shared" si="105"/>
        <v>0.5126084033613445</v>
      </c>
      <c r="U1389" s="6">
        <f t="shared" si="106"/>
        <v>7</v>
      </c>
      <c r="V1389" s="5" t="str">
        <f t="shared" si="107"/>
        <v>FAIR</v>
      </c>
      <c r="W1389" s="6" t="str">
        <f t="shared" si="108"/>
        <v>55+</v>
      </c>
      <c r="X1389" s="6" t="str">
        <f t="shared" si="109"/>
        <v>High</v>
      </c>
    </row>
    <row r="1390" spans="1:24">
      <c r="A1390" s="6" t="s">
        <v>554</v>
      </c>
      <c r="B1390" s="6" t="s">
        <v>3081</v>
      </c>
      <c r="C1390" s="6" t="s">
        <v>31</v>
      </c>
      <c r="D1390" s="6" t="s">
        <v>214</v>
      </c>
      <c r="E1390" s="6" t="s">
        <v>724</v>
      </c>
      <c r="F1390" s="6">
        <v>59</v>
      </c>
      <c r="G1390" s="6" t="s">
        <v>34</v>
      </c>
      <c r="H1390" s="6" t="s">
        <v>3082</v>
      </c>
      <c r="I1390" s="6" t="s">
        <v>4344</v>
      </c>
      <c r="J1390" s="8">
        <v>45654</v>
      </c>
      <c r="K1390" s="8">
        <v>45306</v>
      </c>
      <c r="L1390" s="6">
        <v>43200.5</v>
      </c>
      <c r="M1390" s="6">
        <v>19200.400000000001</v>
      </c>
      <c r="N1390" s="6">
        <v>720</v>
      </c>
      <c r="O1390" s="6">
        <v>75000</v>
      </c>
      <c r="P1390" s="6" t="s">
        <v>36</v>
      </c>
      <c r="Q1390" s="6" t="s">
        <v>27</v>
      </c>
      <c r="R1390" s="6">
        <v>0</v>
      </c>
      <c r="S1390" s="6" t="s">
        <v>28</v>
      </c>
      <c r="T1390" s="7">
        <f t="shared" si="105"/>
        <v>0.25600533333333336</v>
      </c>
      <c r="U1390" s="6">
        <f t="shared" si="106"/>
        <v>0</v>
      </c>
      <c r="V1390" s="5" t="str">
        <f t="shared" si="107"/>
        <v>GOOD</v>
      </c>
      <c r="W1390" s="6" t="str">
        <f t="shared" si="108"/>
        <v>55+</v>
      </c>
      <c r="X1390" s="6" t="str">
        <f t="shared" si="109"/>
        <v>Lower-Middle</v>
      </c>
    </row>
    <row r="1391" spans="1:24">
      <c r="A1391" s="6" t="s">
        <v>108</v>
      </c>
      <c r="B1391" s="6" t="s">
        <v>3083</v>
      </c>
      <c r="C1391" s="6" t="s">
        <v>84</v>
      </c>
      <c r="D1391" s="6" t="s">
        <v>32</v>
      </c>
      <c r="E1391" s="6" t="s">
        <v>33</v>
      </c>
      <c r="F1391" s="6">
        <v>55</v>
      </c>
      <c r="G1391" s="6" t="s">
        <v>24</v>
      </c>
      <c r="H1391" s="6" t="s">
        <v>3084</v>
      </c>
      <c r="I1391" s="6" t="s">
        <v>3620</v>
      </c>
      <c r="J1391" s="8">
        <v>45654</v>
      </c>
      <c r="K1391" s="8">
        <v>45304</v>
      </c>
      <c r="L1391" s="6">
        <v>5150.8</v>
      </c>
      <c r="M1391" s="6">
        <v>15200.25</v>
      </c>
      <c r="N1391" s="6">
        <v>605</v>
      </c>
      <c r="O1391" s="6">
        <v>51000</v>
      </c>
      <c r="P1391" s="6" t="s">
        <v>76</v>
      </c>
      <c r="Q1391" s="6" t="s">
        <v>43</v>
      </c>
      <c r="R1391" s="6">
        <v>0</v>
      </c>
      <c r="S1391" s="6" t="s">
        <v>28</v>
      </c>
      <c r="T1391" s="7">
        <f t="shared" si="105"/>
        <v>0.29804411764705885</v>
      </c>
      <c r="U1391" s="6">
        <f t="shared" si="106"/>
        <v>2</v>
      </c>
      <c r="V1391" s="5" t="str">
        <f t="shared" si="107"/>
        <v>FAIR</v>
      </c>
      <c r="W1391" s="6" t="str">
        <f t="shared" si="108"/>
        <v>55+</v>
      </c>
      <c r="X1391" s="6" t="str">
        <f t="shared" si="109"/>
        <v>Low</v>
      </c>
    </row>
    <row r="1392" spans="1:24">
      <c r="A1392" s="6" t="s">
        <v>559</v>
      </c>
      <c r="B1392" s="6" t="s">
        <v>3085</v>
      </c>
      <c r="C1392" s="6" t="s">
        <v>46</v>
      </c>
      <c r="D1392" s="6" t="s">
        <v>254</v>
      </c>
      <c r="E1392" s="6" t="s">
        <v>255</v>
      </c>
      <c r="F1392" s="6">
        <v>69</v>
      </c>
      <c r="G1392" s="6" t="s">
        <v>34</v>
      </c>
      <c r="H1392" s="6" t="s">
        <v>3086</v>
      </c>
      <c r="I1392" s="6" t="s">
        <v>4345</v>
      </c>
      <c r="J1392" s="8">
        <v>45282</v>
      </c>
      <c r="K1392" s="8">
        <v>45302</v>
      </c>
      <c r="L1392" s="6">
        <v>98600.4</v>
      </c>
      <c r="M1392" s="6">
        <v>60800.75</v>
      </c>
      <c r="N1392" s="6">
        <v>710</v>
      </c>
      <c r="O1392" s="6">
        <v>149000</v>
      </c>
      <c r="P1392" s="6" t="s">
        <v>26</v>
      </c>
      <c r="Q1392" s="6" t="s">
        <v>27</v>
      </c>
      <c r="R1392" s="6">
        <v>0</v>
      </c>
      <c r="S1392" s="6" t="s">
        <v>28</v>
      </c>
      <c r="T1392" s="7">
        <f t="shared" si="105"/>
        <v>0.40805872483221478</v>
      </c>
      <c r="U1392" s="6">
        <f t="shared" si="106"/>
        <v>4</v>
      </c>
      <c r="V1392" s="5" t="str">
        <f t="shared" si="107"/>
        <v>GOOD</v>
      </c>
      <c r="W1392" s="6" t="str">
        <f t="shared" si="108"/>
        <v>55+</v>
      </c>
      <c r="X1392" s="6" t="str">
        <f t="shared" si="109"/>
        <v>Upper-Middle</v>
      </c>
    </row>
    <row r="1393" spans="1:24">
      <c r="A1393" s="6" t="s">
        <v>562</v>
      </c>
      <c r="B1393" s="6" t="s">
        <v>3087</v>
      </c>
      <c r="C1393" s="6" t="s">
        <v>39</v>
      </c>
      <c r="D1393" s="6" t="s">
        <v>47</v>
      </c>
      <c r="E1393" s="6" t="s">
        <v>98</v>
      </c>
      <c r="F1393" s="6">
        <v>83</v>
      </c>
      <c r="G1393" s="6" t="s">
        <v>24</v>
      </c>
      <c r="H1393" s="6" t="s">
        <v>3088</v>
      </c>
      <c r="I1393" s="6" t="s">
        <v>3743</v>
      </c>
      <c r="J1393" s="8">
        <v>44157</v>
      </c>
      <c r="K1393" s="8">
        <v>45300</v>
      </c>
      <c r="L1393" s="6">
        <v>182200.6</v>
      </c>
      <c r="M1393" s="6">
        <v>115000.25</v>
      </c>
      <c r="N1393" s="6">
        <v>675</v>
      </c>
      <c r="O1393" s="6">
        <v>218000</v>
      </c>
      <c r="P1393" s="6" t="s">
        <v>76</v>
      </c>
      <c r="Q1393" s="6" t="s">
        <v>27</v>
      </c>
      <c r="R1393" s="6">
        <v>0</v>
      </c>
      <c r="S1393" s="6" t="s">
        <v>28</v>
      </c>
      <c r="T1393" s="7">
        <f t="shared" si="105"/>
        <v>0.52752408256880734</v>
      </c>
      <c r="U1393" s="6">
        <f t="shared" si="106"/>
        <v>6</v>
      </c>
      <c r="V1393" s="5" t="str">
        <f t="shared" si="107"/>
        <v>GOOD</v>
      </c>
      <c r="W1393" s="6" t="str">
        <f t="shared" si="108"/>
        <v>55+</v>
      </c>
      <c r="X1393" s="6" t="str">
        <f t="shared" si="109"/>
        <v>High</v>
      </c>
    </row>
    <row r="1394" spans="1:24">
      <c r="A1394" s="6" t="s">
        <v>565</v>
      </c>
      <c r="B1394" s="6" t="s">
        <v>3089</v>
      </c>
      <c r="C1394" s="6" t="s">
        <v>52</v>
      </c>
      <c r="D1394" s="6" t="s">
        <v>233</v>
      </c>
      <c r="E1394" s="6" t="s">
        <v>234</v>
      </c>
      <c r="F1394" s="6">
        <v>68</v>
      </c>
      <c r="G1394" s="6" t="s">
        <v>34</v>
      </c>
      <c r="H1394" s="6" t="s">
        <v>3090</v>
      </c>
      <c r="I1394" s="6" t="s">
        <v>3744</v>
      </c>
      <c r="J1394" s="8">
        <v>45068</v>
      </c>
      <c r="K1394" s="8">
        <v>45301</v>
      </c>
      <c r="L1394" s="6">
        <v>75000.75</v>
      </c>
      <c r="M1394" s="6">
        <v>51900.800000000003</v>
      </c>
      <c r="N1394" s="6">
        <v>725</v>
      </c>
      <c r="O1394" s="6">
        <v>115000</v>
      </c>
      <c r="P1394" s="6" t="s">
        <v>26</v>
      </c>
      <c r="Q1394" s="6" t="s">
        <v>27</v>
      </c>
      <c r="R1394" s="6">
        <v>0</v>
      </c>
      <c r="S1394" s="6" t="s">
        <v>28</v>
      </c>
      <c r="T1394" s="7">
        <f t="shared" si="105"/>
        <v>0.45131130434782613</v>
      </c>
      <c r="U1394" s="6">
        <f t="shared" si="106"/>
        <v>5</v>
      </c>
      <c r="V1394" s="5" t="str">
        <f t="shared" si="107"/>
        <v>GOOD</v>
      </c>
      <c r="W1394" s="6" t="str">
        <f t="shared" si="108"/>
        <v>55+</v>
      </c>
      <c r="X1394" s="6" t="str">
        <f t="shared" si="109"/>
        <v>Lower-Middle</v>
      </c>
    </row>
    <row r="1395" spans="1:24">
      <c r="A1395" s="6" t="s">
        <v>568</v>
      </c>
      <c r="B1395" s="6" t="s">
        <v>3091</v>
      </c>
      <c r="C1395" s="6" t="s">
        <v>57</v>
      </c>
      <c r="D1395" s="6" t="s">
        <v>79</v>
      </c>
      <c r="E1395" s="6" t="s">
        <v>80</v>
      </c>
      <c r="F1395" s="6">
        <v>66</v>
      </c>
      <c r="G1395" s="6" t="s">
        <v>24</v>
      </c>
      <c r="H1395" s="6" t="s">
        <v>3092</v>
      </c>
      <c r="I1395" s="6" t="s">
        <v>3745</v>
      </c>
      <c r="J1395" s="8">
        <v>45526</v>
      </c>
      <c r="K1395" s="8">
        <v>45303</v>
      </c>
      <c r="L1395" s="6">
        <v>53000.4</v>
      </c>
      <c r="M1395" s="6">
        <v>20400.900000000001</v>
      </c>
      <c r="N1395" s="6">
        <v>740</v>
      </c>
      <c r="O1395" s="6">
        <v>101000</v>
      </c>
      <c r="P1395" s="6" t="s">
        <v>36</v>
      </c>
      <c r="Q1395" s="6" t="s">
        <v>27</v>
      </c>
      <c r="R1395" s="6">
        <v>0</v>
      </c>
      <c r="S1395" s="6" t="s">
        <v>28</v>
      </c>
      <c r="T1395" s="7">
        <f t="shared" si="105"/>
        <v>0.20198910891089111</v>
      </c>
      <c r="U1395" s="6">
        <f t="shared" si="106"/>
        <v>3</v>
      </c>
      <c r="V1395" s="5" t="str">
        <f t="shared" si="107"/>
        <v>GOOD</v>
      </c>
      <c r="W1395" s="6" t="str">
        <f t="shared" si="108"/>
        <v>55+</v>
      </c>
      <c r="X1395" s="6" t="str">
        <f t="shared" si="109"/>
        <v>Lower-Middle</v>
      </c>
    </row>
    <row r="1396" spans="1:24">
      <c r="A1396" s="6" t="s">
        <v>571</v>
      </c>
      <c r="B1396" s="6" t="s">
        <v>3093</v>
      </c>
      <c r="C1396" s="6" t="s">
        <v>21</v>
      </c>
      <c r="D1396" s="6" t="s">
        <v>63</v>
      </c>
      <c r="E1396" s="6" t="s">
        <v>3514</v>
      </c>
      <c r="F1396" s="6">
        <v>89</v>
      </c>
      <c r="G1396" s="6" t="s">
        <v>34</v>
      </c>
      <c r="H1396" s="6" t="s">
        <v>3094</v>
      </c>
      <c r="I1396" s="6" t="s">
        <v>4183</v>
      </c>
      <c r="J1396" s="8">
        <v>43699</v>
      </c>
      <c r="K1396" s="8">
        <v>45299</v>
      </c>
      <c r="L1396" s="6">
        <v>271100.90000000002</v>
      </c>
      <c r="M1396" s="6">
        <v>105000.6</v>
      </c>
      <c r="N1396" s="6">
        <v>830</v>
      </c>
      <c r="O1396" s="6">
        <v>313000</v>
      </c>
      <c r="P1396" s="6" t="s">
        <v>36</v>
      </c>
      <c r="Q1396" s="6" t="s">
        <v>27</v>
      </c>
      <c r="R1396" s="6">
        <v>0</v>
      </c>
      <c r="S1396" s="6" t="s">
        <v>28</v>
      </c>
      <c r="T1396" s="7">
        <f t="shared" si="105"/>
        <v>0.33546517571884987</v>
      </c>
      <c r="U1396" s="6">
        <f t="shared" si="106"/>
        <v>7</v>
      </c>
      <c r="V1396" s="5" t="str">
        <f t="shared" si="107"/>
        <v>EXCEPTIONAL</v>
      </c>
      <c r="W1396" s="6" t="str">
        <f t="shared" si="108"/>
        <v>55+</v>
      </c>
      <c r="X1396" s="6" t="str">
        <f t="shared" si="109"/>
        <v>High</v>
      </c>
    </row>
    <row r="1397" spans="1:24">
      <c r="A1397" s="6" t="s">
        <v>574</v>
      </c>
      <c r="B1397" s="6" t="s">
        <v>3095</v>
      </c>
      <c r="C1397" s="6" t="s">
        <v>39</v>
      </c>
      <c r="D1397" s="6" t="s">
        <v>68</v>
      </c>
      <c r="E1397" s="6" t="s">
        <v>114</v>
      </c>
      <c r="F1397" s="6">
        <v>81</v>
      </c>
      <c r="G1397" s="6" t="s">
        <v>24</v>
      </c>
      <c r="H1397" s="6" t="s">
        <v>3096</v>
      </c>
      <c r="I1397" s="6" t="s">
        <v>4346</v>
      </c>
      <c r="J1397" s="8">
        <v>44298</v>
      </c>
      <c r="K1397" s="8">
        <v>45300</v>
      </c>
      <c r="L1397" s="6">
        <v>160000.25</v>
      </c>
      <c r="M1397" s="6">
        <v>107000.4</v>
      </c>
      <c r="N1397" s="6">
        <v>655</v>
      </c>
      <c r="O1397" s="6">
        <v>203000</v>
      </c>
      <c r="P1397" s="6" t="s">
        <v>76</v>
      </c>
      <c r="Q1397" s="6" t="s">
        <v>27</v>
      </c>
      <c r="R1397" s="6">
        <v>0</v>
      </c>
      <c r="S1397" s="6" t="s">
        <v>28</v>
      </c>
      <c r="T1397" s="7">
        <f t="shared" si="105"/>
        <v>0.52709556650246303</v>
      </c>
      <c r="U1397" s="6">
        <f t="shared" si="106"/>
        <v>6</v>
      </c>
      <c r="V1397" s="5" t="str">
        <f t="shared" si="107"/>
        <v>FAIR</v>
      </c>
      <c r="W1397" s="6" t="str">
        <f t="shared" si="108"/>
        <v>55+</v>
      </c>
      <c r="X1397" s="6" t="str">
        <f t="shared" si="109"/>
        <v>High</v>
      </c>
    </row>
    <row r="1398" spans="1:24">
      <c r="A1398" s="6" t="s">
        <v>577</v>
      </c>
      <c r="B1398" s="6" t="s">
        <v>3097</v>
      </c>
      <c r="C1398" s="6" t="s">
        <v>46</v>
      </c>
      <c r="D1398" s="6" t="s">
        <v>85</v>
      </c>
      <c r="E1398" s="6" t="s">
        <v>162</v>
      </c>
      <c r="F1398" s="6">
        <v>70</v>
      </c>
      <c r="G1398" s="6" t="s">
        <v>34</v>
      </c>
      <c r="H1398" s="6" t="s">
        <v>3098</v>
      </c>
      <c r="I1398" s="6" t="s">
        <v>3840</v>
      </c>
      <c r="J1398" s="8">
        <v>45191</v>
      </c>
      <c r="K1398" s="8">
        <v>45302</v>
      </c>
      <c r="L1398" s="6">
        <v>117500.6</v>
      </c>
      <c r="M1398" s="6">
        <v>68800.75</v>
      </c>
      <c r="N1398" s="6">
        <v>760</v>
      </c>
      <c r="O1398" s="6">
        <v>172000</v>
      </c>
      <c r="P1398" s="6" t="s">
        <v>26</v>
      </c>
      <c r="Q1398" s="6" t="s">
        <v>27</v>
      </c>
      <c r="R1398" s="6">
        <v>0</v>
      </c>
      <c r="S1398" s="6" t="s">
        <v>28</v>
      </c>
      <c r="T1398" s="7">
        <f t="shared" si="105"/>
        <v>0.40000436046511628</v>
      </c>
      <c r="U1398" s="6">
        <f t="shared" si="106"/>
        <v>4</v>
      </c>
      <c r="V1398" s="5" t="str">
        <f t="shared" si="107"/>
        <v>VERY GOOD</v>
      </c>
      <c r="W1398" s="6" t="str">
        <f t="shared" si="108"/>
        <v>55+</v>
      </c>
      <c r="X1398" s="6" t="str">
        <f t="shared" si="109"/>
        <v>Upper-Middle</v>
      </c>
    </row>
    <row r="1399" spans="1:24">
      <c r="A1399" s="6" t="s">
        <v>458</v>
      </c>
      <c r="B1399" s="6" t="s">
        <v>3099</v>
      </c>
      <c r="C1399" s="6" t="s">
        <v>31</v>
      </c>
      <c r="D1399" s="6" t="s">
        <v>460</v>
      </c>
      <c r="E1399" s="6" t="s">
        <v>461</v>
      </c>
      <c r="F1399" s="6">
        <v>61</v>
      </c>
      <c r="G1399" s="6" t="s">
        <v>24</v>
      </c>
      <c r="H1399" s="6" t="s">
        <v>3100</v>
      </c>
      <c r="I1399" s="6" t="s">
        <v>4347</v>
      </c>
      <c r="J1399" s="8">
        <v>45654</v>
      </c>
      <c r="K1399" s="8">
        <v>45306</v>
      </c>
      <c r="L1399" s="6">
        <v>24900.25</v>
      </c>
      <c r="M1399" s="6">
        <v>14800.8</v>
      </c>
      <c r="N1399" s="6">
        <v>695</v>
      </c>
      <c r="O1399" s="6">
        <v>72000</v>
      </c>
      <c r="P1399" s="6" t="s">
        <v>26</v>
      </c>
      <c r="Q1399" s="6" t="s">
        <v>43</v>
      </c>
      <c r="R1399" s="6">
        <v>0</v>
      </c>
      <c r="S1399" s="6" t="s">
        <v>28</v>
      </c>
      <c r="T1399" s="7">
        <f t="shared" si="105"/>
        <v>0.20556666666666665</v>
      </c>
      <c r="U1399" s="6">
        <f t="shared" si="106"/>
        <v>0</v>
      </c>
      <c r="V1399" s="5" t="str">
        <f t="shared" si="107"/>
        <v>GOOD</v>
      </c>
      <c r="W1399" s="6" t="str">
        <f t="shared" si="108"/>
        <v>55+</v>
      </c>
      <c r="X1399" s="6" t="str">
        <f t="shared" si="109"/>
        <v>Low</v>
      </c>
    </row>
    <row r="1400" spans="1:24">
      <c r="A1400" s="6" t="s">
        <v>582</v>
      </c>
      <c r="B1400" s="6" t="s">
        <v>3101</v>
      </c>
      <c r="C1400" s="6" t="s">
        <v>57</v>
      </c>
      <c r="D1400" s="6" t="s">
        <v>22</v>
      </c>
      <c r="E1400" s="6" t="s">
        <v>53</v>
      </c>
      <c r="F1400" s="6">
        <v>64</v>
      </c>
      <c r="G1400" s="6" t="s">
        <v>34</v>
      </c>
      <c r="H1400" s="6" t="s">
        <v>3102</v>
      </c>
      <c r="I1400" s="6" t="s">
        <v>4008</v>
      </c>
      <c r="J1400" s="8">
        <v>45465</v>
      </c>
      <c r="K1400" s="8">
        <v>45303</v>
      </c>
      <c r="L1400" s="6">
        <v>51900.9</v>
      </c>
      <c r="M1400" s="6">
        <v>20000.25</v>
      </c>
      <c r="N1400" s="6">
        <v>755</v>
      </c>
      <c r="O1400" s="6">
        <v>94000</v>
      </c>
      <c r="P1400" s="6" t="s">
        <v>36</v>
      </c>
      <c r="Q1400" s="6" t="s">
        <v>27</v>
      </c>
      <c r="R1400" s="6">
        <v>0</v>
      </c>
      <c r="S1400" s="6" t="s">
        <v>28</v>
      </c>
      <c r="T1400" s="7">
        <f t="shared" si="105"/>
        <v>0.21276861702127658</v>
      </c>
      <c r="U1400" s="6">
        <f t="shared" si="106"/>
        <v>3</v>
      </c>
      <c r="V1400" s="5" t="str">
        <f t="shared" si="107"/>
        <v>VERY GOOD</v>
      </c>
      <c r="W1400" s="6" t="str">
        <f t="shared" si="108"/>
        <v>55+</v>
      </c>
      <c r="X1400" s="6" t="str">
        <f t="shared" si="109"/>
        <v>Lower-Middle</v>
      </c>
    </row>
    <row r="1401" spans="1:24">
      <c r="A1401" s="6" t="s">
        <v>55</v>
      </c>
      <c r="B1401" s="6" t="s">
        <v>3103</v>
      </c>
      <c r="C1401" s="6" t="s">
        <v>39</v>
      </c>
      <c r="D1401" s="6" t="s">
        <v>58</v>
      </c>
      <c r="E1401" s="6" t="s">
        <v>122</v>
      </c>
      <c r="F1401" s="6">
        <v>82</v>
      </c>
      <c r="G1401" s="6" t="s">
        <v>24</v>
      </c>
      <c r="H1401" s="6" t="s">
        <v>3104</v>
      </c>
      <c r="I1401" s="6" t="s">
        <v>3751</v>
      </c>
      <c r="J1401" s="8">
        <v>44218</v>
      </c>
      <c r="K1401" s="8">
        <v>45300</v>
      </c>
      <c r="L1401" s="6">
        <v>192900.4</v>
      </c>
      <c r="M1401" s="6">
        <v>120000.75</v>
      </c>
      <c r="N1401" s="6">
        <v>685</v>
      </c>
      <c r="O1401" s="6">
        <v>228000</v>
      </c>
      <c r="P1401" s="6" t="s">
        <v>76</v>
      </c>
      <c r="Q1401" s="6" t="s">
        <v>27</v>
      </c>
      <c r="R1401" s="6">
        <v>0</v>
      </c>
      <c r="S1401" s="6" t="s">
        <v>28</v>
      </c>
      <c r="T1401" s="7">
        <f t="shared" si="105"/>
        <v>0.5263190789473684</v>
      </c>
      <c r="U1401" s="6">
        <f t="shared" si="106"/>
        <v>6</v>
      </c>
      <c r="V1401" s="5" t="str">
        <f t="shared" si="107"/>
        <v>GOOD</v>
      </c>
      <c r="W1401" s="6" t="str">
        <f t="shared" si="108"/>
        <v>55+</v>
      </c>
      <c r="X1401" s="6" t="str">
        <f t="shared" si="109"/>
        <v>High</v>
      </c>
    </row>
    <row r="1402" spans="1:24">
      <c r="A1402" s="6" t="s">
        <v>469</v>
      </c>
      <c r="B1402" s="6" t="s">
        <v>3105</v>
      </c>
      <c r="C1402" s="6" t="s">
        <v>52</v>
      </c>
      <c r="D1402" s="6" t="s">
        <v>471</v>
      </c>
      <c r="E1402" s="6" t="s">
        <v>472</v>
      </c>
      <c r="F1402" s="6">
        <v>73</v>
      </c>
      <c r="G1402" s="6" t="s">
        <v>34</v>
      </c>
      <c r="H1402" s="6" t="s">
        <v>3106</v>
      </c>
      <c r="I1402" s="6" t="s">
        <v>4348</v>
      </c>
      <c r="J1402" s="8">
        <v>44856</v>
      </c>
      <c r="K1402" s="8">
        <v>45301</v>
      </c>
      <c r="L1402" s="6">
        <v>81900.800000000003</v>
      </c>
      <c r="M1402" s="6">
        <v>55000.6</v>
      </c>
      <c r="N1402" s="6">
        <v>715</v>
      </c>
      <c r="O1402" s="6">
        <v>127000</v>
      </c>
      <c r="P1402" s="6" t="s">
        <v>26</v>
      </c>
      <c r="Q1402" s="6" t="s">
        <v>27</v>
      </c>
      <c r="R1402" s="6">
        <v>0</v>
      </c>
      <c r="S1402" s="6" t="s">
        <v>28</v>
      </c>
      <c r="T1402" s="7">
        <f t="shared" si="105"/>
        <v>0.43307559055118111</v>
      </c>
      <c r="U1402" s="6">
        <f t="shared" si="106"/>
        <v>5</v>
      </c>
      <c r="V1402" s="5" t="str">
        <f t="shared" si="107"/>
        <v>GOOD</v>
      </c>
      <c r="W1402" s="6" t="str">
        <f t="shared" si="108"/>
        <v>55+</v>
      </c>
      <c r="X1402" s="6" t="str">
        <f t="shared" si="109"/>
        <v>Upper-Middle</v>
      </c>
    </row>
    <row r="1403" spans="1:24">
      <c r="A1403" s="6" t="s">
        <v>474</v>
      </c>
      <c r="B1403" s="6" t="s">
        <v>3107</v>
      </c>
      <c r="C1403" s="6" t="s">
        <v>46</v>
      </c>
      <c r="D1403" s="6" t="s">
        <v>345</v>
      </c>
      <c r="E1403" s="6" t="s">
        <v>346</v>
      </c>
      <c r="F1403" s="6">
        <v>76</v>
      </c>
      <c r="G1403" s="6" t="s">
        <v>24</v>
      </c>
      <c r="H1403" s="6" t="s">
        <v>3108</v>
      </c>
      <c r="I1403" s="6" t="s">
        <v>3753</v>
      </c>
      <c r="J1403" s="8">
        <v>44764</v>
      </c>
      <c r="K1403" s="8">
        <v>45302</v>
      </c>
      <c r="L1403" s="6">
        <v>109700.25</v>
      </c>
      <c r="M1403" s="6">
        <v>65000.4</v>
      </c>
      <c r="N1403" s="6">
        <v>680</v>
      </c>
      <c r="O1403" s="6">
        <v>156000</v>
      </c>
      <c r="P1403" s="6" t="s">
        <v>26</v>
      </c>
      <c r="Q1403" s="6" t="s">
        <v>27</v>
      </c>
      <c r="R1403" s="6">
        <v>0</v>
      </c>
      <c r="S1403" s="6" t="s">
        <v>28</v>
      </c>
      <c r="T1403" s="7">
        <f t="shared" si="105"/>
        <v>0.41666923076923079</v>
      </c>
      <c r="U1403" s="6">
        <f t="shared" si="106"/>
        <v>4</v>
      </c>
      <c r="V1403" s="5" t="str">
        <f t="shared" si="107"/>
        <v>GOOD</v>
      </c>
      <c r="W1403" s="6" t="str">
        <f t="shared" si="108"/>
        <v>55+</v>
      </c>
      <c r="X1403" s="6" t="str">
        <f t="shared" si="109"/>
        <v>Upper-Middle</v>
      </c>
    </row>
    <row r="1404" spans="1:24">
      <c r="A1404" s="6" t="s">
        <v>592</v>
      </c>
      <c r="B1404" s="6" t="s">
        <v>3109</v>
      </c>
      <c r="C1404" s="6" t="s">
        <v>84</v>
      </c>
      <c r="D1404" s="6" t="s">
        <v>32</v>
      </c>
      <c r="E1404" s="6" t="s">
        <v>90</v>
      </c>
      <c r="F1404" s="6">
        <v>56</v>
      </c>
      <c r="G1404" s="6" t="s">
        <v>34</v>
      </c>
      <c r="H1404" s="6" t="s">
        <v>3110</v>
      </c>
      <c r="I1404" s="6" t="s">
        <v>3784</v>
      </c>
      <c r="J1404" s="8">
        <v>45662</v>
      </c>
      <c r="K1404" s="8">
        <v>45304</v>
      </c>
      <c r="L1404" s="6">
        <v>5250.4</v>
      </c>
      <c r="M1404" s="6">
        <v>15800.75</v>
      </c>
      <c r="N1404" s="6">
        <v>610</v>
      </c>
      <c r="O1404" s="6">
        <v>52000</v>
      </c>
      <c r="P1404" s="6" t="s">
        <v>76</v>
      </c>
      <c r="Q1404" s="6" t="s">
        <v>43</v>
      </c>
      <c r="R1404" s="6">
        <v>0</v>
      </c>
      <c r="S1404" s="6" t="s">
        <v>28</v>
      </c>
      <c r="T1404" s="7">
        <f t="shared" si="105"/>
        <v>0.30386057692307694</v>
      </c>
      <c r="U1404" s="6">
        <f t="shared" si="106"/>
        <v>2</v>
      </c>
      <c r="V1404" s="5" t="str">
        <f t="shared" si="107"/>
        <v>FAIR</v>
      </c>
      <c r="W1404" s="6" t="str">
        <f t="shared" si="108"/>
        <v>55+</v>
      </c>
      <c r="X1404" s="6" t="str">
        <f t="shared" si="109"/>
        <v>Low</v>
      </c>
    </row>
    <row r="1405" spans="1:24">
      <c r="A1405" s="6" t="s">
        <v>595</v>
      </c>
      <c r="B1405" s="6" t="s">
        <v>3111</v>
      </c>
      <c r="C1405" s="6" t="s">
        <v>21</v>
      </c>
      <c r="D1405" s="6" t="s">
        <v>209</v>
      </c>
      <c r="E1405" s="6" t="s">
        <v>210</v>
      </c>
      <c r="F1405" s="6">
        <v>88</v>
      </c>
      <c r="G1405" s="6" t="s">
        <v>24</v>
      </c>
      <c r="H1405" s="6" t="s">
        <v>3112</v>
      </c>
      <c r="I1405" s="6" t="s">
        <v>4010</v>
      </c>
      <c r="J1405" s="8">
        <v>43912</v>
      </c>
      <c r="K1405" s="8">
        <v>45299</v>
      </c>
      <c r="L1405" s="6">
        <v>290900.8</v>
      </c>
      <c r="M1405" s="6">
        <v>111000.25</v>
      </c>
      <c r="N1405" s="6">
        <v>825</v>
      </c>
      <c r="O1405" s="6">
        <v>308000</v>
      </c>
      <c r="P1405" s="6" t="s">
        <v>36</v>
      </c>
      <c r="Q1405" s="6" t="s">
        <v>27</v>
      </c>
      <c r="R1405" s="6">
        <v>0</v>
      </c>
      <c r="S1405" s="6" t="s">
        <v>28</v>
      </c>
      <c r="T1405" s="7">
        <f t="shared" si="105"/>
        <v>0.3603904220779221</v>
      </c>
      <c r="U1405" s="6">
        <f t="shared" si="106"/>
        <v>7</v>
      </c>
      <c r="V1405" s="5" t="str">
        <f t="shared" si="107"/>
        <v>EXCEPTIONAL</v>
      </c>
      <c r="W1405" s="6" t="str">
        <f t="shared" si="108"/>
        <v>55+</v>
      </c>
      <c r="X1405" s="6" t="str">
        <f t="shared" si="109"/>
        <v>High</v>
      </c>
    </row>
    <row r="1406" spans="1:24">
      <c r="A1406" s="6" t="s">
        <v>226</v>
      </c>
      <c r="B1406" s="6" t="s">
        <v>3113</v>
      </c>
      <c r="C1406" s="6" t="s">
        <v>57</v>
      </c>
      <c r="D1406" s="6" t="s">
        <v>228</v>
      </c>
      <c r="E1406" s="6" t="s">
        <v>229</v>
      </c>
      <c r="F1406" s="6">
        <v>63</v>
      </c>
      <c r="G1406" s="6" t="s">
        <v>34</v>
      </c>
      <c r="H1406" s="6" t="s">
        <v>3114</v>
      </c>
      <c r="I1406" s="6" t="s">
        <v>4349</v>
      </c>
      <c r="J1406" s="8">
        <v>45648</v>
      </c>
      <c r="K1406" s="8">
        <v>45305</v>
      </c>
      <c r="L1406" s="6">
        <v>48600.75</v>
      </c>
      <c r="M1406" s="6">
        <v>18400.400000000001</v>
      </c>
      <c r="N1406" s="6">
        <v>725</v>
      </c>
      <c r="O1406" s="6">
        <v>84000</v>
      </c>
      <c r="P1406" s="6" t="s">
        <v>36</v>
      </c>
      <c r="Q1406" s="6" t="s">
        <v>27</v>
      </c>
      <c r="R1406" s="6">
        <v>0</v>
      </c>
      <c r="S1406" s="6" t="s">
        <v>28</v>
      </c>
      <c r="T1406" s="7">
        <f t="shared" si="105"/>
        <v>0.21905238095238097</v>
      </c>
      <c r="U1406" s="6">
        <f t="shared" si="106"/>
        <v>1</v>
      </c>
      <c r="V1406" s="5" t="str">
        <f t="shared" si="107"/>
        <v>GOOD</v>
      </c>
      <c r="W1406" s="6" t="str">
        <f t="shared" si="108"/>
        <v>55+</v>
      </c>
      <c r="X1406" s="6" t="str">
        <f t="shared" si="109"/>
        <v>Lower-Middle</v>
      </c>
    </row>
    <row r="1407" spans="1:24">
      <c r="A1407" s="6" t="s">
        <v>488</v>
      </c>
      <c r="B1407" s="6" t="s">
        <v>3115</v>
      </c>
      <c r="C1407" s="6" t="s">
        <v>39</v>
      </c>
      <c r="D1407" s="6" t="s">
        <v>304</v>
      </c>
      <c r="E1407" s="6" t="s">
        <v>304</v>
      </c>
      <c r="F1407" s="6">
        <v>80</v>
      </c>
      <c r="G1407" s="6" t="s">
        <v>24</v>
      </c>
      <c r="H1407" s="6" t="s">
        <v>3116</v>
      </c>
      <c r="I1407" s="6" t="s">
        <v>4350</v>
      </c>
      <c r="J1407" s="8">
        <v>44389</v>
      </c>
      <c r="K1407" s="8">
        <v>45300</v>
      </c>
      <c r="L1407" s="6">
        <v>171100.6</v>
      </c>
      <c r="M1407" s="6">
        <v>111000.9</v>
      </c>
      <c r="N1407" s="6">
        <v>675</v>
      </c>
      <c r="O1407" s="6">
        <v>208000</v>
      </c>
      <c r="P1407" s="6" t="s">
        <v>76</v>
      </c>
      <c r="Q1407" s="6" t="s">
        <v>27</v>
      </c>
      <c r="R1407" s="6">
        <v>0</v>
      </c>
      <c r="S1407" s="6" t="s">
        <v>28</v>
      </c>
      <c r="T1407" s="7">
        <f t="shared" si="105"/>
        <v>0.53365817307692309</v>
      </c>
      <c r="U1407" s="6">
        <f t="shared" si="106"/>
        <v>6</v>
      </c>
      <c r="V1407" s="5" t="str">
        <f t="shared" si="107"/>
        <v>GOOD</v>
      </c>
      <c r="W1407" s="6" t="str">
        <f t="shared" si="108"/>
        <v>55+</v>
      </c>
      <c r="X1407" s="6" t="str">
        <f t="shared" si="109"/>
        <v>High</v>
      </c>
    </row>
    <row r="1408" spans="1:24">
      <c r="A1408" s="6" t="s">
        <v>491</v>
      </c>
      <c r="B1408" s="6" t="s">
        <v>3117</v>
      </c>
      <c r="C1408" s="6" t="s">
        <v>52</v>
      </c>
      <c r="D1408" s="6" t="s">
        <v>493</v>
      </c>
      <c r="E1408" s="6" t="s">
        <v>494</v>
      </c>
      <c r="F1408" s="6">
        <v>71</v>
      </c>
      <c r="G1408" s="6" t="s">
        <v>34</v>
      </c>
      <c r="H1408" s="6" t="s">
        <v>3118</v>
      </c>
      <c r="I1408" s="6" t="s">
        <v>4351</v>
      </c>
      <c r="J1408" s="8">
        <v>45160</v>
      </c>
      <c r="K1408" s="8">
        <v>45302</v>
      </c>
      <c r="L1408" s="6">
        <v>76100.399999999994</v>
      </c>
      <c r="M1408" s="6">
        <v>50800.25</v>
      </c>
      <c r="N1408" s="6">
        <v>705</v>
      </c>
      <c r="O1408" s="6">
        <v>116000</v>
      </c>
      <c r="P1408" s="6" t="s">
        <v>26</v>
      </c>
      <c r="Q1408" s="6" t="s">
        <v>27</v>
      </c>
      <c r="R1408" s="6">
        <v>0</v>
      </c>
      <c r="S1408" s="6" t="s">
        <v>28</v>
      </c>
      <c r="T1408" s="7">
        <f t="shared" si="105"/>
        <v>0.43793318965517242</v>
      </c>
      <c r="U1408" s="6">
        <f t="shared" si="106"/>
        <v>4</v>
      </c>
      <c r="V1408" s="5" t="str">
        <f t="shared" si="107"/>
        <v>GOOD</v>
      </c>
      <c r="W1408" s="6" t="str">
        <f t="shared" si="108"/>
        <v>55+</v>
      </c>
      <c r="X1408" s="6" t="str">
        <f t="shared" si="109"/>
        <v>Lower-Middle</v>
      </c>
    </row>
    <row r="1409" spans="1:24">
      <c r="A1409" s="6" t="s">
        <v>496</v>
      </c>
      <c r="B1409" s="6" t="s">
        <v>3119</v>
      </c>
      <c r="C1409" s="6" t="s">
        <v>46</v>
      </c>
      <c r="D1409" s="6" t="s">
        <v>321</v>
      </c>
      <c r="E1409" s="6" t="s">
        <v>322</v>
      </c>
      <c r="F1409" s="6">
        <v>74</v>
      </c>
      <c r="G1409" s="6" t="s">
        <v>24</v>
      </c>
      <c r="H1409" s="6" t="s">
        <v>3120</v>
      </c>
      <c r="I1409" s="6" t="s">
        <v>4352</v>
      </c>
      <c r="J1409" s="8">
        <v>44642</v>
      </c>
      <c r="K1409" s="8">
        <v>45301</v>
      </c>
      <c r="L1409" s="6">
        <v>121100.75</v>
      </c>
      <c r="M1409" s="6">
        <v>71900.800000000003</v>
      </c>
      <c r="N1409" s="6">
        <v>730</v>
      </c>
      <c r="O1409" s="6">
        <v>182000</v>
      </c>
      <c r="P1409" s="6" t="s">
        <v>26</v>
      </c>
      <c r="Q1409" s="6" t="s">
        <v>27</v>
      </c>
      <c r="R1409" s="6">
        <v>0</v>
      </c>
      <c r="S1409" s="6" t="s">
        <v>28</v>
      </c>
      <c r="T1409" s="7">
        <f t="shared" si="105"/>
        <v>0.39505934065934067</v>
      </c>
      <c r="U1409" s="6">
        <f t="shared" si="106"/>
        <v>5</v>
      </c>
      <c r="V1409" s="5" t="str">
        <f t="shared" si="107"/>
        <v>GOOD</v>
      </c>
      <c r="W1409" s="6" t="str">
        <f t="shared" si="108"/>
        <v>55+</v>
      </c>
      <c r="X1409" s="6" t="str">
        <f t="shared" si="109"/>
        <v>Upper-Middle</v>
      </c>
    </row>
    <row r="1410" spans="1:24">
      <c r="A1410" s="6" t="s">
        <v>324</v>
      </c>
      <c r="B1410" s="6" t="s">
        <v>3121</v>
      </c>
      <c r="C1410" s="6" t="s">
        <v>31</v>
      </c>
      <c r="D1410" s="6" t="s">
        <v>313</v>
      </c>
      <c r="E1410" s="6" t="s">
        <v>385</v>
      </c>
      <c r="F1410" s="6">
        <v>59</v>
      </c>
      <c r="G1410" s="6" t="s">
        <v>34</v>
      </c>
      <c r="H1410" s="6" t="s">
        <v>3122</v>
      </c>
      <c r="I1410" s="6" t="s">
        <v>4353</v>
      </c>
      <c r="J1410" s="8">
        <v>45654</v>
      </c>
      <c r="K1410" s="8">
        <v>45306</v>
      </c>
      <c r="L1410" s="6">
        <v>21000.9</v>
      </c>
      <c r="M1410" s="6">
        <v>11900.75</v>
      </c>
      <c r="N1410" s="6">
        <v>685</v>
      </c>
      <c r="O1410" s="6">
        <v>69000</v>
      </c>
      <c r="P1410" s="6" t="s">
        <v>26</v>
      </c>
      <c r="Q1410" s="6" t="s">
        <v>43</v>
      </c>
      <c r="R1410" s="6">
        <v>0</v>
      </c>
      <c r="S1410" s="6" t="s">
        <v>28</v>
      </c>
      <c r="T1410" s="7">
        <f t="shared" ref="T1410:T1473" si="110">IFERROR(M1410/O1410,"")</f>
        <v>0.17247463768115942</v>
      </c>
      <c r="U1410" s="6">
        <f t="shared" ref="U1410:U1473" si="111">MAX($K$2:$K$1599)-K1410</f>
        <v>0</v>
      </c>
      <c r="V1410" s="5" t="str">
        <f t="shared" ref="V1410:V1473" si="112">IF(N1410&lt;670,"FAIR", IF(N1410&lt;750,"GOOD",IF(N1410&lt;800,"VERY GOOD","EXCEPTIONAL")))</f>
        <v>GOOD</v>
      </c>
      <c r="W1410" s="6" t="str">
        <f t="shared" ref="W1410:W1473" si="113">IF(F1410&lt;25,"18-24",IF(F1410&lt;35,"25-34",IF(F1410&lt;45,"35-44",IF(F1410&lt;55,"45-54","55+"))))</f>
        <v>55+</v>
      </c>
      <c r="X1410" s="6" t="str">
        <f t="shared" ref="X1410:X1473" si="114">IF(O1410&lt;=_xlfn.QUARTILE.INC($O$2:$O$1599,1),"Low",IF(O1410&lt;=_xlfn.QUARTILE.INC($O$2:$O$1599,2),"Lower-Middle",IF(O1410&lt;=_xlfn.QUARTILE.INC($O$2:$O$1599,3),"Upper-Middle","High")))</f>
        <v>Low</v>
      </c>
    </row>
    <row r="1411" spans="1:24">
      <c r="A1411" s="6" t="s">
        <v>503</v>
      </c>
      <c r="B1411" s="6" t="s">
        <v>3123</v>
      </c>
      <c r="C1411" s="6" t="s">
        <v>21</v>
      </c>
      <c r="D1411" s="6" t="s">
        <v>32</v>
      </c>
      <c r="E1411" s="6" t="s">
        <v>33</v>
      </c>
      <c r="F1411" s="6">
        <v>91</v>
      </c>
      <c r="G1411" s="6" t="s">
        <v>24</v>
      </c>
      <c r="H1411" s="6" t="s">
        <v>3124</v>
      </c>
      <c r="I1411" s="6" t="s">
        <v>3587</v>
      </c>
      <c r="J1411" s="8">
        <v>43638</v>
      </c>
      <c r="K1411" s="8">
        <v>45299</v>
      </c>
      <c r="L1411" s="6">
        <v>301800.25</v>
      </c>
      <c r="M1411" s="6">
        <v>115000.4</v>
      </c>
      <c r="N1411" s="6">
        <v>840</v>
      </c>
      <c r="O1411" s="6">
        <v>323000</v>
      </c>
      <c r="P1411" s="6" t="s">
        <v>36</v>
      </c>
      <c r="Q1411" s="6" t="s">
        <v>27</v>
      </c>
      <c r="R1411" s="6">
        <v>0</v>
      </c>
      <c r="S1411" s="6" t="s">
        <v>28</v>
      </c>
      <c r="T1411" s="7">
        <f t="shared" si="110"/>
        <v>0.35603839009287924</v>
      </c>
      <c r="U1411" s="6">
        <f t="shared" si="111"/>
        <v>7</v>
      </c>
      <c r="V1411" s="5" t="str">
        <f t="shared" si="112"/>
        <v>EXCEPTIONAL</v>
      </c>
      <c r="W1411" s="6" t="str">
        <f t="shared" si="113"/>
        <v>55+</v>
      </c>
      <c r="X1411" s="6" t="str">
        <f t="shared" si="114"/>
        <v>High</v>
      </c>
    </row>
    <row r="1412" spans="1:24">
      <c r="A1412" s="6" t="s">
        <v>506</v>
      </c>
      <c r="B1412" s="6" t="s">
        <v>3125</v>
      </c>
      <c r="C1412" s="6" t="s">
        <v>39</v>
      </c>
      <c r="D1412" s="6" t="s">
        <v>68</v>
      </c>
      <c r="E1412" s="6" t="s">
        <v>69</v>
      </c>
      <c r="F1412" s="6">
        <v>83</v>
      </c>
      <c r="G1412" s="6" t="s">
        <v>34</v>
      </c>
      <c r="H1412" s="6" t="s">
        <v>3126</v>
      </c>
      <c r="I1412" s="6" t="s">
        <v>4331</v>
      </c>
      <c r="J1412" s="8">
        <v>44157</v>
      </c>
      <c r="K1412" s="8">
        <v>45300</v>
      </c>
      <c r="L1412" s="6">
        <v>182200.4</v>
      </c>
      <c r="M1412" s="6">
        <v>115000.75</v>
      </c>
      <c r="N1412" s="6">
        <v>650</v>
      </c>
      <c r="O1412" s="6">
        <v>218000</v>
      </c>
      <c r="P1412" s="6" t="s">
        <v>76</v>
      </c>
      <c r="Q1412" s="6" t="s">
        <v>27</v>
      </c>
      <c r="R1412" s="6">
        <v>0</v>
      </c>
      <c r="S1412" s="6" t="s">
        <v>28</v>
      </c>
      <c r="T1412" s="7">
        <f t="shared" si="110"/>
        <v>0.52752637614678899</v>
      </c>
      <c r="U1412" s="6">
        <f t="shared" si="111"/>
        <v>6</v>
      </c>
      <c r="V1412" s="5" t="str">
        <f t="shared" si="112"/>
        <v>FAIR</v>
      </c>
      <c r="W1412" s="6" t="str">
        <f t="shared" si="113"/>
        <v>55+</v>
      </c>
      <c r="X1412" s="6" t="str">
        <f t="shared" si="114"/>
        <v>High</v>
      </c>
    </row>
    <row r="1413" spans="1:24">
      <c r="A1413" s="6" t="s">
        <v>509</v>
      </c>
      <c r="B1413" s="6" t="s">
        <v>3127</v>
      </c>
      <c r="C1413" s="6" t="s">
        <v>46</v>
      </c>
      <c r="D1413" s="6" t="s">
        <v>73</v>
      </c>
      <c r="E1413" s="6" t="s">
        <v>74</v>
      </c>
      <c r="F1413" s="6">
        <v>70</v>
      </c>
      <c r="G1413" s="6" t="s">
        <v>24</v>
      </c>
      <c r="H1413" s="6" t="s">
        <v>3128</v>
      </c>
      <c r="I1413" s="6" t="s">
        <v>4354</v>
      </c>
      <c r="J1413" s="8">
        <v>45373</v>
      </c>
      <c r="K1413" s="8">
        <v>45303</v>
      </c>
      <c r="L1413" s="6">
        <v>109900.4</v>
      </c>
      <c r="M1413" s="6">
        <v>66100.25</v>
      </c>
      <c r="N1413" s="6">
        <v>745</v>
      </c>
      <c r="O1413" s="6">
        <v>162000</v>
      </c>
      <c r="P1413" s="6" t="s">
        <v>26</v>
      </c>
      <c r="Q1413" s="6" t="s">
        <v>27</v>
      </c>
      <c r="R1413" s="6">
        <v>0</v>
      </c>
      <c r="S1413" s="6" t="s">
        <v>28</v>
      </c>
      <c r="T1413" s="7">
        <f t="shared" si="110"/>
        <v>0.40802623456790121</v>
      </c>
      <c r="U1413" s="6">
        <f t="shared" si="111"/>
        <v>3</v>
      </c>
      <c r="V1413" s="5" t="str">
        <f t="shared" si="112"/>
        <v>GOOD</v>
      </c>
      <c r="W1413" s="6" t="str">
        <f t="shared" si="113"/>
        <v>55+</v>
      </c>
      <c r="X1413" s="6" t="str">
        <f t="shared" si="114"/>
        <v>Upper-Middle</v>
      </c>
    </row>
    <row r="1414" spans="1:24">
      <c r="A1414" s="6" t="s">
        <v>513</v>
      </c>
      <c r="B1414" s="6" t="s">
        <v>3129</v>
      </c>
      <c r="C1414" s="6" t="s">
        <v>57</v>
      </c>
      <c r="D1414" s="6" t="s">
        <v>58</v>
      </c>
      <c r="E1414" s="6" t="s">
        <v>122</v>
      </c>
      <c r="F1414" s="6">
        <v>65</v>
      </c>
      <c r="G1414" s="6" t="s">
        <v>34</v>
      </c>
      <c r="H1414" s="6" t="s">
        <v>3130</v>
      </c>
      <c r="I1414" s="6" t="s">
        <v>3760</v>
      </c>
      <c r="J1414" s="8">
        <v>45557</v>
      </c>
      <c r="K1414" s="8">
        <v>45302</v>
      </c>
      <c r="L1414" s="6">
        <v>50800.800000000003</v>
      </c>
      <c r="M1414" s="6">
        <v>19600.900000000001</v>
      </c>
      <c r="N1414" s="6">
        <v>765</v>
      </c>
      <c r="O1414" s="6">
        <v>94000</v>
      </c>
      <c r="P1414" s="6" t="s">
        <v>36</v>
      </c>
      <c r="Q1414" s="6" t="s">
        <v>27</v>
      </c>
      <c r="R1414" s="6">
        <v>0</v>
      </c>
      <c r="S1414" s="6" t="s">
        <v>28</v>
      </c>
      <c r="T1414" s="7">
        <f t="shared" si="110"/>
        <v>0.20852021276595747</v>
      </c>
      <c r="U1414" s="6">
        <f t="shared" si="111"/>
        <v>4</v>
      </c>
      <c r="V1414" s="5" t="str">
        <f t="shared" si="112"/>
        <v>VERY GOOD</v>
      </c>
      <c r="W1414" s="6" t="str">
        <f t="shared" si="113"/>
        <v>55+</v>
      </c>
      <c r="X1414" s="6" t="str">
        <f t="shared" si="114"/>
        <v>Lower-Middle</v>
      </c>
    </row>
    <row r="1415" spans="1:24">
      <c r="A1415" s="6" t="s">
        <v>516</v>
      </c>
      <c r="B1415" s="6" t="s">
        <v>3131</v>
      </c>
      <c r="C1415" s="6" t="s">
        <v>52</v>
      </c>
      <c r="D1415" s="6" t="s">
        <v>277</v>
      </c>
      <c r="E1415" s="6" t="s">
        <v>278</v>
      </c>
      <c r="F1415" s="6">
        <v>78</v>
      </c>
      <c r="G1415" s="6" t="s">
        <v>24</v>
      </c>
      <c r="H1415" s="6" t="s">
        <v>3132</v>
      </c>
      <c r="I1415" s="6" t="s">
        <v>3823</v>
      </c>
      <c r="J1415" s="8">
        <v>44826</v>
      </c>
      <c r="K1415" s="8">
        <v>45301</v>
      </c>
      <c r="L1415" s="6">
        <v>84100.75</v>
      </c>
      <c r="M1415" s="6">
        <v>57200.4</v>
      </c>
      <c r="N1415" s="6">
        <v>675</v>
      </c>
      <c r="O1415" s="6">
        <v>134000</v>
      </c>
      <c r="P1415" s="6" t="s">
        <v>26</v>
      </c>
      <c r="Q1415" s="6" t="s">
        <v>27</v>
      </c>
      <c r="R1415" s="6">
        <v>0</v>
      </c>
      <c r="S1415" s="6" t="s">
        <v>28</v>
      </c>
      <c r="T1415" s="7">
        <f t="shared" si="110"/>
        <v>0.42686865671641794</v>
      </c>
      <c r="U1415" s="6">
        <f t="shared" si="111"/>
        <v>5</v>
      </c>
      <c r="V1415" s="5" t="str">
        <f t="shared" si="112"/>
        <v>GOOD</v>
      </c>
      <c r="W1415" s="6" t="str">
        <f t="shared" si="113"/>
        <v>55+</v>
      </c>
      <c r="X1415" s="6" t="str">
        <f t="shared" si="114"/>
        <v>Upper-Middle</v>
      </c>
    </row>
    <row r="1416" spans="1:24">
      <c r="A1416" s="6" t="s">
        <v>519</v>
      </c>
      <c r="B1416" s="6" t="s">
        <v>3133</v>
      </c>
      <c r="C1416" s="6" t="s">
        <v>84</v>
      </c>
      <c r="D1416" s="6" t="s">
        <v>183</v>
      </c>
      <c r="E1416" s="6" t="s">
        <v>184</v>
      </c>
      <c r="F1416" s="6">
        <v>57</v>
      </c>
      <c r="G1416" s="6" t="s">
        <v>34</v>
      </c>
      <c r="H1416" s="6" t="s">
        <v>3134</v>
      </c>
      <c r="I1416" s="6" t="s">
        <v>3762</v>
      </c>
      <c r="J1416" s="8">
        <v>45669</v>
      </c>
      <c r="K1416" s="8">
        <v>45304</v>
      </c>
      <c r="L1416" s="6">
        <v>5500.25</v>
      </c>
      <c r="M1416" s="6">
        <v>17000.599999999999</v>
      </c>
      <c r="N1416" s="6">
        <v>615</v>
      </c>
      <c r="O1416" s="6">
        <v>54000</v>
      </c>
      <c r="P1416" s="6" t="s">
        <v>76</v>
      </c>
      <c r="Q1416" s="6" t="s">
        <v>43</v>
      </c>
      <c r="R1416" s="6">
        <v>0</v>
      </c>
      <c r="S1416" s="6" t="s">
        <v>28</v>
      </c>
      <c r="T1416" s="7">
        <f t="shared" si="110"/>
        <v>0.3148259259259259</v>
      </c>
      <c r="U1416" s="6">
        <f t="shared" si="111"/>
        <v>2</v>
      </c>
      <c r="V1416" s="5" t="str">
        <f t="shared" si="112"/>
        <v>FAIR</v>
      </c>
      <c r="W1416" s="6" t="str">
        <f t="shared" si="113"/>
        <v>55+</v>
      </c>
      <c r="X1416" s="6" t="str">
        <f t="shared" si="114"/>
        <v>Low</v>
      </c>
    </row>
    <row r="1417" spans="1:24">
      <c r="A1417" s="6" t="s">
        <v>522</v>
      </c>
      <c r="B1417" s="6" t="s">
        <v>3135</v>
      </c>
      <c r="C1417" s="6" t="s">
        <v>39</v>
      </c>
      <c r="D1417" s="6" t="s">
        <v>40</v>
      </c>
      <c r="E1417" s="6" t="s">
        <v>94</v>
      </c>
      <c r="F1417" s="6">
        <v>85</v>
      </c>
      <c r="G1417" s="6" t="s">
        <v>24</v>
      </c>
      <c r="H1417" s="6" t="s">
        <v>3136</v>
      </c>
      <c r="I1417" s="6" t="s">
        <v>3510</v>
      </c>
      <c r="J1417" s="8">
        <v>44126</v>
      </c>
      <c r="K1417" s="8">
        <v>45299</v>
      </c>
      <c r="L1417" s="6">
        <v>216800.8</v>
      </c>
      <c r="M1417" s="6">
        <v>128000.25</v>
      </c>
      <c r="N1417" s="6">
        <v>660</v>
      </c>
      <c r="O1417" s="6">
        <v>253000</v>
      </c>
      <c r="P1417" s="6" t="s">
        <v>76</v>
      </c>
      <c r="Q1417" s="6" t="s">
        <v>27</v>
      </c>
      <c r="R1417" s="6">
        <v>0</v>
      </c>
      <c r="S1417" s="6" t="s">
        <v>28</v>
      </c>
      <c r="T1417" s="7">
        <f t="shared" si="110"/>
        <v>0.50592984189723322</v>
      </c>
      <c r="U1417" s="6">
        <f t="shared" si="111"/>
        <v>7</v>
      </c>
      <c r="V1417" s="5" t="str">
        <f t="shared" si="112"/>
        <v>FAIR</v>
      </c>
      <c r="W1417" s="6" t="str">
        <f t="shared" si="113"/>
        <v>55+</v>
      </c>
      <c r="X1417" s="6" t="str">
        <f t="shared" si="114"/>
        <v>High</v>
      </c>
    </row>
    <row r="1418" spans="1:24">
      <c r="A1418" s="6" t="s">
        <v>306</v>
      </c>
      <c r="B1418" s="6" t="s">
        <v>3137</v>
      </c>
      <c r="C1418" s="6" t="s">
        <v>46</v>
      </c>
      <c r="D1418" s="6" t="s">
        <v>209</v>
      </c>
      <c r="E1418" s="6" t="s">
        <v>447</v>
      </c>
      <c r="F1418" s="6">
        <v>72</v>
      </c>
      <c r="G1418" s="6" t="s">
        <v>34</v>
      </c>
      <c r="H1418" s="6" t="s">
        <v>3138</v>
      </c>
      <c r="I1418" s="6" t="s">
        <v>3998</v>
      </c>
      <c r="J1418" s="8">
        <v>44979</v>
      </c>
      <c r="K1418" s="8">
        <v>45302</v>
      </c>
      <c r="L1418" s="6">
        <v>105200.9</v>
      </c>
      <c r="M1418" s="6">
        <v>63000.75</v>
      </c>
      <c r="N1418" s="6">
        <v>730</v>
      </c>
      <c r="O1418" s="6">
        <v>157000</v>
      </c>
      <c r="P1418" s="6" t="s">
        <v>26</v>
      </c>
      <c r="Q1418" s="6" t="s">
        <v>27</v>
      </c>
      <c r="R1418" s="6">
        <v>0</v>
      </c>
      <c r="S1418" s="6" t="s">
        <v>28</v>
      </c>
      <c r="T1418" s="7">
        <f t="shared" si="110"/>
        <v>0.40127866242038218</v>
      </c>
      <c r="U1418" s="6">
        <f t="shared" si="111"/>
        <v>4</v>
      </c>
      <c r="V1418" s="5" t="str">
        <f t="shared" si="112"/>
        <v>GOOD</v>
      </c>
      <c r="W1418" s="6" t="str">
        <f t="shared" si="113"/>
        <v>55+</v>
      </c>
      <c r="X1418" s="6" t="str">
        <f t="shared" si="114"/>
        <v>Upper-Middle</v>
      </c>
    </row>
    <row r="1419" spans="1:24">
      <c r="A1419" s="6" t="s">
        <v>527</v>
      </c>
      <c r="B1419" s="6" t="s">
        <v>3139</v>
      </c>
      <c r="C1419" s="6" t="s">
        <v>31</v>
      </c>
      <c r="D1419" s="6" t="s">
        <v>32</v>
      </c>
      <c r="E1419" s="6" t="s">
        <v>90</v>
      </c>
      <c r="F1419" s="6">
        <v>61</v>
      </c>
      <c r="G1419" s="6" t="s">
        <v>34</v>
      </c>
      <c r="H1419" s="6" t="s">
        <v>3140</v>
      </c>
      <c r="I1419" s="6" t="s">
        <v>3784</v>
      </c>
      <c r="J1419" s="8">
        <v>45665</v>
      </c>
      <c r="K1419" s="8">
        <v>45305</v>
      </c>
      <c r="L1419" s="6">
        <v>22100.400000000001</v>
      </c>
      <c r="M1419" s="6">
        <v>12000.25</v>
      </c>
      <c r="N1419" s="6">
        <v>705</v>
      </c>
      <c r="O1419" s="6">
        <v>71000</v>
      </c>
      <c r="P1419" s="6" t="s">
        <v>26</v>
      </c>
      <c r="Q1419" s="6" t="s">
        <v>43</v>
      </c>
      <c r="R1419" s="6">
        <v>0</v>
      </c>
      <c r="S1419" s="6" t="s">
        <v>28</v>
      </c>
      <c r="T1419" s="7">
        <f t="shared" si="110"/>
        <v>0.1690176056338028</v>
      </c>
      <c r="U1419" s="6">
        <f t="shared" si="111"/>
        <v>1</v>
      </c>
      <c r="V1419" s="5" t="str">
        <f t="shared" si="112"/>
        <v>GOOD</v>
      </c>
      <c r="W1419" s="6" t="str">
        <f t="shared" si="113"/>
        <v>55+</v>
      </c>
      <c r="X1419" s="6" t="str">
        <f t="shared" si="114"/>
        <v>Low</v>
      </c>
    </row>
    <row r="1420" spans="1:24">
      <c r="A1420" s="6" t="s">
        <v>530</v>
      </c>
      <c r="B1420" s="6" t="s">
        <v>3141</v>
      </c>
      <c r="C1420" s="6" t="s">
        <v>57</v>
      </c>
      <c r="D1420" s="6" t="s">
        <v>219</v>
      </c>
      <c r="E1420" s="6" t="s">
        <v>220</v>
      </c>
      <c r="F1420" s="6">
        <v>66</v>
      </c>
      <c r="G1420" s="6" t="s">
        <v>24</v>
      </c>
      <c r="H1420" s="6" t="s">
        <v>3142</v>
      </c>
      <c r="I1420" s="6" t="s">
        <v>4355</v>
      </c>
      <c r="J1420" s="8">
        <v>45526</v>
      </c>
      <c r="K1420" s="8">
        <v>45303</v>
      </c>
      <c r="L1420" s="6">
        <v>49700.6</v>
      </c>
      <c r="M1420" s="6">
        <v>19000.8</v>
      </c>
      <c r="N1420" s="6">
        <v>710</v>
      </c>
      <c r="O1420" s="6">
        <v>87000</v>
      </c>
      <c r="P1420" s="6" t="s">
        <v>36</v>
      </c>
      <c r="Q1420" s="6" t="s">
        <v>27</v>
      </c>
      <c r="R1420" s="6">
        <v>0</v>
      </c>
      <c r="S1420" s="6" t="s">
        <v>28</v>
      </c>
      <c r="T1420" s="7">
        <f t="shared" si="110"/>
        <v>0.21839999999999998</v>
      </c>
      <c r="U1420" s="6">
        <f t="shared" si="111"/>
        <v>3</v>
      </c>
      <c r="V1420" s="5" t="str">
        <f t="shared" si="112"/>
        <v>GOOD</v>
      </c>
      <c r="W1420" s="6" t="str">
        <f t="shared" si="113"/>
        <v>55+</v>
      </c>
      <c r="X1420" s="6" t="str">
        <f t="shared" si="114"/>
        <v>Lower-Middle</v>
      </c>
    </row>
    <row r="1421" spans="1:24">
      <c r="A1421" s="6" t="s">
        <v>533</v>
      </c>
      <c r="B1421" s="6" t="s">
        <v>3143</v>
      </c>
      <c r="C1421" s="6" t="s">
        <v>52</v>
      </c>
      <c r="D1421" s="6" t="s">
        <v>204</v>
      </c>
      <c r="E1421" s="6" t="s">
        <v>259</v>
      </c>
      <c r="F1421" s="6">
        <v>73</v>
      </c>
      <c r="G1421" s="6" t="s">
        <v>34</v>
      </c>
      <c r="H1421" s="6" t="s">
        <v>3144</v>
      </c>
      <c r="I1421" s="6" t="s">
        <v>4055</v>
      </c>
      <c r="J1421" s="8">
        <v>44826</v>
      </c>
      <c r="K1421" s="8">
        <v>45301</v>
      </c>
      <c r="L1421" s="6">
        <v>81000.25</v>
      </c>
      <c r="M1421" s="6">
        <v>54100.9</v>
      </c>
      <c r="N1421" s="6">
        <v>695</v>
      </c>
      <c r="O1421" s="6">
        <v>122000</v>
      </c>
      <c r="P1421" s="6" t="s">
        <v>26</v>
      </c>
      <c r="Q1421" s="6" t="s">
        <v>27</v>
      </c>
      <c r="R1421" s="6">
        <v>0</v>
      </c>
      <c r="S1421" s="6" t="s">
        <v>28</v>
      </c>
      <c r="T1421" s="7">
        <f t="shared" si="110"/>
        <v>0.44345000000000001</v>
      </c>
      <c r="U1421" s="6">
        <f t="shared" si="111"/>
        <v>5</v>
      </c>
      <c r="V1421" s="5" t="str">
        <f t="shared" si="112"/>
        <v>GOOD</v>
      </c>
      <c r="W1421" s="6" t="str">
        <f t="shared" si="113"/>
        <v>55+</v>
      </c>
      <c r="X1421" s="6" t="str">
        <f t="shared" si="114"/>
        <v>Lower-Middle</v>
      </c>
    </row>
    <row r="1422" spans="1:24">
      <c r="A1422" s="6" t="s">
        <v>536</v>
      </c>
      <c r="B1422" s="6" t="s">
        <v>3145</v>
      </c>
      <c r="C1422" s="6" t="s">
        <v>39</v>
      </c>
      <c r="D1422" s="6" t="s">
        <v>195</v>
      </c>
      <c r="E1422" s="6" t="s">
        <v>300</v>
      </c>
      <c r="F1422" s="6">
        <v>81</v>
      </c>
      <c r="G1422" s="6" t="s">
        <v>24</v>
      </c>
      <c r="H1422" s="6" t="s">
        <v>3146</v>
      </c>
      <c r="I1422" s="6" t="s">
        <v>4356</v>
      </c>
      <c r="J1422" s="8">
        <v>44277</v>
      </c>
      <c r="K1422" s="8">
        <v>45300</v>
      </c>
      <c r="L1422" s="6">
        <v>149000.4</v>
      </c>
      <c r="M1422" s="6">
        <v>102000.6</v>
      </c>
      <c r="N1422" s="6">
        <v>670</v>
      </c>
      <c r="O1422" s="6">
        <v>189000</v>
      </c>
      <c r="P1422" s="6" t="s">
        <v>76</v>
      </c>
      <c r="Q1422" s="6" t="s">
        <v>27</v>
      </c>
      <c r="R1422" s="6">
        <v>0</v>
      </c>
      <c r="S1422" s="6" t="s">
        <v>28</v>
      </c>
      <c r="T1422" s="7">
        <f t="shared" si="110"/>
        <v>0.53968571428571432</v>
      </c>
      <c r="U1422" s="6">
        <f t="shared" si="111"/>
        <v>6</v>
      </c>
      <c r="V1422" s="5" t="str">
        <f t="shared" si="112"/>
        <v>GOOD</v>
      </c>
      <c r="W1422" s="6" t="str">
        <f t="shared" si="113"/>
        <v>55+</v>
      </c>
      <c r="X1422" s="6" t="str">
        <f t="shared" si="114"/>
        <v>Upper-Middle</v>
      </c>
    </row>
    <row r="1423" spans="1:24">
      <c r="A1423" s="6" t="s">
        <v>539</v>
      </c>
      <c r="B1423" s="6" t="s">
        <v>3147</v>
      </c>
      <c r="C1423" s="6" t="s">
        <v>21</v>
      </c>
      <c r="D1423" s="6" t="s">
        <v>58</v>
      </c>
      <c r="E1423" s="6" t="s">
        <v>59</v>
      </c>
      <c r="F1423" s="6">
        <v>89</v>
      </c>
      <c r="G1423" s="6" t="s">
        <v>34</v>
      </c>
      <c r="H1423" s="6" t="s">
        <v>3148</v>
      </c>
      <c r="I1423" s="6" t="s">
        <v>3767</v>
      </c>
      <c r="J1423" s="8">
        <v>43852</v>
      </c>
      <c r="K1423" s="8">
        <v>45299</v>
      </c>
      <c r="L1423" s="6">
        <v>315900.75</v>
      </c>
      <c r="M1423" s="6">
        <v>119000.8</v>
      </c>
      <c r="N1423" s="6">
        <v>835</v>
      </c>
      <c r="O1423" s="6">
        <v>334000</v>
      </c>
      <c r="P1423" s="6" t="s">
        <v>36</v>
      </c>
      <c r="Q1423" s="6" t="s">
        <v>27</v>
      </c>
      <c r="R1423" s="6">
        <v>0</v>
      </c>
      <c r="S1423" s="6" t="s">
        <v>28</v>
      </c>
      <c r="T1423" s="7">
        <f t="shared" si="110"/>
        <v>0.35628982035928147</v>
      </c>
      <c r="U1423" s="6">
        <f t="shared" si="111"/>
        <v>7</v>
      </c>
      <c r="V1423" s="5" t="str">
        <f t="shared" si="112"/>
        <v>EXCEPTIONAL</v>
      </c>
      <c r="W1423" s="6" t="str">
        <f t="shared" si="113"/>
        <v>55+</v>
      </c>
      <c r="X1423" s="6" t="str">
        <f t="shared" si="114"/>
        <v>High</v>
      </c>
    </row>
    <row r="1424" spans="1:24">
      <c r="A1424" s="6" t="s">
        <v>542</v>
      </c>
      <c r="B1424" s="6" t="s">
        <v>3149</v>
      </c>
      <c r="C1424" s="6" t="s">
        <v>52</v>
      </c>
      <c r="D1424" s="6" t="s">
        <v>68</v>
      </c>
      <c r="E1424" s="6" t="s">
        <v>179</v>
      </c>
      <c r="F1424" s="6">
        <v>76</v>
      </c>
      <c r="G1424" s="6" t="s">
        <v>34</v>
      </c>
      <c r="H1424" s="6" t="s">
        <v>3150</v>
      </c>
      <c r="I1424" s="6" t="s">
        <v>4346</v>
      </c>
      <c r="J1424" s="8">
        <v>44795</v>
      </c>
      <c r="K1424" s="8">
        <v>45302</v>
      </c>
      <c r="L1424" s="6">
        <v>89700.6</v>
      </c>
      <c r="M1424" s="6">
        <v>59700.25</v>
      </c>
      <c r="N1424" s="6">
        <v>665</v>
      </c>
      <c r="O1424" s="6">
        <v>142000</v>
      </c>
      <c r="P1424" s="6" t="s">
        <v>26</v>
      </c>
      <c r="Q1424" s="6" t="s">
        <v>27</v>
      </c>
      <c r="R1424" s="6">
        <v>0</v>
      </c>
      <c r="S1424" s="6" t="s">
        <v>28</v>
      </c>
      <c r="T1424" s="7">
        <f t="shared" si="110"/>
        <v>0.4204242957746479</v>
      </c>
      <c r="U1424" s="6">
        <f t="shared" si="111"/>
        <v>4</v>
      </c>
      <c r="V1424" s="5" t="str">
        <f t="shared" si="112"/>
        <v>FAIR</v>
      </c>
      <c r="W1424" s="6" t="str">
        <f t="shared" si="113"/>
        <v>55+</v>
      </c>
      <c r="X1424" s="6" t="str">
        <f t="shared" si="114"/>
        <v>Upper-Middle</v>
      </c>
    </row>
    <row r="1425" spans="1:24">
      <c r="A1425" s="6" t="s">
        <v>545</v>
      </c>
      <c r="B1425" s="6" t="s">
        <v>3151</v>
      </c>
      <c r="C1425" s="6" t="s">
        <v>46</v>
      </c>
      <c r="D1425" s="6" t="s">
        <v>241</v>
      </c>
      <c r="E1425" s="6" t="s">
        <v>389</v>
      </c>
      <c r="F1425" s="6">
        <v>68</v>
      </c>
      <c r="G1425" s="6" t="s">
        <v>24</v>
      </c>
      <c r="H1425" s="6" t="s">
        <v>3152</v>
      </c>
      <c r="I1425" s="6" t="s">
        <v>4357</v>
      </c>
      <c r="J1425" s="8">
        <v>45434</v>
      </c>
      <c r="K1425" s="8">
        <v>45303</v>
      </c>
      <c r="L1425" s="6">
        <v>113000.8</v>
      </c>
      <c r="M1425" s="6">
        <v>67200.399999999994</v>
      </c>
      <c r="N1425" s="6">
        <v>750</v>
      </c>
      <c r="O1425" s="6">
        <v>168000</v>
      </c>
      <c r="P1425" s="6" t="s">
        <v>26</v>
      </c>
      <c r="Q1425" s="6" t="s">
        <v>27</v>
      </c>
      <c r="R1425" s="6">
        <v>0</v>
      </c>
      <c r="S1425" s="6" t="s">
        <v>28</v>
      </c>
      <c r="T1425" s="7">
        <f t="shared" si="110"/>
        <v>0.40000238095238094</v>
      </c>
      <c r="U1425" s="6">
        <f t="shared" si="111"/>
        <v>3</v>
      </c>
      <c r="V1425" s="5" t="str">
        <f t="shared" si="112"/>
        <v>VERY GOOD</v>
      </c>
      <c r="W1425" s="6" t="str">
        <f t="shared" si="113"/>
        <v>55+</v>
      </c>
      <c r="X1425" s="6" t="str">
        <f t="shared" si="114"/>
        <v>Upper-Middle</v>
      </c>
    </row>
    <row r="1426" spans="1:24">
      <c r="A1426" s="6" t="s">
        <v>548</v>
      </c>
      <c r="B1426" s="6" t="s">
        <v>3153</v>
      </c>
      <c r="C1426" s="6" t="s">
        <v>57</v>
      </c>
      <c r="D1426" s="6" t="s">
        <v>22</v>
      </c>
      <c r="E1426" s="6" t="s">
        <v>381</v>
      </c>
      <c r="F1426" s="6">
        <v>64</v>
      </c>
      <c r="G1426" s="6" t="s">
        <v>34</v>
      </c>
      <c r="H1426" s="6" t="s">
        <v>3154</v>
      </c>
      <c r="I1426" s="6" t="s">
        <v>3769</v>
      </c>
      <c r="J1426" s="8">
        <v>45618</v>
      </c>
      <c r="K1426" s="8">
        <v>45305</v>
      </c>
      <c r="L1426" s="6">
        <v>51900.9</v>
      </c>
      <c r="M1426" s="6">
        <v>20000.75</v>
      </c>
      <c r="N1426" s="6">
        <v>770</v>
      </c>
      <c r="O1426" s="6">
        <v>99000</v>
      </c>
      <c r="P1426" s="6" t="s">
        <v>36</v>
      </c>
      <c r="Q1426" s="6" t="s">
        <v>27</v>
      </c>
      <c r="R1426" s="6">
        <v>0</v>
      </c>
      <c r="S1426" s="6" t="s">
        <v>28</v>
      </c>
      <c r="T1426" s="7">
        <f t="shared" si="110"/>
        <v>0.20202777777777778</v>
      </c>
      <c r="U1426" s="6">
        <f t="shared" si="111"/>
        <v>1</v>
      </c>
      <c r="V1426" s="5" t="str">
        <f t="shared" si="112"/>
        <v>VERY GOOD</v>
      </c>
      <c r="W1426" s="6" t="str">
        <f t="shared" si="113"/>
        <v>55+</v>
      </c>
      <c r="X1426" s="6" t="str">
        <f t="shared" si="114"/>
        <v>Lower-Middle</v>
      </c>
    </row>
    <row r="1427" spans="1:24">
      <c r="A1427" s="6" t="s">
        <v>551</v>
      </c>
      <c r="B1427" s="6" t="s">
        <v>3155</v>
      </c>
      <c r="C1427" s="6" t="s">
        <v>39</v>
      </c>
      <c r="D1427" s="6" t="s">
        <v>313</v>
      </c>
      <c r="E1427" s="6" t="s">
        <v>501</v>
      </c>
      <c r="F1427" s="6">
        <v>87</v>
      </c>
      <c r="G1427" s="6" t="s">
        <v>24</v>
      </c>
      <c r="H1427" s="6" t="s">
        <v>3156</v>
      </c>
      <c r="I1427" s="6" t="s">
        <v>4358</v>
      </c>
      <c r="J1427" s="8">
        <v>44034</v>
      </c>
      <c r="K1427" s="8">
        <v>45299</v>
      </c>
      <c r="L1427" s="6">
        <v>202100.25</v>
      </c>
      <c r="M1427" s="6">
        <v>123000.8</v>
      </c>
      <c r="N1427" s="6">
        <v>645</v>
      </c>
      <c r="O1427" s="6">
        <v>239000</v>
      </c>
      <c r="P1427" s="6" t="s">
        <v>76</v>
      </c>
      <c r="Q1427" s="6" t="s">
        <v>27</v>
      </c>
      <c r="R1427" s="6">
        <v>0</v>
      </c>
      <c r="S1427" s="6" t="s">
        <v>28</v>
      </c>
      <c r="T1427" s="7">
        <f t="shared" si="110"/>
        <v>0.5146476987447699</v>
      </c>
      <c r="U1427" s="6">
        <f t="shared" si="111"/>
        <v>7</v>
      </c>
      <c r="V1427" s="5" t="str">
        <f t="shared" si="112"/>
        <v>FAIR</v>
      </c>
      <c r="W1427" s="6" t="str">
        <f t="shared" si="113"/>
        <v>55+</v>
      </c>
      <c r="X1427" s="6" t="str">
        <f t="shared" si="114"/>
        <v>High</v>
      </c>
    </row>
    <row r="1428" spans="1:24">
      <c r="A1428" s="6" t="s">
        <v>554</v>
      </c>
      <c r="B1428" s="6" t="s">
        <v>3157</v>
      </c>
      <c r="C1428" s="6" t="s">
        <v>31</v>
      </c>
      <c r="D1428" s="6" t="s">
        <v>214</v>
      </c>
      <c r="E1428" s="6" t="s">
        <v>483</v>
      </c>
      <c r="F1428" s="6">
        <v>60</v>
      </c>
      <c r="G1428" s="6" t="s">
        <v>34</v>
      </c>
      <c r="H1428" s="6" t="s">
        <v>3158</v>
      </c>
      <c r="I1428" s="6" t="s">
        <v>4359</v>
      </c>
      <c r="J1428" s="8">
        <v>45669</v>
      </c>
      <c r="K1428" s="8">
        <v>45306</v>
      </c>
      <c r="L1428" s="6">
        <v>44200.5</v>
      </c>
      <c r="M1428" s="6">
        <v>19600.400000000001</v>
      </c>
      <c r="N1428" s="6">
        <v>720</v>
      </c>
      <c r="O1428" s="6">
        <v>76000</v>
      </c>
      <c r="P1428" s="6" t="s">
        <v>36</v>
      </c>
      <c r="Q1428" s="6" t="s">
        <v>27</v>
      </c>
      <c r="R1428" s="6">
        <v>0</v>
      </c>
      <c r="S1428" s="6" t="s">
        <v>28</v>
      </c>
      <c r="T1428" s="7">
        <f t="shared" si="110"/>
        <v>0.25790000000000002</v>
      </c>
      <c r="U1428" s="6">
        <f t="shared" si="111"/>
        <v>0</v>
      </c>
      <c r="V1428" s="5" t="str">
        <f t="shared" si="112"/>
        <v>GOOD</v>
      </c>
      <c r="W1428" s="6" t="str">
        <f t="shared" si="113"/>
        <v>55+</v>
      </c>
      <c r="X1428" s="6" t="str">
        <f t="shared" si="114"/>
        <v>Lower-Middle</v>
      </c>
    </row>
    <row r="1429" spans="1:24">
      <c r="A1429" s="6" t="s">
        <v>108</v>
      </c>
      <c r="B1429" s="6" t="s">
        <v>3159</v>
      </c>
      <c r="C1429" s="6" t="s">
        <v>84</v>
      </c>
      <c r="D1429" s="6" t="s">
        <v>32</v>
      </c>
      <c r="E1429" s="6" t="s">
        <v>33</v>
      </c>
      <c r="F1429" s="6">
        <v>56</v>
      </c>
      <c r="G1429" s="6" t="s">
        <v>24</v>
      </c>
      <c r="H1429" s="6" t="s">
        <v>3160</v>
      </c>
      <c r="I1429" s="6" t="s">
        <v>3509</v>
      </c>
      <c r="J1429" s="8">
        <v>45672</v>
      </c>
      <c r="K1429" s="8">
        <v>45304</v>
      </c>
      <c r="L1429" s="6">
        <v>5250.8</v>
      </c>
      <c r="M1429" s="6">
        <v>15400.25</v>
      </c>
      <c r="N1429" s="6">
        <v>605</v>
      </c>
      <c r="O1429" s="6">
        <v>52000</v>
      </c>
      <c r="P1429" s="6" t="s">
        <v>76</v>
      </c>
      <c r="Q1429" s="6" t="s">
        <v>43</v>
      </c>
      <c r="R1429" s="6">
        <v>0</v>
      </c>
      <c r="S1429" s="6" t="s">
        <v>28</v>
      </c>
      <c r="T1429" s="7">
        <f t="shared" si="110"/>
        <v>0.29615865384615386</v>
      </c>
      <c r="U1429" s="6">
        <f t="shared" si="111"/>
        <v>2</v>
      </c>
      <c r="V1429" s="5" t="str">
        <f t="shared" si="112"/>
        <v>FAIR</v>
      </c>
      <c r="W1429" s="6" t="str">
        <f t="shared" si="113"/>
        <v>55+</v>
      </c>
      <c r="X1429" s="6" t="str">
        <f t="shared" si="114"/>
        <v>Low</v>
      </c>
    </row>
    <row r="1430" spans="1:24">
      <c r="A1430" s="6" t="s">
        <v>559</v>
      </c>
      <c r="B1430" s="6" t="s">
        <v>3161</v>
      </c>
      <c r="C1430" s="6" t="s">
        <v>46</v>
      </c>
      <c r="D1430" s="6" t="s">
        <v>254</v>
      </c>
      <c r="E1430" s="6" t="s">
        <v>255</v>
      </c>
      <c r="F1430" s="6">
        <v>70</v>
      </c>
      <c r="G1430" s="6" t="s">
        <v>34</v>
      </c>
      <c r="H1430" s="6" t="s">
        <v>3162</v>
      </c>
      <c r="I1430" s="6" t="s">
        <v>4360</v>
      </c>
      <c r="J1430" s="8">
        <v>45313</v>
      </c>
      <c r="K1430" s="8">
        <v>45302</v>
      </c>
      <c r="L1430" s="6">
        <v>99700.4</v>
      </c>
      <c r="M1430" s="6">
        <v>61900.75</v>
      </c>
      <c r="N1430" s="6">
        <v>710</v>
      </c>
      <c r="O1430" s="6">
        <v>150000</v>
      </c>
      <c r="P1430" s="6" t="s">
        <v>26</v>
      </c>
      <c r="Q1430" s="6" t="s">
        <v>27</v>
      </c>
      <c r="R1430" s="6">
        <v>0</v>
      </c>
      <c r="S1430" s="6" t="s">
        <v>28</v>
      </c>
      <c r="T1430" s="7">
        <f t="shared" si="110"/>
        <v>0.41267166666666666</v>
      </c>
      <c r="U1430" s="6">
        <f t="shared" si="111"/>
        <v>4</v>
      </c>
      <c r="V1430" s="5" t="str">
        <f t="shared" si="112"/>
        <v>GOOD</v>
      </c>
      <c r="W1430" s="6" t="str">
        <f t="shared" si="113"/>
        <v>55+</v>
      </c>
      <c r="X1430" s="6" t="str">
        <f t="shared" si="114"/>
        <v>Upper-Middle</v>
      </c>
    </row>
    <row r="1431" spans="1:24">
      <c r="A1431" s="6" t="s">
        <v>562</v>
      </c>
      <c r="B1431" s="6" t="s">
        <v>3163</v>
      </c>
      <c r="C1431" s="6" t="s">
        <v>39</v>
      </c>
      <c r="D1431" s="6" t="s">
        <v>47</v>
      </c>
      <c r="E1431" s="6" t="s">
        <v>48</v>
      </c>
      <c r="F1431" s="6">
        <v>84</v>
      </c>
      <c r="G1431" s="6" t="s">
        <v>24</v>
      </c>
      <c r="H1431" s="6" t="s">
        <v>3164</v>
      </c>
      <c r="I1431" s="6" t="s">
        <v>3773</v>
      </c>
      <c r="J1431" s="8">
        <v>44187</v>
      </c>
      <c r="K1431" s="8">
        <v>45300</v>
      </c>
      <c r="L1431" s="6">
        <v>182300.6</v>
      </c>
      <c r="M1431" s="6">
        <v>116000.25</v>
      </c>
      <c r="N1431" s="6">
        <v>675</v>
      </c>
      <c r="O1431" s="6">
        <v>219000</v>
      </c>
      <c r="P1431" s="6" t="s">
        <v>76</v>
      </c>
      <c r="Q1431" s="6" t="s">
        <v>27</v>
      </c>
      <c r="R1431" s="6">
        <v>0</v>
      </c>
      <c r="S1431" s="6" t="s">
        <v>28</v>
      </c>
      <c r="T1431" s="7">
        <f t="shared" si="110"/>
        <v>0.52968150684931503</v>
      </c>
      <c r="U1431" s="6">
        <f t="shared" si="111"/>
        <v>6</v>
      </c>
      <c r="V1431" s="5" t="str">
        <f t="shared" si="112"/>
        <v>GOOD</v>
      </c>
      <c r="W1431" s="6" t="str">
        <f t="shared" si="113"/>
        <v>55+</v>
      </c>
      <c r="X1431" s="6" t="str">
        <f t="shared" si="114"/>
        <v>High</v>
      </c>
    </row>
    <row r="1432" spans="1:24">
      <c r="A1432" s="6" t="s">
        <v>565</v>
      </c>
      <c r="B1432" s="6" t="s">
        <v>3165</v>
      </c>
      <c r="C1432" s="6" t="s">
        <v>52</v>
      </c>
      <c r="D1432" s="6" t="s">
        <v>233</v>
      </c>
      <c r="E1432" s="6" t="s">
        <v>296</v>
      </c>
      <c r="F1432" s="6">
        <v>69</v>
      </c>
      <c r="G1432" s="6" t="s">
        <v>34</v>
      </c>
      <c r="H1432" s="6" t="s">
        <v>3166</v>
      </c>
      <c r="I1432" s="6" t="s">
        <v>3774</v>
      </c>
      <c r="J1432" s="8">
        <v>45099</v>
      </c>
      <c r="K1432" s="8">
        <v>45301</v>
      </c>
      <c r="L1432" s="6">
        <v>76100.75</v>
      </c>
      <c r="M1432" s="6">
        <v>53000.800000000003</v>
      </c>
      <c r="N1432" s="6">
        <v>725</v>
      </c>
      <c r="O1432" s="6">
        <v>116000</v>
      </c>
      <c r="P1432" s="6" t="s">
        <v>26</v>
      </c>
      <c r="Q1432" s="6" t="s">
        <v>27</v>
      </c>
      <c r="R1432" s="6">
        <v>0</v>
      </c>
      <c r="S1432" s="6" t="s">
        <v>28</v>
      </c>
      <c r="T1432" s="7">
        <f t="shared" si="110"/>
        <v>0.4569034482758621</v>
      </c>
      <c r="U1432" s="6">
        <f t="shared" si="111"/>
        <v>5</v>
      </c>
      <c r="V1432" s="5" t="str">
        <f t="shared" si="112"/>
        <v>GOOD</v>
      </c>
      <c r="W1432" s="6" t="str">
        <f t="shared" si="113"/>
        <v>55+</v>
      </c>
      <c r="X1432" s="6" t="str">
        <f t="shared" si="114"/>
        <v>Lower-Middle</v>
      </c>
    </row>
    <row r="1433" spans="1:24">
      <c r="A1433" s="6" t="s">
        <v>568</v>
      </c>
      <c r="B1433" s="6" t="s">
        <v>3167</v>
      </c>
      <c r="C1433" s="6" t="s">
        <v>57</v>
      </c>
      <c r="D1433" s="6" t="s">
        <v>79</v>
      </c>
      <c r="E1433" s="6" t="s">
        <v>102</v>
      </c>
      <c r="F1433" s="6">
        <v>67</v>
      </c>
      <c r="G1433" s="6" t="s">
        <v>24</v>
      </c>
      <c r="H1433" s="6" t="s">
        <v>3168</v>
      </c>
      <c r="I1433" s="6" t="s">
        <v>3775</v>
      </c>
      <c r="J1433" s="8">
        <v>45557</v>
      </c>
      <c r="K1433" s="8">
        <v>45303</v>
      </c>
      <c r="L1433" s="6">
        <v>54100.4</v>
      </c>
      <c r="M1433" s="6">
        <v>20800.900000000001</v>
      </c>
      <c r="N1433" s="6">
        <v>740</v>
      </c>
      <c r="O1433" s="6">
        <v>102000</v>
      </c>
      <c r="P1433" s="6" t="s">
        <v>36</v>
      </c>
      <c r="Q1433" s="6" t="s">
        <v>27</v>
      </c>
      <c r="R1433" s="6">
        <v>0</v>
      </c>
      <c r="S1433" s="6" t="s">
        <v>28</v>
      </c>
      <c r="T1433" s="7">
        <f t="shared" si="110"/>
        <v>0.20393039215686276</v>
      </c>
      <c r="U1433" s="6">
        <f t="shared" si="111"/>
        <v>3</v>
      </c>
      <c r="V1433" s="5" t="str">
        <f t="shared" si="112"/>
        <v>GOOD</v>
      </c>
      <c r="W1433" s="6" t="str">
        <f t="shared" si="113"/>
        <v>55+</v>
      </c>
      <c r="X1433" s="6" t="str">
        <f t="shared" si="114"/>
        <v>Lower-Middle</v>
      </c>
    </row>
    <row r="1434" spans="1:24">
      <c r="A1434" s="6" t="s">
        <v>571</v>
      </c>
      <c r="B1434" s="6" t="s">
        <v>3169</v>
      </c>
      <c r="C1434" s="6" t="s">
        <v>21</v>
      </c>
      <c r="D1434" s="6" t="s">
        <v>63</v>
      </c>
      <c r="E1434" s="6" t="s">
        <v>106</v>
      </c>
      <c r="F1434" s="6">
        <v>90</v>
      </c>
      <c r="G1434" s="6" t="s">
        <v>34</v>
      </c>
      <c r="H1434" s="6" t="s">
        <v>3170</v>
      </c>
      <c r="I1434" s="6" t="s">
        <v>4361</v>
      </c>
      <c r="J1434" s="8">
        <v>43730</v>
      </c>
      <c r="K1434" s="8">
        <v>45299</v>
      </c>
      <c r="L1434" s="6">
        <v>271200.90000000002</v>
      </c>
      <c r="M1434" s="6">
        <v>106000.6</v>
      </c>
      <c r="N1434" s="6">
        <v>830</v>
      </c>
      <c r="O1434" s="6">
        <v>314000</v>
      </c>
      <c r="P1434" s="6" t="s">
        <v>36</v>
      </c>
      <c r="Q1434" s="6" t="s">
        <v>27</v>
      </c>
      <c r="R1434" s="6">
        <v>0</v>
      </c>
      <c r="S1434" s="6" t="s">
        <v>28</v>
      </c>
      <c r="T1434" s="7">
        <f t="shared" si="110"/>
        <v>0.33758152866242042</v>
      </c>
      <c r="U1434" s="6">
        <f t="shared" si="111"/>
        <v>7</v>
      </c>
      <c r="V1434" s="5" t="str">
        <f t="shared" si="112"/>
        <v>EXCEPTIONAL</v>
      </c>
      <c r="W1434" s="6" t="str">
        <f t="shared" si="113"/>
        <v>55+</v>
      </c>
      <c r="X1434" s="6" t="str">
        <f t="shared" si="114"/>
        <v>High</v>
      </c>
    </row>
    <row r="1435" spans="1:24">
      <c r="A1435" s="6" t="s">
        <v>574</v>
      </c>
      <c r="B1435" s="6" t="s">
        <v>3171</v>
      </c>
      <c r="C1435" s="6" t="s">
        <v>39</v>
      </c>
      <c r="D1435" s="6" t="s">
        <v>68</v>
      </c>
      <c r="E1435" s="6" t="s">
        <v>114</v>
      </c>
      <c r="F1435" s="6">
        <v>82</v>
      </c>
      <c r="G1435" s="6" t="s">
        <v>24</v>
      </c>
      <c r="H1435" s="6" t="s">
        <v>3172</v>
      </c>
      <c r="I1435" s="6" t="s">
        <v>4362</v>
      </c>
      <c r="J1435" s="8">
        <v>44328</v>
      </c>
      <c r="K1435" s="8">
        <v>45300</v>
      </c>
      <c r="L1435" s="6">
        <v>160100.25</v>
      </c>
      <c r="M1435" s="6">
        <v>108000.4</v>
      </c>
      <c r="N1435" s="6">
        <v>655</v>
      </c>
      <c r="O1435" s="6">
        <v>204000</v>
      </c>
      <c r="P1435" s="6" t="s">
        <v>76</v>
      </c>
      <c r="Q1435" s="6" t="s">
        <v>27</v>
      </c>
      <c r="R1435" s="6">
        <v>0</v>
      </c>
      <c r="S1435" s="6" t="s">
        <v>28</v>
      </c>
      <c r="T1435" s="7">
        <f t="shared" si="110"/>
        <v>0.52941372549019605</v>
      </c>
      <c r="U1435" s="6">
        <f t="shared" si="111"/>
        <v>6</v>
      </c>
      <c r="V1435" s="5" t="str">
        <f t="shared" si="112"/>
        <v>FAIR</v>
      </c>
      <c r="W1435" s="6" t="str">
        <f t="shared" si="113"/>
        <v>55+</v>
      </c>
      <c r="X1435" s="6" t="str">
        <f t="shared" si="114"/>
        <v>High</v>
      </c>
    </row>
    <row r="1436" spans="1:24">
      <c r="A1436" s="6" t="s">
        <v>577</v>
      </c>
      <c r="B1436" s="6" t="s">
        <v>3173</v>
      </c>
      <c r="C1436" s="6" t="s">
        <v>46</v>
      </c>
      <c r="D1436" s="6" t="s">
        <v>85</v>
      </c>
      <c r="E1436" s="6" t="s">
        <v>130</v>
      </c>
      <c r="F1436" s="6">
        <v>71</v>
      </c>
      <c r="G1436" s="6" t="s">
        <v>34</v>
      </c>
      <c r="H1436" s="6" t="s">
        <v>3174</v>
      </c>
      <c r="I1436" s="6" t="s">
        <v>3778</v>
      </c>
      <c r="J1436" s="8">
        <v>45221</v>
      </c>
      <c r="K1436" s="8">
        <v>45302</v>
      </c>
      <c r="L1436" s="6">
        <v>118600.6</v>
      </c>
      <c r="M1436" s="6">
        <v>69900.75</v>
      </c>
      <c r="N1436" s="6">
        <v>760</v>
      </c>
      <c r="O1436" s="6">
        <v>173000</v>
      </c>
      <c r="P1436" s="6" t="s">
        <v>26</v>
      </c>
      <c r="Q1436" s="6" t="s">
        <v>27</v>
      </c>
      <c r="R1436" s="6">
        <v>0</v>
      </c>
      <c r="S1436" s="6" t="s">
        <v>28</v>
      </c>
      <c r="T1436" s="7">
        <f t="shared" si="110"/>
        <v>0.40405057803468208</v>
      </c>
      <c r="U1436" s="6">
        <f t="shared" si="111"/>
        <v>4</v>
      </c>
      <c r="V1436" s="5" t="str">
        <f t="shared" si="112"/>
        <v>VERY GOOD</v>
      </c>
      <c r="W1436" s="6" t="str">
        <f t="shared" si="113"/>
        <v>55+</v>
      </c>
      <c r="X1436" s="6" t="str">
        <f t="shared" si="114"/>
        <v>Upper-Middle</v>
      </c>
    </row>
    <row r="1437" spans="1:24">
      <c r="A1437" s="6" t="s">
        <v>458</v>
      </c>
      <c r="B1437" s="6" t="s">
        <v>3175</v>
      </c>
      <c r="C1437" s="6" t="s">
        <v>31</v>
      </c>
      <c r="D1437" s="6" t="s">
        <v>460</v>
      </c>
      <c r="E1437" s="6" t="s">
        <v>663</v>
      </c>
      <c r="F1437" s="6">
        <v>62</v>
      </c>
      <c r="G1437" s="6" t="s">
        <v>24</v>
      </c>
      <c r="H1437" s="6" t="s">
        <v>3176</v>
      </c>
      <c r="I1437" s="6" t="s">
        <v>4363</v>
      </c>
      <c r="J1437" s="8">
        <v>45665</v>
      </c>
      <c r="K1437" s="8">
        <v>45306</v>
      </c>
      <c r="L1437" s="6">
        <v>25400.25</v>
      </c>
      <c r="M1437" s="6">
        <v>15100.8</v>
      </c>
      <c r="N1437" s="6">
        <v>695</v>
      </c>
      <c r="O1437" s="6">
        <v>73000</v>
      </c>
      <c r="P1437" s="6" t="s">
        <v>26</v>
      </c>
      <c r="Q1437" s="6" t="s">
        <v>43</v>
      </c>
      <c r="R1437" s="6">
        <v>0</v>
      </c>
      <c r="S1437" s="6" t="s">
        <v>28</v>
      </c>
      <c r="T1437" s="7">
        <f t="shared" si="110"/>
        <v>0.20686027397260273</v>
      </c>
      <c r="U1437" s="6">
        <f t="shared" si="111"/>
        <v>0</v>
      </c>
      <c r="V1437" s="5" t="str">
        <f t="shared" si="112"/>
        <v>GOOD</v>
      </c>
      <c r="W1437" s="6" t="str">
        <f t="shared" si="113"/>
        <v>55+</v>
      </c>
      <c r="X1437" s="6" t="str">
        <f t="shared" si="114"/>
        <v>Low</v>
      </c>
    </row>
    <row r="1438" spans="1:24">
      <c r="A1438" s="6" t="s">
        <v>582</v>
      </c>
      <c r="B1438" s="6" t="s">
        <v>3177</v>
      </c>
      <c r="C1438" s="6" t="s">
        <v>57</v>
      </c>
      <c r="D1438" s="6" t="s">
        <v>22</v>
      </c>
      <c r="E1438" s="6" t="s">
        <v>23</v>
      </c>
      <c r="F1438" s="6">
        <v>65</v>
      </c>
      <c r="G1438" s="6" t="s">
        <v>34</v>
      </c>
      <c r="H1438" s="6" t="s">
        <v>3178</v>
      </c>
      <c r="I1438" s="6" t="s">
        <v>3949</v>
      </c>
      <c r="J1438" s="8">
        <v>45495</v>
      </c>
      <c r="K1438" s="8">
        <v>45303</v>
      </c>
      <c r="L1438" s="6">
        <v>53000.9</v>
      </c>
      <c r="M1438" s="6">
        <v>20400.25</v>
      </c>
      <c r="N1438" s="6">
        <v>755</v>
      </c>
      <c r="O1438" s="6">
        <v>95000</v>
      </c>
      <c r="P1438" s="6" t="s">
        <v>36</v>
      </c>
      <c r="Q1438" s="6" t="s">
        <v>27</v>
      </c>
      <c r="R1438" s="6">
        <v>0</v>
      </c>
      <c r="S1438" s="6" t="s">
        <v>28</v>
      </c>
      <c r="T1438" s="7">
        <f t="shared" si="110"/>
        <v>0.21473947368421054</v>
      </c>
      <c r="U1438" s="6">
        <f t="shared" si="111"/>
        <v>3</v>
      </c>
      <c r="V1438" s="5" t="str">
        <f t="shared" si="112"/>
        <v>VERY GOOD</v>
      </c>
      <c r="W1438" s="6" t="str">
        <f t="shared" si="113"/>
        <v>55+</v>
      </c>
      <c r="X1438" s="6" t="str">
        <f t="shared" si="114"/>
        <v>Lower-Middle</v>
      </c>
    </row>
    <row r="1439" spans="1:24">
      <c r="A1439" s="6" t="s">
        <v>55</v>
      </c>
      <c r="B1439" s="6" t="s">
        <v>3179</v>
      </c>
      <c r="C1439" s="6" t="s">
        <v>39</v>
      </c>
      <c r="D1439" s="6" t="s">
        <v>58</v>
      </c>
      <c r="E1439" s="6" t="s">
        <v>122</v>
      </c>
      <c r="F1439" s="6">
        <v>83</v>
      </c>
      <c r="G1439" s="6" t="s">
        <v>24</v>
      </c>
      <c r="H1439" s="6" t="s">
        <v>3180</v>
      </c>
      <c r="I1439" s="6" t="s">
        <v>3781</v>
      </c>
      <c r="J1439" s="8">
        <v>44249</v>
      </c>
      <c r="K1439" s="8">
        <v>45300</v>
      </c>
      <c r="L1439" s="6">
        <v>193000.4</v>
      </c>
      <c r="M1439" s="6">
        <v>121000.75</v>
      </c>
      <c r="N1439" s="6">
        <v>685</v>
      </c>
      <c r="O1439" s="6">
        <v>229000</v>
      </c>
      <c r="P1439" s="6" t="s">
        <v>76</v>
      </c>
      <c r="Q1439" s="6" t="s">
        <v>27</v>
      </c>
      <c r="R1439" s="6">
        <v>0</v>
      </c>
      <c r="S1439" s="6" t="s">
        <v>28</v>
      </c>
      <c r="T1439" s="7">
        <f t="shared" si="110"/>
        <v>0.52838755458515285</v>
      </c>
      <c r="U1439" s="6">
        <f t="shared" si="111"/>
        <v>6</v>
      </c>
      <c r="V1439" s="5" t="str">
        <f t="shared" si="112"/>
        <v>GOOD</v>
      </c>
      <c r="W1439" s="6" t="str">
        <f t="shared" si="113"/>
        <v>55+</v>
      </c>
      <c r="X1439" s="6" t="str">
        <f t="shared" si="114"/>
        <v>High</v>
      </c>
    </row>
    <row r="1440" spans="1:24">
      <c r="A1440" s="6" t="s">
        <v>469</v>
      </c>
      <c r="B1440" s="6" t="s">
        <v>3181</v>
      </c>
      <c r="C1440" s="6" t="s">
        <v>52</v>
      </c>
      <c r="D1440" s="6" t="s">
        <v>471</v>
      </c>
      <c r="E1440" s="6" t="s">
        <v>472</v>
      </c>
      <c r="F1440" s="6">
        <v>74</v>
      </c>
      <c r="G1440" s="6" t="s">
        <v>34</v>
      </c>
      <c r="H1440" s="6" t="s">
        <v>3182</v>
      </c>
      <c r="I1440" s="6" t="s">
        <v>4364</v>
      </c>
      <c r="J1440" s="8">
        <v>44887</v>
      </c>
      <c r="K1440" s="8">
        <v>45301</v>
      </c>
      <c r="L1440" s="6">
        <v>83000.800000000003</v>
      </c>
      <c r="M1440" s="6">
        <v>56100.6</v>
      </c>
      <c r="N1440" s="6">
        <v>715</v>
      </c>
      <c r="O1440" s="6">
        <v>128000</v>
      </c>
      <c r="P1440" s="6" t="s">
        <v>26</v>
      </c>
      <c r="Q1440" s="6" t="s">
        <v>27</v>
      </c>
      <c r="R1440" s="6">
        <v>0</v>
      </c>
      <c r="S1440" s="6" t="s">
        <v>28</v>
      </c>
      <c r="T1440" s="7">
        <f t="shared" si="110"/>
        <v>0.4382859375</v>
      </c>
      <c r="U1440" s="6">
        <f t="shared" si="111"/>
        <v>5</v>
      </c>
      <c r="V1440" s="5" t="str">
        <f t="shared" si="112"/>
        <v>GOOD</v>
      </c>
      <c r="W1440" s="6" t="str">
        <f t="shared" si="113"/>
        <v>55+</v>
      </c>
      <c r="X1440" s="6" t="str">
        <f t="shared" si="114"/>
        <v>Upper-Middle</v>
      </c>
    </row>
    <row r="1441" spans="1:24">
      <c r="A1441" s="6" t="s">
        <v>474</v>
      </c>
      <c r="B1441" s="6" t="s">
        <v>3183</v>
      </c>
      <c r="C1441" s="6" t="s">
        <v>46</v>
      </c>
      <c r="D1441" s="6" t="s">
        <v>345</v>
      </c>
      <c r="E1441" s="6" t="s">
        <v>476</v>
      </c>
      <c r="F1441" s="6">
        <v>77</v>
      </c>
      <c r="G1441" s="6" t="s">
        <v>24</v>
      </c>
      <c r="H1441" s="6" t="s">
        <v>3184</v>
      </c>
      <c r="I1441" s="6" t="s">
        <v>3783</v>
      </c>
      <c r="J1441" s="8">
        <v>44795</v>
      </c>
      <c r="K1441" s="8">
        <v>45302</v>
      </c>
      <c r="L1441" s="6">
        <v>110800.25</v>
      </c>
      <c r="M1441" s="6">
        <v>66100.399999999994</v>
      </c>
      <c r="N1441" s="6">
        <v>680</v>
      </c>
      <c r="O1441" s="6">
        <v>157000</v>
      </c>
      <c r="P1441" s="6" t="s">
        <v>26</v>
      </c>
      <c r="Q1441" s="6" t="s">
        <v>27</v>
      </c>
      <c r="R1441" s="6">
        <v>0</v>
      </c>
      <c r="S1441" s="6" t="s">
        <v>28</v>
      </c>
      <c r="T1441" s="7">
        <f t="shared" si="110"/>
        <v>0.42102165605095537</v>
      </c>
      <c r="U1441" s="6">
        <f t="shared" si="111"/>
        <v>4</v>
      </c>
      <c r="V1441" s="5" t="str">
        <f t="shared" si="112"/>
        <v>GOOD</v>
      </c>
      <c r="W1441" s="6" t="str">
        <f t="shared" si="113"/>
        <v>55+</v>
      </c>
      <c r="X1441" s="6" t="str">
        <f t="shared" si="114"/>
        <v>Upper-Middle</v>
      </c>
    </row>
    <row r="1442" spans="1:24">
      <c r="A1442" s="6" t="s">
        <v>592</v>
      </c>
      <c r="B1442" s="6" t="s">
        <v>3185</v>
      </c>
      <c r="C1442" s="6" t="s">
        <v>84</v>
      </c>
      <c r="D1442" s="6" t="s">
        <v>32</v>
      </c>
      <c r="E1442" s="6" t="s">
        <v>90</v>
      </c>
      <c r="F1442" s="6">
        <v>57</v>
      </c>
      <c r="G1442" s="6" t="s">
        <v>34</v>
      </c>
      <c r="H1442" s="6" t="s">
        <v>3186</v>
      </c>
      <c r="I1442" s="6" t="s">
        <v>3634</v>
      </c>
      <c r="J1442" s="8">
        <v>45679</v>
      </c>
      <c r="K1442" s="8">
        <v>45304</v>
      </c>
      <c r="L1442" s="6">
        <v>5350.4</v>
      </c>
      <c r="M1442" s="6">
        <v>16000.75</v>
      </c>
      <c r="N1442" s="6">
        <v>610</v>
      </c>
      <c r="O1442" s="6">
        <v>53000</v>
      </c>
      <c r="P1442" s="6" t="s">
        <v>76</v>
      </c>
      <c r="Q1442" s="6" t="s">
        <v>43</v>
      </c>
      <c r="R1442" s="6">
        <v>0</v>
      </c>
      <c r="S1442" s="6" t="s">
        <v>28</v>
      </c>
      <c r="T1442" s="7">
        <f t="shared" si="110"/>
        <v>0.30190094339622642</v>
      </c>
      <c r="U1442" s="6">
        <f t="shared" si="111"/>
        <v>2</v>
      </c>
      <c r="V1442" s="5" t="str">
        <f t="shared" si="112"/>
        <v>FAIR</v>
      </c>
      <c r="W1442" s="6" t="str">
        <f t="shared" si="113"/>
        <v>55+</v>
      </c>
      <c r="X1442" s="6" t="str">
        <f t="shared" si="114"/>
        <v>Low</v>
      </c>
    </row>
    <row r="1443" spans="1:24">
      <c r="A1443" s="6" t="s">
        <v>595</v>
      </c>
      <c r="B1443" s="6" t="s">
        <v>3187</v>
      </c>
      <c r="C1443" s="6" t="s">
        <v>21</v>
      </c>
      <c r="D1443" s="6" t="s">
        <v>209</v>
      </c>
      <c r="E1443" s="6" t="s">
        <v>210</v>
      </c>
      <c r="F1443" s="6">
        <v>89</v>
      </c>
      <c r="G1443" s="6" t="s">
        <v>24</v>
      </c>
      <c r="H1443" s="6" t="s">
        <v>3188</v>
      </c>
      <c r="I1443" s="6" t="s">
        <v>4017</v>
      </c>
      <c r="J1443" s="8">
        <v>43943</v>
      </c>
      <c r="K1443" s="8">
        <v>45299</v>
      </c>
      <c r="L1443" s="6">
        <v>291000.8</v>
      </c>
      <c r="M1443" s="6">
        <v>112000.25</v>
      </c>
      <c r="N1443" s="6">
        <v>825</v>
      </c>
      <c r="O1443" s="6">
        <v>309000</v>
      </c>
      <c r="P1443" s="6" t="s">
        <v>36</v>
      </c>
      <c r="Q1443" s="6" t="s">
        <v>27</v>
      </c>
      <c r="R1443" s="6">
        <v>0</v>
      </c>
      <c r="S1443" s="6" t="s">
        <v>28</v>
      </c>
      <c r="T1443" s="7">
        <f t="shared" si="110"/>
        <v>0.36246035598705501</v>
      </c>
      <c r="U1443" s="6">
        <f t="shared" si="111"/>
        <v>7</v>
      </c>
      <c r="V1443" s="5" t="str">
        <f t="shared" si="112"/>
        <v>EXCEPTIONAL</v>
      </c>
      <c r="W1443" s="6" t="str">
        <f t="shared" si="113"/>
        <v>55+</v>
      </c>
      <c r="X1443" s="6" t="str">
        <f t="shared" si="114"/>
        <v>High</v>
      </c>
    </row>
    <row r="1444" spans="1:24">
      <c r="A1444" s="6" t="s">
        <v>226</v>
      </c>
      <c r="B1444" s="6" t="s">
        <v>3189</v>
      </c>
      <c r="C1444" s="6" t="s">
        <v>57</v>
      </c>
      <c r="D1444" s="6" t="s">
        <v>228</v>
      </c>
      <c r="E1444" s="6" t="s">
        <v>678</v>
      </c>
      <c r="F1444" s="6">
        <v>64</v>
      </c>
      <c r="G1444" s="6" t="s">
        <v>34</v>
      </c>
      <c r="H1444" s="6" t="s">
        <v>3190</v>
      </c>
      <c r="I1444" s="6" t="s">
        <v>4365</v>
      </c>
      <c r="J1444" s="8">
        <v>45679</v>
      </c>
      <c r="K1444" s="8">
        <v>45305</v>
      </c>
      <c r="L1444" s="6">
        <v>49700.75</v>
      </c>
      <c r="M1444" s="6">
        <v>18800.400000000001</v>
      </c>
      <c r="N1444" s="6">
        <v>725</v>
      </c>
      <c r="O1444" s="6">
        <v>85000</v>
      </c>
      <c r="P1444" s="6" t="s">
        <v>36</v>
      </c>
      <c r="Q1444" s="6" t="s">
        <v>27</v>
      </c>
      <c r="R1444" s="6">
        <v>0</v>
      </c>
      <c r="S1444" s="6" t="s">
        <v>28</v>
      </c>
      <c r="T1444" s="7">
        <f t="shared" si="110"/>
        <v>0.22118117647058824</v>
      </c>
      <c r="U1444" s="6">
        <f t="shared" si="111"/>
        <v>1</v>
      </c>
      <c r="V1444" s="5" t="str">
        <f t="shared" si="112"/>
        <v>GOOD</v>
      </c>
      <c r="W1444" s="6" t="str">
        <f t="shared" si="113"/>
        <v>55+</v>
      </c>
      <c r="X1444" s="6" t="str">
        <f t="shared" si="114"/>
        <v>Lower-Middle</v>
      </c>
    </row>
    <row r="1445" spans="1:24">
      <c r="A1445" s="6" t="s">
        <v>488</v>
      </c>
      <c r="B1445" s="6" t="s">
        <v>3191</v>
      </c>
      <c r="C1445" s="6" t="s">
        <v>39</v>
      </c>
      <c r="D1445" s="6" t="s">
        <v>304</v>
      </c>
      <c r="E1445" s="6" t="s">
        <v>304</v>
      </c>
      <c r="F1445" s="6">
        <v>81</v>
      </c>
      <c r="G1445" s="6" t="s">
        <v>24</v>
      </c>
      <c r="H1445" s="6" t="s">
        <v>3192</v>
      </c>
      <c r="I1445" s="6" t="s">
        <v>4366</v>
      </c>
      <c r="J1445" s="8">
        <v>44420</v>
      </c>
      <c r="K1445" s="8">
        <v>45300</v>
      </c>
      <c r="L1445" s="6">
        <v>171200.6</v>
      </c>
      <c r="M1445" s="6">
        <v>112000.9</v>
      </c>
      <c r="N1445" s="6">
        <v>675</v>
      </c>
      <c r="O1445" s="6">
        <v>209000</v>
      </c>
      <c r="P1445" s="6" t="s">
        <v>76</v>
      </c>
      <c r="Q1445" s="6" t="s">
        <v>27</v>
      </c>
      <c r="R1445" s="6">
        <v>0</v>
      </c>
      <c r="S1445" s="6" t="s">
        <v>28</v>
      </c>
      <c r="T1445" s="7">
        <f t="shared" si="110"/>
        <v>0.53588947368421047</v>
      </c>
      <c r="U1445" s="6">
        <f t="shared" si="111"/>
        <v>6</v>
      </c>
      <c r="V1445" s="5" t="str">
        <f t="shared" si="112"/>
        <v>GOOD</v>
      </c>
      <c r="W1445" s="6" t="str">
        <f t="shared" si="113"/>
        <v>55+</v>
      </c>
      <c r="X1445" s="6" t="str">
        <f t="shared" si="114"/>
        <v>High</v>
      </c>
    </row>
    <row r="1446" spans="1:24">
      <c r="A1446" s="6" t="s">
        <v>491</v>
      </c>
      <c r="B1446" s="6" t="s">
        <v>3193</v>
      </c>
      <c r="C1446" s="6" t="s">
        <v>52</v>
      </c>
      <c r="D1446" s="6" t="s">
        <v>493</v>
      </c>
      <c r="E1446" s="6" t="s">
        <v>494</v>
      </c>
      <c r="F1446" s="6">
        <v>72</v>
      </c>
      <c r="G1446" s="6" t="s">
        <v>34</v>
      </c>
      <c r="H1446" s="6" t="s">
        <v>3194</v>
      </c>
      <c r="I1446" s="6" t="s">
        <v>4367</v>
      </c>
      <c r="J1446" s="8">
        <v>45191</v>
      </c>
      <c r="K1446" s="8">
        <v>45302</v>
      </c>
      <c r="L1446" s="6">
        <v>77200.399999999994</v>
      </c>
      <c r="M1446" s="6">
        <v>51900.25</v>
      </c>
      <c r="N1446" s="6">
        <v>705</v>
      </c>
      <c r="O1446" s="6">
        <v>117000</v>
      </c>
      <c r="P1446" s="6" t="s">
        <v>26</v>
      </c>
      <c r="Q1446" s="6" t="s">
        <v>27</v>
      </c>
      <c r="R1446" s="6">
        <v>0</v>
      </c>
      <c r="S1446" s="6" t="s">
        <v>28</v>
      </c>
      <c r="T1446" s="7">
        <f t="shared" si="110"/>
        <v>0.44359188034188035</v>
      </c>
      <c r="U1446" s="6">
        <f t="shared" si="111"/>
        <v>4</v>
      </c>
      <c r="V1446" s="5" t="str">
        <f t="shared" si="112"/>
        <v>GOOD</v>
      </c>
      <c r="W1446" s="6" t="str">
        <f t="shared" si="113"/>
        <v>55+</v>
      </c>
      <c r="X1446" s="6" t="str">
        <f t="shared" si="114"/>
        <v>Lower-Middle</v>
      </c>
    </row>
    <row r="1447" spans="1:24">
      <c r="A1447" s="6" t="s">
        <v>496</v>
      </c>
      <c r="B1447" s="6" t="s">
        <v>3195</v>
      </c>
      <c r="C1447" s="6" t="s">
        <v>46</v>
      </c>
      <c r="D1447" s="6" t="s">
        <v>321</v>
      </c>
      <c r="E1447" s="6" t="s">
        <v>322</v>
      </c>
      <c r="F1447" s="6">
        <v>75</v>
      </c>
      <c r="G1447" s="6" t="s">
        <v>24</v>
      </c>
      <c r="H1447" s="6" t="s">
        <v>3196</v>
      </c>
      <c r="I1447" s="6" t="s">
        <v>4368</v>
      </c>
      <c r="J1447" s="8">
        <v>44673</v>
      </c>
      <c r="K1447" s="8">
        <v>45301</v>
      </c>
      <c r="L1447" s="6">
        <v>122100.75</v>
      </c>
      <c r="M1447" s="6">
        <v>73000.800000000003</v>
      </c>
      <c r="N1447" s="6">
        <v>730</v>
      </c>
      <c r="O1447" s="6">
        <v>183000</v>
      </c>
      <c r="P1447" s="6" t="s">
        <v>26</v>
      </c>
      <c r="Q1447" s="6" t="s">
        <v>27</v>
      </c>
      <c r="R1447" s="6">
        <v>0</v>
      </c>
      <c r="S1447" s="6" t="s">
        <v>28</v>
      </c>
      <c r="T1447" s="7">
        <f t="shared" si="110"/>
        <v>0.39891147540983607</v>
      </c>
      <c r="U1447" s="6">
        <f t="shared" si="111"/>
        <v>5</v>
      </c>
      <c r="V1447" s="5" t="str">
        <f t="shared" si="112"/>
        <v>GOOD</v>
      </c>
      <c r="W1447" s="6" t="str">
        <f t="shared" si="113"/>
        <v>55+</v>
      </c>
      <c r="X1447" s="6" t="str">
        <f t="shared" si="114"/>
        <v>Upper-Middle</v>
      </c>
    </row>
    <row r="1448" spans="1:24">
      <c r="A1448" s="6" t="s">
        <v>324</v>
      </c>
      <c r="B1448" s="6" t="s">
        <v>3197</v>
      </c>
      <c r="C1448" s="6" t="s">
        <v>31</v>
      </c>
      <c r="D1448" s="6" t="s">
        <v>313</v>
      </c>
      <c r="E1448" s="6" t="s">
        <v>314</v>
      </c>
      <c r="F1448" s="6">
        <v>60</v>
      </c>
      <c r="G1448" s="6" t="s">
        <v>34</v>
      </c>
      <c r="H1448" s="6" t="s">
        <v>3198</v>
      </c>
      <c r="I1448" s="6" t="s">
        <v>4369</v>
      </c>
      <c r="J1448" s="8">
        <v>45672</v>
      </c>
      <c r="K1448" s="8">
        <v>45306</v>
      </c>
      <c r="L1448" s="6">
        <v>21400.9</v>
      </c>
      <c r="M1448" s="6">
        <v>12100.75</v>
      </c>
      <c r="N1448" s="6">
        <v>685</v>
      </c>
      <c r="O1448" s="6">
        <v>70000</v>
      </c>
      <c r="P1448" s="6" t="s">
        <v>26</v>
      </c>
      <c r="Q1448" s="6" t="s">
        <v>43</v>
      </c>
      <c r="R1448" s="6">
        <v>0</v>
      </c>
      <c r="S1448" s="6" t="s">
        <v>28</v>
      </c>
      <c r="T1448" s="7">
        <f t="shared" si="110"/>
        <v>0.17286785714285716</v>
      </c>
      <c r="U1448" s="6">
        <f t="shared" si="111"/>
        <v>0</v>
      </c>
      <c r="V1448" s="5" t="str">
        <f t="shared" si="112"/>
        <v>GOOD</v>
      </c>
      <c r="W1448" s="6" t="str">
        <f t="shared" si="113"/>
        <v>55+</v>
      </c>
      <c r="X1448" s="6" t="str">
        <f t="shared" si="114"/>
        <v>Low</v>
      </c>
    </row>
    <row r="1449" spans="1:24">
      <c r="A1449" s="6" t="s">
        <v>503</v>
      </c>
      <c r="B1449" s="6" t="s">
        <v>3199</v>
      </c>
      <c r="C1449" s="6" t="s">
        <v>21</v>
      </c>
      <c r="D1449" s="6" t="s">
        <v>32</v>
      </c>
      <c r="E1449" s="6" t="s">
        <v>33</v>
      </c>
      <c r="F1449" s="6">
        <v>92</v>
      </c>
      <c r="G1449" s="6" t="s">
        <v>24</v>
      </c>
      <c r="H1449" s="6" t="s">
        <v>3200</v>
      </c>
      <c r="I1449" s="6" t="s">
        <v>3791</v>
      </c>
      <c r="J1449" s="8">
        <v>43668</v>
      </c>
      <c r="K1449" s="8">
        <v>45299</v>
      </c>
      <c r="L1449" s="6">
        <v>301900.25</v>
      </c>
      <c r="M1449" s="6">
        <v>116000.4</v>
      </c>
      <c r="N1449" s="6">
        <v>840</v>
      </c>
      <c r="O1449" s="6">
        <v>324000</v>
      </c>
      <c r="P1449" s="6" t="s">
        <v>36</v>
      </c>
      <c r="Q1449" s="6" t="s">
        <v>27</v>
      </c>
      <c r="R1449" s="6">
        <v>0</v>
      </c>
      <c r="S1449" s="6" t="s">
        <v>28</v>
      </c>
      <c r="T1449" s="7">
        <f t="shared" si="110"/>
        <v>0.35802592592592591</v>
      </c>
      <c r="U1449" s="6">
        <f t="shared" si="111"/>
        <v>7</v>
      </c>
      <c r="V1449" s="5" t="str">
        <f t="shared" si="112"/>
        <v>EXCEPTIONAL</v>
      </c>
      <c r="W1449" s="6" t="str">
        <f t="shared" si="113"/>
        <v>55+</v>
      </c>
      <c r="X1449" s="6" t="str">
        <f t="shared" si="114"/>
        <v>High</v>
      </c>
    </row>
    <row r="1450" spans="1:24">
      <c r="A1450" s="6" t="s">
        <v>506</v>
      </c>
      <c r="B1450" s="6" t="s">
        <v>3201</v>
      </c>
      <c r="C1450" s="6" t="s">
        <v>39</v>
      </c>
      <c r="D1450" s="6" t="s">
        <v>68</v>
      </c>
      <c r="E1450" s="6" t="s">
        <v>69</v>
      </c>
      <c r="F1450" s="6">
        <v>84</v>
      </c>
      <c r="G1450" s="6" t="s">
        <v>34</v>
      </c>
      <c r="H1450" s="6" t="s">
        <v>3202</v>
      </c>
      <c r="I1450" s="6" t="s">
        <v>4346</v>
      </c>
      <c r="J1450" s="8">
        <v>44187</v>
      </c>
      <c r="K1450" s="8">
        <v>45300</v>
      </c>
      <c r="L1450" s="6">
        <v>182300.4</v>
      </c>
      <c r="M1450" s="6">
        <v>116000.75</v>
      </c>
      <c r="N1450" s="6">
        <v>650</v>
      </c>
      <c r="O1450" s="6">
        <v>219000</v>
      </c>
      <c r="P1450" s="6" t="s">
        <v>76</v>
      </c>
      <c r="Q1450" s="6" t="s">
        <v>27</v>
      </c>
      <c r="R1450" s="6">
        <v>0</v>
      </c>
      <c r="S1450" s="6" t="s">
        <v>28</v>
      </c>
      <c r="T1450" s="7">
        <f t="shared" si="110"/>
        <v>0.52968378995433785</v>
      </c>
      <c r="U1450" s="6">
        <f t="shared" si="111"/>
        <v>6</v>
      </c>
      <c r="V1450" s="5" t="str">
        <f t="shared" si="112"/>
        <v>FAIR</v>
      </c>
      <c r="W1450" s="6" t="str">
        <f t="shared" si="113"/>
        <v>55+</v>
      </c>
      <c r="X1450" s="6" t="str">
        <f t="shared" si="114"/>
        <v>High</v>
      </c>
    </row>
    <row r="1451" spans="1:24">
      <c r="A1451" s="6" t="s">
        <v>509</v>
      </c>
      <c r="B1451" s="6" t="s">
        <v>3203</v>
      </c>
      <c r="C1451" s="6" t="s">
        <v>46</v>
      </c>
      <c r="D1451" s="6" t="s">
        <v>73</v>
      </c>
      <c r="E1451" s="6" t="s">
        <v>126</v>
      </c>
      <c r="F1451" s="6">
        <v>71</v>
      </c>
      <c r="G1451" s="6" t="s">
        <v>24</v>
      </c>
      <c r="H1451" s="6" t="s">
        <v>3204</v>
      </c>
      <c r="I1451" s="6" t="s">
        <v>4370</v>
      </c>
      <c r="J1451" s="8">
        <v>45404</v>
      </c>
      <c r="K1451" s="8">
        <v>45303</v>
      </c>
      <c r="L1451" s="6">
        <v>110900.4</v>
      </c>
      <c r="M1451" s="6">
        <v>67200.25</v>
      </c>
      <c r="N1451" s="6">
        <v>745</v>
      </c>
      <c r="O1451" s="6">
        <v>163000</v>
      </c>
      <c r="P1451" s="6" t="s">
        <v>26</v>
      </c>
      <c r="Q1451" s="6" t="s">
        <v>27</v>
      </c>
      <c r="R1451" s="6">
        <v>0</v>
      </c>
      <c r="S1451" s="6" t="s">
        <v>28</v>
      </c>
      <c r="T1451" s="7">
        <f t="shared" si="110"/>
        <v>0.41227147239263806</v>
      </c>
      <c r="U1451" s="6">
        <f t="shared" si="111"/>
        <v>3</v>
      </c>
      <c r="V1451" s="5" t="str">
        <f t="shared" si="112"/>
        <v>GOOD</v>
      </c>
      <c r="W1451" s="6" t="str">
        <f t="shared" si="113"/>
        <v>55+</v>
      </c>
      <c r="X1451" s="6" t="str">
        <f t="shared" si="114"/>
        <v>Upper-Middle</v>
      </c>
    </row>
    <row r="1452" spans="1:24">
      <c r="A1452" s="6" t="s">
        <v>513</v>
      </c>
      <c r="B1452" s="6" t="s">
        <v>3205</v>
      </c>
      <c r="C1452" s="6" t="s">
        <v>57</v>
      </c>
      <c r="D1452" s="6" t="s">
        <v>58</v>
      </c>
      <c r="E1452" s="6" t="s">
        <v>122</v>
      </c>
      <c r="F1452" s="6">
        <v>66</v>
      </c>
      <c r="G1452" s="6" t="s">
        <v>34</v>
      </c>
      <c r="H1452" s="6" t="s">
        <v>3206</v>
      </c>
      <c r="I1452" s="6" t="s">
        <v>3538</v>
      </c>
      <c r="J1452" s="8">
        <v>45587</v>
      </c>
      <c r="K1452" s="8">
        <v>45302</v>
      </c>
      <c r="L1452" s="6">
        <v>51900.800000000003</v>
      </c>
      <c r="M1452" s="6">
        <v>20000.900000000001</v>
      </c>
      <c r="N1452" s="6">
        <v>765</v>
      </c>
      <c r="O1452" s="6">
        <v>95000</v>
      </c>
      <c r="P1452" s="6" t="s">
        <v>36</v>
      </c>
      <c r="Q1452" s="6" t="s">
        <v>27</v>
      </c>
      <c r="R1452" s="6">
        <v>0</v>
      </c>
      <c r="S1452" s="6" t="s">
        <v>28</v>
      </c>
      <c r="T1452" s="7">
        <f t="shared" si="110"/>
        <v>0.21053578947368423</v>
      </c>
      <c r="U1452" s="6">
        <f t="shared" si="111"/>
        <v>4</v>
      </c>
      <c r="V1452" s="5" t="str">
        <f t="shared" si="112"/>
        <v>VERY GOOD</v>
      </c>
      <c r="W1452" s="6" t="str">
        <f t="shared" si="113"/>
        <v>55+</v>
      </c>
      <c r="X1452" s="6" t="str">
        <f t="shared" si="114"/>
        <v>Lower-Middle</v>
      </c>
    </row>
    <row r="1453" spans="1:24">
      <c r="A1453" s="6" t="s">
        <v>516</v>
      </c>
      <c r="B1453" s="6" t="s">
        <v>3207</v>
      </c>
      <c r="C1453" s="6" t="s">
        <v>52</v>
      </c>
      <c r="D1453" s="6" t="s">
        <v>277</v>
      </c>
      <c r="E1453" s="6" t="s">
        <v>278</v>
      </c>
      <c r="F1453" s="6">
        <v>79</v>
      </c>
      <c r="G1453" s="6" t="s">
        <v>24</v>
      </c>
      <c r="H1453" s="6" t="s">
        <v>3208</v>
      </c>
      <c r="I1453" s="6" t="s">
        <v>3855</v>
      </c>
      <c r="J1453" s="8">
        <v>44856</v>
      </c>
      <c r="K1453" s="8">
        <v>45301</v>
      </c>
      <c r="L1453" s="6">
        <v>85200.75</v>
      </c>
      <c r="M1453" s="6">
        <v>58300.4</v>
      </c>
      <c r="N1453" s="6">
        <v>675</v>
      </c>
      <c r="O1453" s="6">
        <v>135000</v>
      </c>
      <c r="P1453" s="6" t="s">
        <v>26</v>
      </c>
      <c r="Q1453" s="6" t="s">
        <v>27</v>
      </c>
      <c r="R1453" s="6">
        <v>0</v>
      </c>
      <c r="S1453" s="6" t="s">
        <v>28</v>
      </c>
      <c r="T1453" s="7">
        <f t="shared" si="110"/>
        <v>0.4318548148148148</v>
      </c>
      <c r="U1453" s="6">
        <f t="shared" si="111"/>
        <v>5</v>
      </c>
      <c r="V1453" s="5" t="str">
        <f t="shared" si="112"/>
        <v>GOOD</v>
      </c>
      <c r="W1453" s="6" t="str">
        <f t="shared" si="113"/>
        <v>55+</v>
      </c>
      <c r="X1453" s="6" t="str">
        <f t="shared" si="114"/>
        <v>Upper-Middle</v>
      </c>
    </row>
    <row r="1454" spans="1:24">
      <c r="A1454" s="6" t="s">
        <v>519</v>
      </c>
      <c r="B1454" s="6" t="s">
        <v>3209</v>
      </c>
      <c r="C1454" s="6" t="s">
        <v>84</v>
      </c>
      <c r="D1454" s="6" t="s">
        <v>183</v>
      </c>
      <c r="E1454" s="6" t="s">
        <v>273</v>
      </c>
      <c r="F1454" s="6">
        <v>58</v>
      </c>
      <c r="G1454" s="6" t="s">
        <v>34</v>
      </c>
      <c r="H1454" s="6" t="s">
        <v>3210</v>
      </c>
      <c r="I1454" s="6" t="s">
        <v>3794</v>
      </c>
      <c r="J1454" s="8">
        <v>45685</v>
      </c>
      <c r="K1454" s="8">
        <v>45304</v>
      </c>
      <c r="L1454" s="6">
        <v>5600.25</v>
      </c>
      <c r="M1454" s="6">
        <v>17200.599999999999</v>
      </c>
      <c r="N1454" s="6">
        <v>615</v>
      </c>
      <c r="O1454" s="6">
        <v>55000</v>
      </c>
      <c r="P1454" s="6" t="s">
        <v>76</v>
      </c>
      <c r="Q1454" s="6" t="s">
        <v>43</v>
      </c>
      <c r="R1454" s="6">
        <v>0</v>
      </c>
      <c r="S1454" s="6" t="s">
        <v>28</v>
      </c>
      <c r="T1454" s="7">
        <f t="shared" si="110"/>
        <v>0.3127381818181818</v>
      </c>
      <c r="U1454" s="6">
        <f t="shared" si="111"/>
        <v>2</v>
      </c>
      <c r="V1454" s="5" t="str">
        <f t="shared" si="112"/>
        <v>FAIR</v>
      </c>
      <c r="W1454" s="6" t="str">
        <f t="shared" si="113"/>
        <v>55+</v>
      </c>
      <c r="X1454" s="6" t="str">
        <f t="shared" si="114"/>
        <v>Low</v>
      </c>
    </row>
    <row r="1455" spans="1:24">
      <c r="A1455" s="6" t="s">
        <v>522</v>
      </c>
      <c r="B1455" s="6" t="s">
        <v>3211</v>
      </c>
      <c r="C1455" s="6" t="s">
        <v>39</v>
      </c>
      <c r="D1455" s="6" t="s">
        <v>40</v>
      </c>
      <c r="E1455" s="6" t="s">
        <v>94</v>
      </c>
      <c r="F1455" s="6">
        <v>86</v>
      </c>
      <c r="G1455" s="6" t="s">
        <v>24</v>
      </c>
      <c r="H1455" s="6" t="s">
        <v>3212</v>
      </c>
      <c r="I1455" s="6" t="s">
        <v>3510</v>
      </c>
      <c r="J1455" s="8">
        <v>44157</v>
      </c>
      <c r="K1455" s="8">
        <v>45299</v>
      </c>
      <c r="L1455" s="6">
        <v>216900.8</v>
      </c>
      <c r="M1455" s="6">
        <v>129000.25</v>
      </c>
      <c r="N1455" s="6">
        <v>660</v>
      </c>
      <c r="O1455" s="6">
        <v>254000</v>
      </c>
      <c r="P1455" s="6" t="s">
        <v>76</v>
      </c>
      <c r="Q1455" s="6" t="s">
        <v>27</v>
      </c>
      <c r="R1455" s="6">
        <v>0</v>
      </c>
      <c r="S1455" s="6" t="s">
        <v>28</v>
      </c>
      <c r="T1455" s="7">
        <f t="shared" si="110"/>
        <v>0.50787499999999997</v>
      </c>
      <c r="U1455" s="6">
        <f t="shared" si="111"/>
        <v>7</v>
      </c>
      <c r="V1455" s="5" t="str">
        <f t="shared" si="112"/>
        <v>FAIR</v>
      </c>
      <c r="W1455" s="6" t="str">
        <f t="shared" si="113"/>
        <v>55+</v>
      </c>
      <c r="X1455" s="6" t="str">
        <f t="shared" si="114"/>
        <v>High</v>
      </c>
    </row>
    <row r="1456" spans="1:24">
      <c r="A1456" s="6" t="s">
        <v>306</v>
      </c>
      <c r="B1456" s="6" t="s">
        <v>3213</v>
      </c>
      <c r="C1456" s="6" t="s">
        <v>46</v>
      </c>
      <c r="D1456" s="6" t="s">
        <v>209</v>
      </c>
      <c r="E1456" s="6" t="s">
        <v>210</v>
      </c>
      <c r="F1456" s="6">
        <v>73</v>
      </c>
      <c r="G1456" s="6" t="s">
        <v>34</v>
      </c>
      <c r="H1456" s="6" t="s">
        <v>3214</v>
      </c>
      <c r="I1456" s="6" t="s">
        <v>4046</v>
      </c>
      <c r="J1456" s="8">
        <v>45007</v>
      </c>
      <c r="K1456" s="8">
        <v>45302</v>
      </c>
      <c r="L1456" s="6">
        <v>106300.9</v>
      </c>
      <c r="M1456" s="6">
        <v>64100.75</v>
      </c>
      <c r="N1456" s="6">
        <v>730</v>
      </c>
      <c r="O1456" s="6">
        <v>158000</v>
      </c>
      <c r="P1456" s="6" t="s">
        <v>26</v>
      </c>
      <c r="Q1456" s="6" t="s">
        <v>27</v>
      </c>
      <c r="R1456" s="6">
        <v>0</v>
      </c>
      <c r="S1456" s="6" t="s">
        <v>28</v>
      </c>
      <c r="T1456" s="7">
        <f t="shared" si="110"/>
        <v>0.40570094936708861</v>
      </c>
      <c r="U1456" s="6">
        <f t="shared" si="111"/>
        <v>4</v>
      </c>
      <c r="V1456" s="5" t="str">
        <f t="shared" si="112"/>
        <v>GOOD</v>
      </c>
      <c r="W1456" s="6" t="str">
        <f t="shared" si="113"/>
        <v>55+</v>
      </c>
      <c r="X1456" s="6" t="str">
        <f t="shared" si="114"/>
        <v>Upper-Middle</v>
      </c>
    </row>
    <row r="1457" spans="1:24">
      <c r="A1457" s="6" t="s">
        <v>527</v>
      </c>
      <c r="B1457" s="6" t="s">
        <v>3215</v>
      </c>
      <c r="C1457" s="6" t="s">
        <v>31</v>
      </c>
      <c r="D1457" s="6" t="s">
        <v>32</v>
      </c>
      <c r="E1457" s="6" t="s">
        <v>90</v>
      </c>
      <c r="F1457" s="6">
        <v>62</v>
      </c>
      <c r="G1457" s="6" t="s">
        <v>34</v>
      </c>
      <c r="H1457" s="6" t="s">
        <v>3216</v>
      </c>
      <c r="I1457" s="6" t="s">
        <v>3634</v>
      </c>
      <c r="J1457" s="8">
        <v>45679</v>
      </c>
      <c r="K1457" s="8">
        <v>45305</v>
      </c>
      <c r="L1457" s="6">
        <v>22500.400000000001</v>
      </c>
      <c r="M1457" s="6">
        <v>12200.25</v>
      </c>
      <c r="N1457" s="6">
        <v>705</v>
      </c>
      <c r="O1457" s="6">
        <v>72000</v>
      </c>
      <c r="P1457" s="6" t="s">
        <v>26</v>
      </c>
      <c r="Q1457" s="6" t="s">
        <v>43</v>
      </c>
      <c r="R1457" s="6">
        <v>0</v>
      </c>
      <c r="S1457" s="6" t="s">
        <v>28</v>
      </c>
      <c r="T1457" s="7">
        <f t="shared" si="110"/>
        <v>0.16944791666666667</v>
      </c>
      <c r="U1457" s="6">
        <f t="shared" si="111"/>
        <v>1</v>
      </c>
      <c r="V1457" s="5" t="str">
        <f t="shared" si="112"/>
        <v>GOOD</v>
      </c>
      <c r="W1457" s="6" t="str">
        <f t="shared" si="113"/>
        <v>55+</v>
      </c>
      <c r="X1457" s="6" t="str">
        <f t="shared" si="114"/>
        <v>Low</v>
      </c>
    </row>
    <row r="1458" spans="1:24">
      <c r="A1458" s="6" t="s">
        <v>530</v>
      </c>
      <c r="B1458" s="6" t="s">
        <v>3217</v>
      </c>
      <c r="C1458" s="6" t="s">
        <v>57</v>
      </c>
      <c r="D1458" s="6" t="s">
        <v>219</v>
      </c>
      <c r="E1458" s="6" t="s">
        <v>220</v>
      </c>
      <c r="F1458" s="6">
        <v>67</v>
      </c>
      <c r="G1458" s="6" t="s">
        <v>24</v>
      </c>
      <c r="H1458" s="6" t="s">
        <v>3218</v>
      </c>
      <c r="I1458" s="6" t="s">
        <v>4371</v>
      </c>
      <c r="J1458" s="8">
        <v>45557</v>
      </c>
      <c r="K1458" s="8">
        <v>45303</v>
      </c>
      <c r="L1458" s="6">
        <v>50800.6</v>
      </c>
      <c r="M1458" s="6">
        <v>19400.8</v>
      </c>
      <c r="N1458" s="6">
        <v>710</v>
      </c>
      <c r="O1458" s="6">
        <v>88000</v>
      </c>
      <c r="P1458" s="6" t="s">
        <v>36</v>
      </c>
      <c r="Q1458" s="6" t="s">
        <v>27</v>
      </c>
      <c r="R1458" s="6">
        <v>0</v>
      </c>
      <c r="S1458" s="6" t="s">
        <v>28</v>
      </c>
      <c r="T1458" s="7">
        <f t="shared" si="110"/>
        <v>0.22046363636363636</v>
      </c>
      <c r="U1458" s="6">
        <f t="shared" si="111"/>
        <v>3</v>
      </c>
      <c r="V1458" s="5" t="str">
        <f t="shared" si="112"/>
        <v>GOOD</v>
      </c>
      <c r="W1458" s="6" t="str">
        <f t="shared" si="113"/>
        <v>55+</v>
      </c>
      <c r="X1458" s="6" t="str">
        <f t="shared" si="114"/>
        <v>Lower-Middle</v>
      </c>
    </row>
    <row r="1459" spans="1:24">
      <c r="A1459" s="6" t="s">
        <v>533</v>
      </c>
      <c r="B1459" s="6" t="s">
        <v>3219</v>
      </c>
      <c r="C1459" s="6" t="s">
        <v>52</v>
      </c>
      <c r="D1459" s="6" t="s">
        <v>204</v>
      </c>
      <c r="E1459" s="6" t="s">
        <v>205</v>
      </c>
      <c r="F1459" s="6">
        <v>74</v>
      </c>
      <c r="G1459" s="6" t="s">
        <v>34</v>
      </c>
      <c r="H1459" s="6" t="s">
        <v>3220</v>
      </c>
      <c r="I1459" s="6" t="s">
        <v>3859</v>
      </c>
      <c r="J1459" s="8">
        <v>44856</v>
      </c>
      <c r="K1459" s="8">
        <v>45301</v>
      </c>
      <c r="L1459" s="6">
        <v>82100.25</v>
      </c>
      <c r="M1459" s="6">
        <v>55200.9</v>
      </c>
      <c r="N1459" s="6">
        <v>695</v>
      </c>
      <c r="O1459" s="6">
        <v>123000</v>
      </c>
      <c r="P1459" s="6" t="s">
        <v>26</v>
      </c>
      <c r="Q1459" s="6" t="s">
        <v>27</v>
      </c>
      <c r="R1459" s="6">
        <v>0</v>
      </c>
      <c r="S1459" s="6" t="s">
        <v>28</v>
      </c>
      <c r="T1459" s="7">
        <f t="shared" si="110"/>
        <v>0.44878780487804881</v>
      </c>
      <c r="U1459" s="6">
        <f t="shared" si="111"/>
        <v>5</v>
      </c>
      <c r="V1459" s="5" t="str">
        <f t="shared" si="112"/>
        <v>GOOD</v>
      </c>
      <c r="W1459" s="6" t="str">
        <f t="shared" si="113"/>
        <v>55+</v>
      </c>
      <c r="X1459" s="6" t="str">
        <f t="shared" si="114"/>
        <v>Lower-Middle</v>
      </c>
    </row>
    <row r="1460" spans="1:24">
      <c r="A1460" s="6" t="s">
        <v>536</v>
      </c>
      <c r="B1460" s="6" t="s">
        <v>3221</v>
      </c>
      <c r="C1460" s="6" t="s">
        <v>39</v>
      </c>
      <c r="D1460" s="6" t="s">
        <v>195</v>
      </c>
      <c r="E1460" s="6" t="s">
        <v>196</v>
      </c>
      <c r="F1460" s="6">
        <v>82</v>
      </c>
      <c r="G1460" s="6" t="s">
        <v>24</v>
      </c>
      <c r="H1460" s="6" t="s">
        <v>3222</v>
      </c>
      <c r="I1460" s="6" t="s">
        <v>4372</v>
      </c>
      <c r="J1460" s="8">
        <v>44308</v>
      </c>
      <c r="K1460" s="8">
        <v>45300</v>
      </c>
      <c r="L1460" s="6">
        <v>149100.4</v>
      </c>
      <c r="M1460" s="6">
        <v>103000.6</v>
      </c>
      <c r="N1460" s="6">
        <v>670</v>
      </c>
      <c r="O1460" s="6">
        <v>190000</v>
      </c>
      <c r="P1460" s="6" t="s">
        <v>76</v>
      </c>
      <c r="Q1460" s="6" t="s">
        <v>27</v>
      </c>
      <c r="R1460" s="6">
        <v>0</v>
      </c>
      <c r="S1460" s="6" t="s">
        <v>28</v>
      </c>
      <c r="T1460" s="7">
        <f t="shared" si="110"/>
        <v>0.54210842105263157</v>
      </c>
      <c r="U1460" s="6">
        <f t="shared" si="111"/>
        <v>6</v>
      </c>
      <c r="V1460" s="5" t="str">
        <f t="shared" si="112"/>
        <v>GOOD</v>
      </c>
      <c r="W1460" s="6" t="str">
        <f t="shared" si="113"/>
        <v>55+</v>
      </c>
      <c r="X1460" s="6" t="str">
        <f t="shared" si="114"/>
        <v>Upper-Middle</v>
      </c>
    </row>
    <row r="1461" spans="1:24">
      <c r="A1461" s="6" t="s">
        <v>539</v>
      </c>
      <c r="B1461" s="6" t="s">
        <v>3223</v>
      </c>
      <c r="C1461" s="6" t="s">
        <v>21</v>
      </c>
      <c r="D1461" s="6" t="s">
        <v>58</v>
      </c>
      <c r="E1461" s="6" t="s">
        <v>59</v>
      </c>
      <c r="F1461" s="6">
        <v>90</v>
      </c>
      <c r="G1461" s="6" t="s">
        <v>34</v>
      </c>
      <c r="H1461" s="6" t="s">
        <v>3224</v>
      </c>
      <c r="I1461" s="6" t="s">
        <v>3799</v>
      </c>
      <c r="J1461" s="8">
        <v>43883</v>
      </c>
      <c r="K1461" s="8">
        <v>45299</v>
      </c>
      <c r="L1461" s="6">
        <v>316000.75</v>
      </c>
      <c r="M1461" s="6">
        <v>120000.8</v>
      </c>
      <c r="N1461" s="6">
        <v>835</v>
      </c>
      <c r="O1461" s="6">
        <v>335000</v>
      </c>
      <c r="P1461" s="6" t="s">
        <v>36</v>
      </c>
      <c r="Q1461" s="6" t="s">
        <v>27</v>
      </c>
      <c r="R1461" s="6">
        <v>0</v>
      </c>
      <c r="S1461" s="6" t="s">
        <v>28</v>
      </c>
      <c r="T1461" s="7">
        <f t="shared" si="110"/>
        <v>0.35821134328358212</v>
      </c>
      <c r="U1461" s="6">
        <f t="shared" si="111"/>
        <v>7</v>
      </c>
      <c r="V1461" s="5" t="str">
        <f t="shared" si="112"/>
        <v>EXCEPTIONAL</v>
      </c>
      <c r="W1461" s="6" t="str">
        <f t="shared" si="113"/>
        <v>55+</v>
      </c>
      <c r="X1461" s="6" t="str">
        <f t="shared" si="114"/>
        <v>High</v>
      </c>
    </row>
    <row r="1462" spans="1:24">
      <c r="A1462" s="6" t="s">
        <v>542</v>
      </c>
      <c r="B1462" s="6" t="s">
        <v>3225</v>
      </c>
      <c r="C1462" s="6" t="s">
        <v>52</v>
      </c>
      <c r="D1462" s="6" t="s">
        <v>68</v>
      </c>
      <c r="E1462" s="6" t="s">
        <v>114</v>
      </c>
      <c r="F1462" s="6">
        <v>77</v>
      </c>
      <c r="G1462" s="6" t="s">
        <v>34</v>
      </c>
      <c r="H1462" s="6" t="s">
        <v>3226</v>
      </c>
      <c r="I1462" s="6" t="s">
        <v>4362</v>
      </c>
      <c r="J1462" s="8">
        <v>44826</v>
      </c>
      <c r="K1462" s="8">
        <v>45302</v>
      </c>
      <c r="L1462" s="6">
        <v>90800.6</v>
      </c>
      <c r="M1462" s="6">
        <v>60800.25</v>
      </c>
      <c r="N1462" s="6">
        <v>665</v>
      </c>
      <c r="O1462" s="6">
        <v>143000</v>
      </c>
      <c r="P1462" s="6" t="s">
        <v>26</v>
      </c>
      <c r="Q1462" s="6" t="s">
        <v>27</v>
      </c>
      <c r="R1462" s="6">
        <v>0</v>
      </c>
      <c r="S1462" s="6" t="s">
        <v>28</v>
      </c>
      <c r="T1462" s="7">
        <f t="shared" si="110"/>
        <v>0.42517657342657345</v>
      </c>
      <c r="U1462" s="6">
        <f t="shared" si="111"/>
        <v>4</v>
      </c>
      <c r="V1462" s="5" t="str">
        <f t="shared" si="112"/>
        <v>FAIR</v>
      </c>
      <c r="W1462" s="6" t="str">
        <f t="shared" si="113"/>
        <v>55+</v>
      </c>
      <c r="X1462" s="6" t="str">
        <f t="shared" si="114"/>
        <v>Upper-Middle</v>
      </c>
    </row>
    <row r="1463" spans="1:24">
      <c r="A1463" s="6" t="s">
        <v>545</v>
      </c>
      <c r="B1463" s="6" t="s">
        <v>3227</v>
      </c>
      <c r="C1463" s="6" t="s">
        <v>46</v>
      </c>
      <c r="D1463" s="6" t="s">
        <v>241</v>
      </c>
      <c r="E1463" s="6" t="s">
        <v>242</v>
      </c>
      <c r="F1463" s="6">
        <v>69</v>
      </c>
      <c r="G1463" s="6" t="s">
        <v>24</v>
      </c>
      <c r="H1463" s="6" t="s">
        <v>3228</v>
      </c>
      <c r="I1463" s="6" t="s">
        <v>4373</v>
      </c>
      <c r="J1463" s="8">
        <v>45465</v>
      </c>
      <c r="K1463" s="8">
        <v>45303</v>
      </c>
      <c r="L1463" s="6">
        <v>114100.8</v>
      </c>
      <c r="M1463" s="6">
        <v>68300.399999999994</v>
      </c>
      <c r="N1463" s="6">
        <v>750</v>
      </c>
      <c r="O1463" s="6">
        <v>169000</v>
      </c>
      <c r="P1463" s="6" t="s">
        <v>26</v>
      </c>
      <c r="Q1463" s="6" t="s">
        <v>27</v>
      </c>
      <c r="R1463" s="6">
        <v>0</v>
      </c>
      <c r="S1463" s="6" t="s">
        <v>28</v>
      </c>
      <c r="T1463" s="7">
        <f t="shared" si="110"/>
        <v>0.40414437869822484</v>
      </c>
      <c r="U1463" s="6">
        <f t="shared" si="111"/>
        <v>3</v>
      </c>
      <c r="V1463" s="5" t="str">
        <f t="shared" si="112"/>
        <v>VERY GOOD</v>
      </c>
      <c r="W1463" s="6" t="str">
        <f t="shared" si="113"/>
        <v>55+</v>
      </c>
      <c r="X1463" s="6" t="str">
        <f t="shared" si="114"/>
        <v>Upper-Middle</v>
      </c>
    </row>
    <row r="1464" spans="1:24">
      <c r="A1464" s="6" t="s">
        <v>548</v>
      </c>
      <c r="B1464" s="6" t="s">
        <v>3229</v>
      </c>
      <c r="C1464" s="6" t="s">
        <v>57</v>
      </c>
      <c r="D1464" s="6" t="s">
        <v>22</v>
      </c>
      <c r="E1464" s="6" t="s">
        <v>282</v>
      </c>
      <c r="F1464" s="6">
        <v>65</v>
      </c>
      <c r="G1464" s="6" t="s">
        <v>34</v>
      </c>
      <c r="H1464" s="6" t="s">
        <v>3230</v>
      </c>
      <c r="I1464" s="6" t="s">
        <v>3706</v>
      </c>
      <c r="J1464" s="8">
        <v>45648</v>
      </c>
      <c r="K1464" s="8">
        <v>45305</v>
      </c>
      <c r="L1464" s="6">
        <v>53000.9</v>
      </c>
      <c r="M1464" s="6">
        <v>20400.75</v>
      </c>
      <c r="N1464" s="6">
        <v>770</v>
      </c>
      <c r="O1464" s="6">
        <v>100000</v>
      </c>
      <c r="P1464" s="6" t="s">
        <v>36</v>
      </c>
      <c r="Q1464" s="6" t="s">
        <v>27</v>
      </c>
      <c r="R1464" s="6">
        <v>0</v>
      </c>
      <c r="S1464" s="6" t="s">
        <v>28</v>
      </c>
      <c r="T1464" s="7">
        <f t="shared" si="110"/>
        <v>0.20400750000000001</v>
      </c>
      <c r="U1464" s="6">
        <f t="shared" si="111"/>
        <v>1</v>
      </c>
      <c r="V1464" s="5" t="str">
        <f t="shared" si="112"/>
        <v>VERY GOOD</v>
      </c>
      <c r="W1464" s="6" t="str">
        <f t="shared" si="113"/>
        <v>55+</v>
      </c>
      <c r="X1464" s="6" t="str">
        <f t="shared" si="114"/>
        <v>Lower-Middle</v>
      </c>
    </row>
    <row r="1465" spans="1:24">
      <c r="A1465" s="6" t="s">
        <v>551</v>
      </c>
      <c r="B1465" s="6" t="s">
        <v>3231</v>
      </c>
      <c r="C1465" s="6" t="s">
        <v>39</v>
      </c>
      <c r="D1465" s="6" t="s">
        <v>313</v>
      </c>
      <c r="E1465" s="6" t="s">
        <v>385</v>
      </c>
      <c r="F1465" s="6">
        <v>88</v>
      </c>
      <c r="G1465" s="6" t="s">
        <v>24</v>
      </c>
      <c r="H1465" s="6" t="s">
        <v>3232</v>
      </c>
      <c r="I1465" s="6" t="s">
        <v>4374</v>
      </c>
      <c r="J1465" s="8">
        <v>44065</v>
      </c>
      <c r="K1465" s="8">
        <v>45299</v>
      </c>
      <c r="L1465" s="6">
        <v>202200.25</v>
      </c>
      <c r="M1465" s="6">
        <v>124000.8</v>
      </c>
      <c r="N1465" s="6">
        <v>645</v>
      </c>
      <c r="O1465" s="6">
        <v>240000</v>
      </c>
      <c r="P1465" s="6" t="s">
        <v>76</v>
      </c>
      <c r="Q1465" s="6" t="s">
        <v>27</v>
      </c>
      <c r="R1465" s="6">
        <v>0</v>
      </c>
      <c r="S1465" s="6" t="s">
        <v>28</v>
      </c>
      <c r="T1465" s="7">
        <f t="shared" si="110"/>
        <v>0.51666999999999996</v>
      </c>
      <c r="U1465" s="6">
        <f t="shared" si="111"/>
        <v>7</v>
      </c>
      <c r="V1465" s="5" t="str">
        <f t="shared" si="112"/>
        <v>FAIR</v>
      </c>
      <c r="W1465" s="6" t="str">
        <f t="shared" si="113"/>
        <v>55+</v>
      </c>
      <c r="X1465" s="6" t="str">
        <f t="shared" si="114"/>
        <v>High</v>
      </c>
    </row>
    <row r="1466" spans="1:24">
      <c r="A1466" s="6" t="s">
        <v>554</v>
      </c>
      <c r="B1466" s="6" t="s">
        <v>3233</v>
      </c>
      <c r="C1466" s="6" t="s">
        <v>31</v>
      </c>
      <c r="D1466" s="6" t="s">
        <v>214</v>
      </c>
      <c r="E1466" s="6" t="s">
        <v>215</v>
      </c>
      <c r="F1466" s="6">
        <v>61</v>
      </c>
      <c r="G1466" s="6" t="s">
        <v>34</v>
      </c>
      <c r="H1466" s="6" t="s">
        <v>3234</v>
      </c>
      <c r="I1466" s="6" t="s">
        <v>4375</v>
      </c>
      <c r="J1466" s="8">
        <v>45685</v>
      </c>
      <c r="K1466" s="8">
        <v>45306</v>
      </c>
      <c r="L1466" s="6">
        <v>45200.5</v>
      </c>
      <c r="M1466" s="6">
        <v>20000.400000000001</v>
      </c>
      <c r="N1466" s="6">
        <v>720</v>
      </c>
      <c r="O1466" s="6">
        <v>77000</v>
      </c>
      <c r="P1466" s="6" t="s">
        <v>36</v>
      </c>
      <c r="Q1466" s="6" t="s">
        <v>27</v>
      </c>
      <c r="R1466" s="6">
        <v>0</v>
      </c>
      <c r="S1466" s="6" t="s">
        <v>28</v>
      </c>
      <c r="T1466" s="7">
        <f t="shared" si="110"/>
        <v>0.25974545454545456</v>
      </c>
      <c r="U1466" s="6">
        <f t="shared" si="111"/>
        <v>0</v>
      </c>
      <c r="V1466" s="5" t="str">
        <f t="shared" si="112"/>
        <v>GOOD</v>
      </c>
      <c r="W1466" s="6" t="str">
        <f t="shared" si="113"/>
        <v>55+</v>
      </c>
      <c r="X1466" s="6" t="str">
        <f t="shared" si="114"/>
        <v>Lower-Middle</v>
      </c>
    </row>
    <row r="1467" spans="1:24">
      <c r="A1467" s="6" t="s">
        <v>108</v>
      </c>
      <c r="B1467" s="6" t="s">
        <v>3235</v>
      </c>
      <c r="C1467" s="6" t="s">
        <v>84</v>
      </c>
      <c r="D1467" s="6" t="s">
        <v>32</v>
      </c>
      <c r="E1467" s="6" t="s">
        <v>33</v>
      </c>
      <c r="F1467" s="6">
        <v>57</v>
      </c>
      <c r="G1467" s="6" t="s">
        <v>24</v>
      </c>
      <c r="H1467" s="6" t="s">
        <v>3236</v>
      </c>
      <c r="I1467" s="6" t="s">
        <v>3667</v>
      </c>
      <c r="J1467" s="8">
        <v>45685</v>
      </c>
      <c r="K1467" s="8">
        <v>45304</v>
      </c>
      <c r="L1467" s="6">
        <v>5350.8</v>
      </c>
      <c r="M1467" s="6">
        <v>15600.25</v>
      </c>
      <c r="N1467" s="6">
        <v>605</v>
      </c>
      <c r="O1467" s="6">
        <v>53000</v>
      </c>
      <c r="P1467" s="6" t="s">
        <v>76</v>
      </c>
      <c r="Q1467" s="6" t="s">
        <v>43</v>
      </c>
      <c r="R1467" s="6">
        <v>0</v>
      </c>
      <c r="S1467" s="6" t="s">
        <v>28</v>
      </c>
      <c r="T1467" s="7">
        <f t="shared" si="110"/>
        <v>0.2943443396226415</v>
      </c>
      <c r="U1467" s="6">
        <f t="shared" si="111"/>
        <v>2</v>
      </c>
      <c r="V1467" s="5" t="str">
        <f t="shared" si="112"/>
        <v>FAIR</v>
      </c>
      <c r="W1467" s="6" t="str">
        <f t="shared" si="113"/>
        <v>55+</v>
      </c>
      <c r="X1467" s="6" t="str">
        <f t="shared" si="114"/>
        <v>Low</v>
      </c>
    </row>
    <row r="1468" spans="1:24">
      <c r="A1468" s="6" t="s">
        <v>559</v>
      </c>
      <c r="B1468" s="6" t="s">
        <v>3237</v>
      </c>
      <c r="C1468" s="6" t="s">
        <v>46</v>
      </c>
      <c r="D1468" s="6" t="s">
        <v>254</v>
      </c>
      <c r="E1468" s="6" t="s">
        <v>255</v>
      </c>
      <c r="F1468" s="6">
        <v>71</v>
      </c>
      <c r="G1468" s="6" t="s">
        <v>34</v>
      </c>
      <c r="H1468" s="6" t="s">
        <v>3238</v>
      </c>
      <c r="I1468" s="6" t="s">
        <v>4376</v>
      </c>
      <c r="J1468" s="8">
        <v>45344</v>
      </c>
      <c r="K1468" s="8">
        <v>45302</v>
      </c>
      <c r="L1468" s="6">
        <v>100800.4</v>
      </c>
      <c r="M1468" s="6">
        <v>63000.75</v>
      </c>
      <c r="N1468" s="6">
        <v>710</v>
      </c>
      <c r="O1468" s="6">
        <v>151000</v>
      </c>
      <c r="P1468" s="6" t="s">
        <v>26</v>
      </c>
      <c r="Q1468" s="6" t="s">
        <v>27</v>
      </c>
      <c r="R1468" s="6">
        <v>0</v>
      </c>
      <c r="S1468" s="6" t="s">
        <v>28</v>
      </c>
      <c r="T1468" s="7">
        <f t="shared" si="110"/>
        <v>0.41722350993377483</v>
      </c>
      <c r="U1468" s="6">
        <f t="shared" si="111"/>
        <v>4</v>
      </c>
      <c r="V1468" s="5" t="str">
        <f t="shared" si="112"/>
        <v>GOOD</v>
      </c>
      <c r="W1468" s="6" t="str">
        <f t="shared" si="113"/>
        <v>55+</v>
      </c>
      <c r="X1468" s="6" t="str">
        <f t="shared" si="114"/>
        <v>Upper-Middle</v>
      </c>
    </row>
    <row r="1469" spans="1:24">
      <c r="A1469" s="6" t="s">
        <v>562</v>
      </c>
      <c r="B1469" s="6" t="s">
        <v>3239</v>
      </c>
      <c r="C1469" s="6" t="s">
        <v>39</v>
      </c>
      <c r="D1469" s="6" t="s">
        <v>47</v>
      </c>
      <c r="E1469" s="6" t="s">
        <v>48</v>
      </c>
      <c r="F1469" s="6">
        <v>85</v>
      </c>
      <c r="G1469" s="6" t="s">
        <v>24</v>
      </c>
      <c r="H1469" s="6" t="s">
        <v>3240</v>
      </c>
      <c r="I1469" s="6" t="s">
        <v>3805</v>
      </c>
      <c r="J1469" s="8">
        <v>44218</v>
      </c>
      <c r="K1469" s="8">
        <v>45300</v>
      </c>
      <c r="L1469" s="6">
        <v>182400.6</v>
      </c>
      <c r="M1469" s="6">
        <v>117000.25</v>
      </c>
      <c r="N1469" s="6">
        <v>675</v>
      </c>
      <c r="O1469" s="6">
        <v>220000</v>
      </c>
      <c r="P1469" s="6" t="s">
        <v>76</v>
      </c>
      <c r="Q1469" s="6" t="s">
        <v>27</v>
      </c>
      <c r="R1469" s="6">
        <v>0</v>
      </c>
      <c r="S1469" s="6" t="s">
        <v>28</v>
      </c>
      <c r="T1469" s="7">
        <f t="shared" si="110"/>
        <v>0.53181931818181816</v>
      </c>
      <c r="U1469" s="6">
        <f t="shared" si="111"/>
        <v>6</v>
      </c>
      <c r="V1469" s="5" t="str">
        <f t="shared" si="112"/>
        <v>GOOD</v>
      </c>
      <c r="W1469" s="6" t="str">
        <f t="shared" si="113"/>
        <v>55+</v>
      </c>
      <c r="X1469" s="6" t="str">
        <f t="shared" si="114"/>
        <v>High</v>
      </c>
    </row>
    <row r="1470" spans="1:24">
      <c r="A1470" s="6" t="s">
        <v>565</v>
      </c>
      <c r="B1470" s="6" t="s">
        <v>3241</v>
      </c>
      <c r="C1470" s="6" t="s">
        <v>52</v>
      </c>
      <c r="D1470" s="6" t="s">
        <v>233</v>
      </c>
      <c r="E1470" s="6" t="s">
        <v>234</v>
      </c>
      <c r="F1470" s="6">
        <v>70</v>
      </c>
      <c r="G1470" s="6" t="s">
        <v>34</v>
      </c>
      <c r="H1470" s="6" t="s">
        <v>3242</v>
      </c>
      <c r="I1470" s="6" t="s">
        <v>3806</v>
      </c>
      <c r="J1470" s="8">
        <v>45129</v>
      </c>
      <c r="K1470" s="8">
        <v>45301</v>
      </c>
      <c r="L1470" s="6">
        <v>77200.75</v>
      </c>
      <c r="M1470" s="6">
        <v>54100.800000000003</v>
      </c>
      <c r="N1470" s="6">
        <v>725</v>
      </c>
      <c r="O1470" s="6">
        <v>117000</v>
      </c>
      <c r="P1470" s="6" t="s">
        <v>26</v>
      </c>
      <c r="Q1470" s="6" t="s">
        <v>27</v>
      </c>
      <c r="R1470" s="6">
        <v>0</v>
      </c>
      <c r="S1470" s="6" t="s">
        <v>28</v>
      </c>
      <c r="T1470" s="7">
        <f t="shared" si="110"/>
        <v>0.46240000000000003</v>
      </c>
      <c r="U1470" s="6">
        <f t="shared" si="111"/>
        <v>5</v>
      </c>
      <c r="V1470" s="5" t="str">
        <f t="shared" si="112"/>
        <v>GOOD</v>
      </c>
      <c r="W1470" s="6" t="str">
        <f t="shared" si="113"/>
        <v>55+</v>
      </c>
      <c r="X1470" s="6" t="str">
        <f t="shared" si="114"/>
        <v>Lower-Middle</v>
      </c>
    </row>
    <row r="1471" spans="1:24">
      <c r="A1471" s="6" t="s">
        <v>568</v>
      </c>
      <c r="B1471" s="6" t="s">
        <v>3243</v>
      </c>
      <c r="C1471" s="6" t="s">
        <v>57</v>
      </c>
      <c r="D1471" s="6" t="s">
        <v>79</v>
      </c>
      <c r="E1471" s="6" t="s">
        <v>80</v>
      </c>
      <c r="F1471" s="6">
        <v>68</v>
      </c>
      <c r="G1471" s="6" t="s">
        <v>24</v>
      </c>
      <c r="H1471" s="6" t="s">
        <v>3244</v>
      </c>
      <c r="I1471" s="6" t="s">
        <v>3807</v>
      </c>
      <c r="J1471" s="8">
        <v>45587</v>
      </c>
      <c r="K1471" s="8">
        <v>45303</v>
      </c>
      <c r="L1471" s="6">
        <v>55200.4</v>
      </c>
      <c r="M1471" s="6">
        <v>21200.9</v>
      </c>
      <c r="N1471" s="6">
        <v>740</v>
      </c>
      <c r="O1471" s="6">
        <v>103000</v>
      </c>
      <c r="P1471" s="6" t="s">
        <v>36</v>
      </c>
      <c r="Q1471" s="6" t="s">
        <v>27</v>
      </c>
      <c r="R1471" s="6">
        <v>0</v>
      </c>
      <c r="S1471" s="6" t="s">
        <v>28</v>
      </c>
      <c r="T1471" s="7">
        <f t="shared" si="110"/>
        <v>0.20583398058252428</v>
      </c>
      <c r="U1471" s="6">
        <f t="shared" si="111"/>
        <v>3</v>
      </c>
      <c r="V1471" s="5" t="str">
        <f t="shared" si="112"/>
        <v>GOOD</v>
      </c>
      <c r="W1471" s="6" t="str">
        <f t="shared" si="113"/>
        <v>55+</v>
      </c>
      <c r="X1471" s="6" t="str">
        <f t="shared" si="114"/>
        <v>Lower-Middle</v>
      </c>
    </row>
    <row r="1472" spans="1:24">
      <c r="A1472" s="6" t="s">
        <v>571</v>
      </c>
      <c r="B1472" s="6" t="s">
        <v>3245</v>
      </c>
      <c r="C1472" s="6" t="s">
        <v>21</v>
      </c>
      <c r="D1472" s="6" t="s">
        <v>63</v>
      </c>
      <c r="E1472" s="6" t="s">
        <v>3514</v>
      </c>
      <c r="F1472" s="6">
        <v>91</v>
      </c>
      <c r="G1472" s="6" t="s">
        <v>34</v>
      </c>
      <c r="H1472" s="6" t="s">
        <v>3246</v>
      </c>
      <c r="I1472" s="6" t="s">
        <v>4042</v>
      </c>
      <c r="J1472" s="8">
        <v>43760</v>
      </c>
      <c r="K1472" s="8">
        <v>45299</v>
      </c>
      <c r="L1472" s="6">
        <v>271300.90000000002</v>
      </c>
      <c r="M1472" s="6">
        <v>107000.6</v>
      </c>
      <c r="N1472" s="6">
        <v>830</v>
      </c>
      <c r="O1472" s="6">
        <v>315000</v>
      </c>
      <c r="P1472" s="6" t="s">
        <v>36</v>
      </c>
      <c r="Q1472" s="6" t="s">
        <v>27</v>
      </c>
      <c r="R1472" s="6">
        <v>0</v>
      </c>
      <c r="S1472" s="6" t="s">
        <v>28</v>
      </c>
      <c r="T1472" s="7">
        <f t="shared" si="110"/>
        <v>0.33968444444444446</v>
      </c>
      <c r="U1472" s="6">
        <f t="shared" si="111"/>
        <v>7</v>
      </c>
      <c r="V1472" s="5" t="str">
        <f t="shared" si="112"/>
        <v>EXCEPTIONAL</v>
      </c>
      <c r="W1472" s="6" t="str">
        <f t="shared" si="113"/>
        <v>55+</v>
      </c>
      <c r="X1472" s="6" t="str">
        <f t="shared" si="114"/>
        <v>High</v>
      </c>
    </row>
    <row r="1473" spans="1:24">
      <c r="A1473" s="6" t="s">
        <v>574</v>
      </c>
      <c r="B1473" s="6" t="s">
        <v>3247</v>
      </c>
      <c r="C1473" s="6" t="s">
        <v>39</v>
      </c>
      <c r="D1473" s="6" t="s">
        <v>68</v>
      </c>
      <c r="E1473" s="6" t="s">
        <v>179</v>
      </c>
      <c r="F1473" s="6">
        <v>83</v>
      </c>
      <c r="G1473" s="6" t="s">
        <v>24</v>
      </c>
      <c r="H1473" s="6" t="s">
        <v>3248</v>
      </c>
      <c r="I1473" s="6" t="s">
        <v>4377</v>
      </c>
      <c r="J1473" s="8">
        <v>44359</v>
      </c>
      <c r="K1473" s="8">
        <v>45300</v>
      </c>
      <c r="L1473" s="6">
        <v>160200.25</v>
      </c>
      <c r="M1473" s="6">
        <v>109000.4</v>
      </c>
      <c r="N1473" s="6">
        <v>655</v>
      </c>
      <c r="O1473" s="6">
        <v>205000</v>
      </c>
      <c r="P1473" s="6" t="s">
        <v>76</v>
      </c>
      <c r="Q1473" s="6" t="s">
        <v>27</v>
      </c>
      <c r="R1473" s="6">
        <v>0</v>
      </c>
      <c r="S1473" s="6" t="s">
        <v>28</v>
      </c>
      <c r="T1473" s="7">
        <f t="shared" si="110"/>
        <v>0.53170926829268295</v>
      </c>
      <c r="U1473" s="6">
        <f t="shared" si="111"/>
        <v>6</v>
      </c>
      <c r="V1473" s="5" t="str">
        <f t="shared" si="112"/>
        <v>FAIR</v>
      </c>
      <c r="W1473" s="6" t="str">
        <f t="shared" si="113"/>
        <v>55+</v>
      </c>
      <c r="X1473" s="6" t="str">
        <f t="shared" si="114"/>
        <v>High</v>
      </c>
    </row>
    <row r="1474" spans="1:24">
      <c r="A1474" s="6" t="s">
        <v>577</v>
      </c>
      <c r="B1474" s="6" t="s">
        <v>3249</v>
      </c>
      <c r="C1474" s="6" t="s">
        <v>46</v>
      </c>
      <c r="D1474" s="6" t="s">
        <v>85</v>
      </c>
      <c r="E1474" s="6" t="s">
        <v>86</v>
      </c>
      <c r="F1474" s="6">
        <v>72</v>
      </c>
      <c r="G1474" s="6" t="s">
        <v>34</v>
      </c>
      <c r="H1474" s="6" t="s">
        <v>3250</v>
      </c>
      <c r="I1474" s="6" t="s">
        <v>3968</v>
      </c>
      <c r="J1474" s="8">
        <v>45252</v>
      </c>
      <c r="K1474" s="8">
        <v>45302</v>
      </c>
      <c r="L1474" s="6">
        <v>119700.6</v>
      </c>
      <c r="M1474" s="6">
        <v>71000.75</v>
      </c>
      <c r="N1474" s="6">
        <v>760</v>
      </c>
      <c r="O1474" s="6">
        <v>174000</v>
      </c>
      <c r="P1474" s="6" t="s">
        <v>26</v>
      </c>
      <c r="Q1474" s="6" t="s">
        <v>27</v>
      </c>
      <c r="R1474" s="6">
        <v>0</v>
      </c>
      <c r="S1474" s="6" t="s">
        <v>28</v>
      </c>
      <c r="T1474" s="7">
        <f t="shared" ref="T1474:T1537" si="115">IFERROR(M1474/O1474,"")</f>
        <v>0.40805028735632182</v>
      </c>
      <c r="U1474" s="6">
        <f t="shared" ref="U1474:U1537" si="116">MAX($K$2:$K$1599)-K1474</f>
        <v>4</v>
      </c>
      <c r="V1474" s="5" t="str">
        <f t="shared" ref="V1474:V1537" si="117">IF(N1474&lt;670,"FAIR", IF(N1474&lt;750,"GOOD",IF(N1474&lt;800,"VERY GOOD","EXCEPTIONAL")))</f>
        <v>VERY GOOD</v>
      </c>
      <c r="W1474" s="6" t="str">
        <f t="shared" ref="W1474:W1537" si="118">IF(F1474&lt;25,"18-24",IF(F1474&lt;35,"25-34",IF(F1474&lt;45,"35-44",IF(F1474&lt;55,"45-54","55+"))))</f>
        <v>55+</v>
      </c>
      <c r="X1474" s="6" t="str">
        <f t="shared" ref="X1474:X1537" si="119">IF(O1474&lt;=_xlfn.QUARTILE.INC($O$2:$O$1599,1),"Low",IF(O1474&lt;=_xlfn.QUARTILE.INC($O$2:$O$1599,2),"Lower-Middle",IF(O1474&lt;=_xlfn.QUARTILE.INC($O$2:$O$1599,3),"Upper-Middle","High")))</f>
        <v>Upper-Middle</v>
      </c>
    </row>
    <row r="1475" spans="1:24">
      <c r="A1475" s="6" t="s">
        <v>458</v>
      </c>
      <c r="B1475" s="6" t="s">
        <v>3251</v>
      </c>
      <c r="C1475" s="6" t="s">
        <v>31</v>
      </c>
      <c r="D1475" s="6" t="s">
        <v>460</v>
      </c>
      <c r="E1475" s="6" t="s">
        <v>461</v>
      </c>
      <c r="F1475" s="6">
        <v>63</v>
      </c>
      <c r="G1475" s="6" t="s">
        <v>24</v>
      </c>
      <c r="H1475" s="6" t="s">
        <v>3252</v>
      </c>
      <c r="I1475" s="6" t="s">
        <v>4378</v>
      </c>
      <c r="J1475" s="8">
        <v>45685</v>
      </c>
      <c r="K1475" s="8">
        <v>45306</v>
      </c>
      <c r="L1475" s="6">
        <v>25900.25</v>
      </c>
      <c r="M1475" s="6">
        <v>15400.8</v>
      </c>
      <c r="N1475" s="6">
        <v>695</v>
      </c>
      <c r="O1475" s="6">
        <v>74000</v>
      </c>
      <c r="P1475" s="6" t="s">
        <v>26</v>
      </c>
      <c r="Q1475" s="6" t="s">
        <v>43</v>
      </c>
      <c r="R1475" s="6">
        <v>0</v>
      </c>
      <c r="S1475" s="6" t="s">
        <v>28</v>
      </c>
      <c r="T1475" s="7">
        <f t="shared" si="115"/>
        <v>0.2081189189189189</v>
      </c>
      <c r="U1475" s="6">
        <f t="shared" si="116"/>
        <v>0</v>
      </c>
      <c r="V1475" s="5" t="str">
        <f t="shared" si="117"/>
        <v>GOOD</v>
      </c>
      <c r="W1475" s="6" t="str">
        <f t="shared" si="118"/>
        <v>55+</v>
      </c>
      <c r="X1475" s="6" t="str">
        <f t="shared" si="119"/>
        <v>Low</v>
      </c>
    </row>
    <row r="1476" spans="1:24">
      <c r="A1476" s="6" t="s">
        <v>582</v>
      </c>
      <c r="B1476" s="6" t="s">
        <v>3253</v>
      </c>
      <c r="C1476" s="6" t="s">
        <v>57</v>
      </c>
      <c r="D1476" s="6" t="s">
        <v>22</v>
      </c>
      <c r="E1476" s="6" t="s">
        <v>53</v>
      </c>
      <c r="F1476" s="6">
        <v>66</v>
      </c>
      <c r="G1476" s="6" t="s">
        <v>34</v>
      </c>
      <c r="H1476" s="6" t="s">
        <v>3254</v>
      </c>
      <c r="I1476" s="6" t="s">
        <v>4008</v>
      </c>
      <c r="J1476" s="8">
        <v>45526</v>
      </c>
      <c r="K1476" s="8">
        <v>45303</v>
      </c>
      <c r="L1476" s="6">
        <v>54100.9</v>
      </c>
      <c r="M1476" s="6">
        <v>20800.25</v>
      </c>
      <c r="N1476" s="6">
        <v>755</v>
      </c>
      <c r="O1476" s="6">
        <v>96000</v>
      </c>
      <c r="P1476" s="6" t="s">
        <v>36</v>
      </c>
      <c r="Q1476" s="6" t="s">
        <v>27</v>
      </c>
      <c r="R1476" s="6">
        <v>0</v>
      </c>
      <c r="S1476" s="6" t="s">
        <v>28</v>
      </c>
      <c r="T1476" s="7">
        <f t="shared" si="115"/>
        <v>0.21666927083333334</v>
      </c>
      <c r="U1476" s="6">
        <f t="shared" si="116"/>
        <v>3</v>
      </c>
      <c r="V1476" s="5" t="str">
        <f t="shared" si="117"/>
        <v>VERY GOOD</v>
      </c>
      <c r="W1476" s="6" t="str">
        <f t="shared" si="118"/>
        <v>55+</v>
      </c>
      <c r="X1476" s="6" t="str">
        <f t="shared" si="119"/>
        <v>Lower-Middle</v>
      </c>
    </row>
    <row r="1477" spans="1:24">
      <c r="A1477" s="6" t="s">
        <v>55</v>
      </c>
      <c r="B1477" s="6" t="s">
        <v>3255</v>
      </c>
      <c r="C1477" s="6" t="s">
        <v>39</v>
      </c>
      <c r="D1477" s="6" t="s">
        <v>58</v>
      </c>
      <c r="E1477" s="6" t="s">
        <v>122</v>
      </c>
      <c r="F1477" s="6">
        <v>84</v>
      </c>
      <c r="G1477" s="6" t="s">
        <v>24</v>
      </c>
      <c r="H1477" s="6" t="s">
        <v>3256</v>
      </c>
      <c r="I1477" s="6" t="s">
        <v>3812</v>
      </c>
      <c r="J1477" s="8">
        <v>44277</v>
      </c>
      <c r="K1477" s="8">
        <v>45300</v>
      </c>
      <c r="L1477" s="6">
        <v>193100.4</v>
      </c>
      <c r="M1477" s="6">
        <v>122000.75</v>
      </c>
      <c r="N1477" s="6">
        <v>685</v>
      </c>
      <c r="O1477" s="6">
        <v>230000</v>
      </c>
      <c r="P1477" s="6" t="s">
        <v>76</v>
      </c>
      <c r="Q1477" s="6" t="s">
        <v>27</v>
      </c>
      <c r="R1477" s="6">
        <v>0</v>
      </c>
      <c r="S1477" s="6" t="s">
        <v>28</v>
      </c>
      <c r="T1477" s="7">
        <f t="shared" si="115"/>
        <v>0.53043804347826085</v>
      </c>
      <c r="U1477" s="6">
        <f t="shared" si="116"/>
        <v>6</v>
      </c>
      <c r="V1477" s="5" t="str">
        <f t="shared" si="117"/>
        <v>GOOD</v>
      </c>
      <c r="W1477" s="6" t="str">
        <f t="shared" si="118"/>
        <v>55+</v>
      </c>
      <c r="X1477" s="6" t="str">
        <f t="shared" si="119"/>
        <v>High</v>
      </c>
    </row>
    <row r="1478" spans="1:24">
      <c r="A1478" s="6" t="s">
        <v>469</v>
      </c>
      <c r="B1478" s="6" t="s">
        <v>3257</v>
      </c>
      <c r="C1478" s="6" t="s">
        <v>52</v>
      </c>
      <c r="D1478" s="6" t="s">
        <v>471</v>
      </c>
      <c r="E1478" s="6" t="s">
        <v>472</v>
      </c>
      <c r="F1478" s="6">
        <v>75</v>
      </c>
      <c r="G1478" s="6" t="s">
        <v>34</v>
      </c>
      <c r="H1478" s="6" t="s">
        <v>3258</v>
      </c>
      <c r="I1478" s="6" t="s">
        <v>4379</v>
      </c>
      <c r="J1478" s="8">
        <v>44917</v>
      </c>
      <c r="K1478" s="8">
        <v>45301</v>
      </c>
      <c r="L1478" s="6">
        <v>84100.800000000003</v>
      </c>
      <c r="M1478" s="6">
        <v>57200.6</v>
      </c>
      <c r="N1478" s="6">
        <v>715</v>
      </c>
      <c r="O1478" s="6">
        <v>129000</v>
      </c>
      <c r="P1478" s="6" t="s">
        <v>26</v>
      </c>
      <c r="Q1478" s="6" t="s">
        <v>27</v>
      </c>
      <c r="R1478" s="6">
        <v>0</v>
      </c>
      <c r="S1478" s="6" t="s">
        <v>28</v>
      </c>
      <c r="T1478" s="7">
        <f t="shared" si="115"/>
        <v>0.44341550387596901</v>
      </c>
      <c r="U1478" s="6">
        <f t="shared" si="116"/>
        <v>5</v>
      </c>
      <c r="V1478" s="5" t="str">
        <f t="shared" si="117"/>
        <v>GOOD</v>
      </c>
      <c r="W1478" s="6" t="str">
        <f t="shared" si="118"/>
        <v>55+</v>
      </c>
      <c r="X1478" s="6" t="str">
        <f t="shared" si="119"/>
        <v>Upper-Middle</v>
      </c>
    </row>
    <row r="1479" spans="1:24">
      <c r="A1479" s="6" t="s">
        <v>474</v>
      </c>
      <c r="B1479" s="6" t="s">
        <v>3259</v>
      </c>
      <c r="C1479" s="6" t="s">
        <v>46</v>
      </c>
      <c r="D1479" s="6" t="s">
        <v>345</v>
      </c>
      <c r="E1479" s="6" t="s">
        <v>476</v>
      </c>
      <c r="F1479" s="6">
        <v>78</v>
      </c>
      <c r="G1479" s="6" t="s">
        <v>24</v>
      </c>
      <c r="H1479" s="6" t="s">
        <v>3260</v>
      </c>
      <c r="I1479" s="6" t="s">
        <v>3814</v>
      </c>
      <c r="J1479" s="8">
        <v>44826</v>
      </c>
      <c r="K1479" s="8">
        <v>45302</v>
      </c>
      <c r="L1479" s="6">
        <v>111900.25</v>
      </c>
      <c r="M1479" s="6">
        <v>67200.399999999994</v>
      </c>
      <c r="N1479" s="6">
        <v>680</v>
      </c>
      <c r="O1479" s="6">
        <v>158000</v>
      </c>
      <c r="P1479" s="6" t="s">
        <v>26</v>
      </c>
      <c r="Q1479" s="6" t="s">
        <v>27</v>
      </c>
      <c r="R1479" s="6">
        <v>0</v>
      </c>
      <c r="S1479" s="6" t="s">
        <v>28</v>
      </c>
      <c r="T1479" s="7">
        <f t="shared" si="115"/>
        <v>0.42531898734177209</v>
      </c>
      <c r="U1479" s="6">
        <f t="shared" si="116"/>
        <v>4</v>
      </c>
      <c r="V1479" s="5" t="str">
        <f t="shared" si="117"/>
        <v>GOOD</v>
      </c>
      <c r="W1479" s="6" t="str">
        <f t="shared" si="118"/>
        <v>55+</v>
      </c>
      <c r="X1479" s="6" t="str">
        <f t="shared" si="119"/>
        <v>Upper-Middle</v>
      </c>
    </row>
    <row r="1480" spans="1:24">
      <c r="A1480" s="6" t="s">
        <v>592</v>
      </c>
      <c r="B1480" s="6" t="s">
        <v>3261</v>
      </c>
      <c r="C1480" s="6" t="s">
        <v>84</v>
      </c>
      <c r="D1480" s="6" t="s">
        <v>32</v>
      </c>
      <c r="E1480" s="6" t="s">
        <v>90</v>
      </c>
      <c r="F1480" s="6">
        <v>58</v>
      </c>
      <c r="G1480" s="6" t="s">
        <v>34</v>
      </c>
      <c r="H1480" s="6" t="s">
        <v>3262</v>
      </c>
      <c r="I1480" s="6" t="s">
        <v>3578</v>
      </c>
      <c r="J1480" s="8">
        <v>45693</v>
      </c>
      <c r="K1480" s="8">
        <v>45304</v>
      </c>
      <c r="L1480" s="6">
        <v>5450.4</v>
      </c>
      <c r="M1480" s="6">
        <v>16200.75</v>
      </c>
      <c r="N1480" s="6">
        <v>610</v>
      </c>
      <c r="O1480" s="6">
        <v>54000</v>
      </c>
      <c r="P1480" s="6" t="s">
        <v>76</v>
      </c>
      <c r="Q1480" s="6" t="s">
        <v>43</v>
      </c>
      <c r="R1480" s="6">
        <v>0</v>
      </c>
      <c r="S1480" s="6" t="s">
        <v>28</v>
      </c>
      <c r="T1480" s="7">
        <f t="shared" si="115"/>
        <v>0.30001388888888891</v>
      </c>
      <c r="U1480" s="6">
        <f t="shared" si="116"/>
        <v>2</v>
      </c>
      <c r="V1480" s="5" t="str">
        <f t="shared" si="117"/>
        <v>FAIR</v>
      </c>
      <c r="W1480" s="6" t="str">
        <f t="shared" si="118"/>
        <v>55+</v>
      </c>
      <c r="X1480" s="6" t="str">
        <f t="shared" si="119"/>
        <v>Low</v>
      </c>
    </row>
    <row r="1481" spans="1:24">
      <c r="A1481" s="6" t="s">
        <v>595</v>
      </c>
      <c r="B1481" s="6" t="s">
        <v>3263</v>
      </c>
      <c r="C1481" s="6" t="s">
        <v>21</v>
      </c>
      <c r="D1481" s="6" t="s">
        <v>209</v>
      </c>
      <c r="E1481" s="6" t="s">
        <v>210</v>
      </c>
      <c r="F1481" s="6">
        <v>90</v>
      </c>
      <c r="G1481" s="6" t="s">
        <v>24</v>
      </c>
      <c r="H1481" s="6" t="s">
        <v>3264</v>
      </c>
      <c r="I1481" s="6" t="s">
        <v>4046</v>
      </c>
      <c r="J1481" s="8">
        <v>43973</v>
      </c>
      <c r="K1481" s="8">
        <v>45299</v>
      </c>
      <c r="L1481" s="6">
        <v>291100.79999999999</v>
      </c>
      <c r="M1481" s="6">
        <v>113000.25</v>
      </c>
      <c r="N1481" s="6">
        <v>825</v>
      </c>
      <c r="O1481" s="6">
        <v>310000</v>
      </c>
      <c r="P1481" s="6" t="s">
        <v>36</v>
      </c>
      <c r="Q1481" s="6" t="s">
        <v>27</v>
      </c>
      <c r="R1481" s="6">
        <v>0</v>
      </c>
      <c r="S1481" s="6" t="s">
        <v>28</v>
      </c>
      <c r="T1481" s="7">
        <f t="shared" si="115"/>
        <v>0.36451693548387099</v>
      </c>
      <c r="U1481" s="6">
        <f t="shared" si="116"/>
        <v>7</v>
      </c>
      <c r="V1481" s="5" t="str">
        <f t="shared" si="117"/>
        <v>EXCEPTIONAL</v>
      </c>
      <c r="W1481" s="6" t="str">
        <f t="shared" si="118"/>
        <v>55+</v>
      </c>
      <c r="X1481" s="6" t="str">
        <f t="shared" si="119"/>
        <v>High</v>
      </c>
    </row>
    <row r="1482" spans="1:24">
      <c r="A1482" s="6" t="s">
        <v>226</v>
      </c>
      <c r="B1482" s="6" t="s">
        <v>3265</v>
      </c>
      <c r="C1482" s="6" t="s">
        <v>57</v>
      </c>
      <c r="D1482" s="6" t="s">
        <v>228</v>
      </c>
      <c r="E1482" s="6" t="s">
        <v>229</v>
      </c>
      <c r="F1482" s="6">
        <v>65</v>
      </c>
      <c r="G1482" s="6" t="s">
        <v>34</v>
      </c>
      <c r="H1482" s="6" t="s">
        <v>3266</v>
      </c>
      <c r="I1482" s="6" t="s">
        <v>4380</v>
      </c>
      <c r="J1482" s="8">
        <v>45710</v>
      </c>
      <c r="K1482" s="8">
        <v>45305</v>
      </c>
      <c r="L1482" s="6">
        <v>50800.75</v>
      </c>
      <c r="M1482" s="6">
        <v>19200.400000000001</v>
      </c>
      <c r="N1482" s="6">
        <v>725</v>
      </c>
      <c r="O1482" s="6">
        <v>86000</v>
      </c>
      <c r="P1482" s="6" t="s">
        <v>36</v>
      </c>
      <c r="Q1482" s="6" t="s">
        <v>27</v>
      </c>
      <c r="R1482" s="6">
        <v>0</v>
      </c>
      <c r="S1482" s="6" t="s">
        <v>28</v>
      </c>
      <c r="T1482" s="7">
        <f t="shared" si="115"/>
        <v>0.22326046511627909</v>
      </c>
      <c r="U1482" s="6">
        <f t="shared" si="116"/>
        <v>1</v>
      </c>
      <c r="V1482" s="5" t="str">
        <f t="shared" si="117"/>
        <v>GOOD</v>
      </c>
      <c r="W1482" s="6" t="str">
        <f t="shared" si="118"/>
        <v>55+</v>
      </c>
      <c r="X1482" s="6" t="str">
        <f t="shared" si="119"/>
        <v>Lower-Middle</v>
      </c>
    </row>
    <row r="1483" spans="1:24">
      <c r="A1483" s="6" t="s">
        <v>488</v>
      </c>
      <c r="B1483" s="6" t="s">
        <v>3267</v>
      </c>
      <c r="C1483" s="6" t="s">
        <v>39</v>
      </c>
      <c r="D1483" s="6" t="s">
        <v>304</v>
      </c>
      <c r="E1483" s="6" t="s">
        <v>304</v>
      </c>
      <c r="F1483" s="6">
        <v>82</v>
      </c>
      <c r="G1483" s="6" t="s">
        <v>24</v>
      </c>
      <c r="H1483" s="6" t="s">
        <v>3268</v>
      </c>
      <c r="I1483" s="6" t="s">
        <v>4381</v>
      </c>
      <c r="J1483" s="8">
        <v>44451</v>
      </c>
      <c r="K1483" s="8">
        <v>45300</v>
      </c>
      <c r="L1483" s="6">
        <v>171300.6</v>
      </c>
      <c r="M1483" s="6">
        <v>113000.9</v>
      </c>
      <c r="N1483" s="6">
        <v>675</v>
      </c>
      <c r="O1483" s="6">
        <v>210000</v>
      </c>
      <c r="P1483" s="6" t="s">
        <v>76</v>
      </c>
      <c r="Q1483" s="6" t="s">
        <v>27</v>
      </c>
      <c r="R1483" s="6">
        <v>0</v>
      </c>
      <c r="S1483" s="6" t="s">
        <v>28</v>
      </c>
      <c r="T1483" s="7">
        <f t="shared" si="115"/>
        <v>0.53809952380952375</v>
      </c>
      <c r="U1483" s="6">
        <f t="shared" si="116"/>
        <v>6</v>
      </c>
      <c r="V1483" s="5" t="str">
        <f t="shared" si="117"/>
        <v>GOOD</v>
      </c>
      <c r="W1483" s="6" t="str">
        <f t="shared" si="118"/>
        <v>55+</v>
      </c>
      <c r="X1483" s="6" t="str">
        <f t="shared" si="119"/>
        <v>High</v>
      </c>
    </row>
    <row r="1484" spans="1:24">
      <c r="A1484" s="6" t="s">
        <v>491</v>
      </c>
      <c r="B1484" s="6" t="s">
        <v>3269</v>
      </c>
      <c r="C1484" s="6" t="s">
        <v>52</v>
      </c>
      <c r="D1484" s="6" t="s">
        <v>493</v>
      </c>
      <c r="E1484" s="6" t="s">
        <v>494</v>
      </c>
      <c r="F1484" s="6">
        <v>73</v>
      </c>
      <c r="G1484" s="6" t="s">
        <v>34</v>
      </c>
      <c r="H1484" s="6" t="s">
        <v>3270</v>
      </c>
      <c r="I1484" s="6" t="s">
        <v>4382</v>
      </c>
      <c r="J1484" s="8">
        <v>45221</v>
      </c>
      <c r="K1484" s="8">
        <v>45302</v>
      </c>
      <c r="L1484" s="6">
        <v>78300.399999999994</v>
      </c>
      <c r="M1484" s="6">
        <v>53000.25</v>
      </c>
      <c r="N1484" s="6">
        <v>705</v>
      </c>
      <c r="O1484" s="6">
        <v>118000</v>
      </c>
      <c r="P1484" s="6" t="s">
        <v>26</v>
      </c>
      <c r="Q1484" s="6" t="s">
        <v>27</v>
      </c>
      <c r="R1484" s="6">
        <v>0</v>
      </c>
      <c r="S1484" s="6" t="s">
        <v>28</v>
      </c>
      <c r="T1484" s="7">
        <f t="shared" si="115"/>
        <v>0.44915466101694917</v>
      </c>
      <c r="U1484" s="6">
        <f t="shared" si="116"/>
        <v>4</v>
      </c>
      <c r="V1484" s="5" t="str">
        <f t="shared" si="117"/>
        <v>GOOD</v>
      </c>
      <c r="W1484" s="6" t="str">
        <f t="shared" si="118"/>
        <v>55+</v>
      </c>
      <c r="X1484" s="6" t="str">
        <f t="shared" si="119"/>
        <v>Lower-Middle</v>
      </c>
    </row>
    <row r="1485" spans="1:24">
      <c r="A1485" s="6" t="s">
        <v>496</v>
      </c>
      <c r="B1485" s="6" t="s">
        <v>3271</v>
      </c>
      <c r="C1485" s="6" t="s">
        <v>46</v>
      </c>
      <c r="D1485" s="6" t="s">
        <v>321</v>
      </c>
      <c r="E1485" s="6" t="s">
        <v>322</v>
      </c>
      <c r="F1485" s="6">
        <v>76</v>
      </c>
      <c r="G1485" s="6" t="s">
        <v>24</v>
      </c>
      <c r="H1485" s="6" t="s">
        <v>3272</v>
      </c>
      <c r="I1485" s="6" t="s">
        <v>4383</v>
      </c>
      <c r="J1485" s="8">
        <v>44703</v>
      </c>
      <c r="K1485" s="8">
        <v>45301</v>
      </c>
      <c r="L1485" s="6">
        <v>123100.75</v>
      </c>
      <c r="M1485" s="6">
        <v>74100.800000000003</v>
      </c>
      <c r="N1485" s="6">
        <v>730</v>
      </c>
      <c r="O1485" s="6">
        <v>184000</v>
      </c>
      <c r="P1485" s="6" t="s">
        <v>26</v>
      </c>
      <c r="Q1485" s="6" t="s">
        <v>27</v>
      </c>
      <c r="R1485" s="6">
        <v>0</v>
      </c>
      <c r="S1485" s="6" t="s">
        <v>28</v>
      </c>
      <c r="T1485" s="7">
        <f t="shared" si="115"/>
        <v>0.4027217391304348</v>
      </c>
      <c r="U1485" s="6">
        <f t="shared" si="116"/>
        <v>5</v>
      </c>
      <c r="V1485" s="5" t="str">
        <f t="shared" si="117"/>
        <v>GOOD</v>
      </c>
      <c r="W1485" s="6" t="str">
        <f t="shared" si="118"/>
        <v>55+</v>
      </c>
      <c r="X1485" s="6" t="str">
        <f t="shared" si="119"/>
        <v>Upper-Middle</v>
      </c>
    </row>
    <row r="1486" spans="1:24">
      <c r="A1486" s="6" t="s">
        <v>324</v>
      </c>
      <c r="B1486" s="6" t="s">
        <v>3273</v>
      </c>
      <c r="C1486" s="6" t="s">
        <v>31</v>
      </c>
      <c r="D1486" s="6" t="s">
        <v>313</v>
      </c>
      <c r="E1486" s="6" t="s">
        <v>501</v>
      </c>
      <c r="F1486" s="6">
        <v>61</v>
      </c>
      <c r="G1486" s="6" t="s">
        <v>34</v>
      </c>
      <c r="H1486" s="6" t="s">
        <v>3274</v>
      </c>
      <c r="I1486" s="6" t="s">
        <v>4384</v>
      </c>
      <c r="J1486" s="8">
        <v>45685</v>
      </c>
      <c r="K1486" s="8">
        <v>45306</v>
      </c>
      <c r="L1486" s="6">
        <v>21800.9</v>
      </c>
      <c r="M1486" s="6">
        <v>12300.75</v>
      </c>
      <c r="N1486" s="6">
        <v>685</v>
      </c>
      <c r="O1486" s="6">
        <v>71000</v>
      </c>
      <c r="P1486" s="6" t="s">
        <v>26</v>
      </c>
      <c r="Q1486" s="6" t="s">
        <v>43</v>
      </c>
      <c r="R1486" s="6">
        <v>0</v>
      </c>
      <c r="S1486" s="6" t="s">
        <v>28</v>
      </c>
      <c r="T1486" s="7">
        <f t="shared" si="115"/>
        <v>0.17324999999999999</v>
      </c>
      <c r="U1486" s="6">
        <f t="shared" si="116"/>
        <v>0</v>
      </c>
      <c r="V1486" s="5" t="str">
        <f t="shared" si="117"/>
        <v>GOOD</v>
      </c>
      <c r="W1486" s="6" t="str">
        <f t="shared" si="118"/>
        <v>55+</v>
      </c>
      <c r="X1486" s="6" t="str">
        <f t="shared" si="119"/>
        <v>Low</v>
      </c>
    </row>
    <row r="1487" spans="1:24">
      <c r="A1487" s="6" t="s">
        <v>503</v>
      </c>
      <c r="B1487" s="6" t="s">
        <v>3275</v>
      </c>
      <c r="C1487" s="6" t="s">
        <v>21</v>
      </c>
      <c r="D1487" s="6" t="s">
        <v>32</v>
      </c>
      <c r="E1487" s="6" t="s">
        <v>33</v>
      </c>
      <c r="F1487" s="6">
        <v>93</v>
      </c>
      <c r="G1487" s="6" t="s">
        <v>24</v>
      </c>
      <c r="H1487" s="6" t="s">
        <v>3276</v>
      </c>
      <c r="I1487" s="6" t="s">
        <v>3612</v>
      </c>
      <c r="J1487" s="8">
        <v>43699</v>
      </c>
      <c r="K1487" s="8">
        <v>45299</v>
      </c>
      <c r="L1487" s="6">
        <v>302000.25</v>
      </c>
      <c r="M1487" s="6">
        <v>117000.4</v>
      </c>
      <c r="N1487" s="6">
        <v>840</v>
      </c>
      <c r="O1487" s="6">
        <v>325000</v>
      </c>
      <c r="P1487" s="6" t="s">
        <v>36</v>
      </c>
      <c r="Q1487" s="6" t="s">
        <v>27</v>
      </c>
      <c r="R1487" s="6">
        <v>0</v>
      </c>
      <c r="S1487" s="6" t="s">
        <v>28</v>
      </c>
      <c r="T1487" s="7">
        <f t="shared" si="115"/>
        <v>0.36000123076923074</v>
      </c>
      <c r="U1487" s="6">
        <f t="shared" si="116"/>
        <v>7</v>
      </c>
      <c r="V1487" s="5" t="str">
        <f t="shared" si="117"/>
        <v>EXCEPTIONAL</v>
      </c>
      <c r="W1487" s="6" t="str">
        <f t="shared" si="118"/>
        <v>55+</v>
      </c>
      <c r="X1487" s="6" t="str">
        <f t="shared" si="119"/>
        <v>High</v>
      </c>
    </row>
    <row r="1488" spans="1:24">
      <c r="A1488" s="6" t="s">
        <v>506</v>
      </c>
      <c r="B1488" s="6" t="s">
        <v>3277</v>
      </c>
      <c r="C1488" s="6" t="s">
        <v>39</v>
      </c>
      <c r="D1488" s="6" t="s">
        <v>68</v>
      </c>
      <c r="E1488" s="6" t="s">
        <v>69</v>
      </c>
      <c r="F1488" s="6">
        <v>85</v>
      </c>
      <c r="G1488" s="6" t="s">
        <v>34</v>
      </c>
      <c r="H1488" s="6" t="s">
        <v>3278</v>
      </c>
      <c r="I1488" s="6" t="s">
        <v>4362</v>
      </c>
      <c r="J1488" s="8">
        <v>44218</v>
      </c>
      <c r="K1488" s="8">
        <v>45300</v>
      </c>
      <c r="L1488" s="6">
        <v>182400.4</v>
      </c>
      <c r="M1488" s="6">
        <v>117000.75</v>
      </c>
      <c r="N1488" s="6">
        <v>650</v>
      </c>
      <c r="O1488" s="6">
        <v>220000</v>
      </c>
      <c r="P1488" s="6" t="s">
        <v>76</v>
      </c>
      <c r="Q1488" s="6" t="s">
        <v>27</v>
      </c>
      <c r="R1488" s="6">
        <v>0</v>
      </c>
      <c r="S1488" s="6" t="s">
        <v>28</v>
      </c>
      <c r="T1488" s="7">
        <f t="shared" si="115"/>
        <v>0.53182159090909087</v>
      </c>
      <c r="U1488" s="6">
        <f t="shared" si="116"/>
        <v>6</v>
      </c>
      <c r="V1488" s="5" t="str">
        <f t="shared" si="117"/>
        <v>FAIR</v>
      </c>
      <c r="W1488" s="6" t="str">
        <f t="shared" si="118"/>
        <v>55+</v>
      </c>
      <c r="X1488" s="6" t="str">
        <f t="shared" si="119"/>
        <v>High</v>
      </c>
    </row>
    <row r="1489" spans="1:24">
      <c r="A1489" s="6" t="s">
        <v>509</v>
      </c>
      <c r="B1489" s="6" t="s">
        <v>3279</v>
      </c>
      <c r="C1489" s="6" t="s">
        <v>46</v>
      </c>
      <c r="D1489" s="6" t="s">
        <v>73</v>
      </c>
      <c r="E1489" s="6" t="s">
        <v>158</v>
      </c>
      <c r="F1489" s="6">
        <v>72</v>
      </c>
      <c r="G1489" s="6" t="s">
        <v>24</v>
      </c>
      <c r="H1489" s="6" t="s">
        <v>3280</v>
      </c>
      <c r="I1489" s="6" t="s">
        <v>4385</v>
      </c>
      <c r="J1489" s="8">
        <v>45434</v>
      </c>
      <c r="K1489" s="8">
        <v>45303</v>
      </c>
      <c r="L1489" s="6">
        <v>111900.4</v>
      </c>
      <c r="M1489" s="6">
        <v>68300.25</v>
      </c>
      <c r="N1489" s="6">
        <v>745</v>
      </c>
      <c r="O1489" s="6">
        <v>164000</v>
      </c>
      <c r="P1489" s="6" t="s">
        <v>26</v>
      </c>
      <c r="Q1489" s="6" t="s">
        <v>27</v>
      </c>
      <c r="R1489" s="6">
        <v>0</v>
      </c>
      <c r="S1489" s="6" t="s">
        <v>28</v>
      </c>
      <c r="T1489" s="7">
        <f t="shared" si="115"/>
        <v>0.41646493902439025</v>
      </c>
      <c r="U1489" s="6">
        <f t="shared" si="116"/>
        <v>3</v>
      </c>
      <c r="V1489" s="5" t="str">
        <f t="shared" si="117"/>
        <v>GOOD</v>
      </c>
      <c r="W1489" s="6" t="str">
        <f t="shared" si="118"/>
        <v>55+</v>
      </c>
      <c r="X1489" s="6" t="str">
        <f t="shared" si="119"/>
        <v>Upper-Middle</v>
      </c>
    </row>
    <row r="1490" spans="1:24">
      <c r="A1490" s="6" t="s">
        <v>513</v>
      </c>
      <c r="B1490" s="6" t="s">
        <v>3281</v>
      </c>
      <c r="C1490" s="6" t="s">
        <v>57</v>
      </c>
      <c r="D1490" s="6" t="s">
        <v>58</v>
      </c>
      <c r="E1490" s="6" t="s">
        <v>122</v>
      </c>
      <c r="F1490" s="6">
        <v>67</v>
      </c>
      <c r="G1490" s="6" t="s">
        <v>34</v>
      </c>
      <c r="H1490" s="6" t="s">
        <v>3282</v>
      </c>
      <c r="I1490" s="6" t="s">
        <v>3822</v>
      </c>
      <c r="J1490" s="8">
        <v>45618</v>
      </c>
      <c r="K1490" s="8">
        <v>45302</v>
      </c>
      <c r="L1490" s="6">
        <v>53000.800000000003</v>
      </c>
      <c r="M1490" s="6">
        <v>20400.900000000001</v>
      </c>
      <c r="N1490" s="6">
        <v>765</v>
      </c>
      <c r="O1490" s="6">
        <v>96000</v>
      </c>
      <c r="P1490" s="6" t="s">
        <v>36</v>
      </c>
      <c r="Q1490" s="6" t="s">
        <v>27</v>
      </c>
      <c r="R1490" s="6">
        <v>0</v>
      </c>
      <c r="S1490" s="6" t="s">
        <v>28</v>
      </c>
      <c r="T1490" s="7">
        <f t="shared" si="115"/>
        <v>0.21250937500000003</v>
      </c>
      <c r="U1490" s="6">
        <f t="shared" si="116"/>
        <v>4</v>
      </c>
      <c r="V1490" s="5" t="str">
        <f t="shared" si="117"/>
        <v>VERY GOOD</v>
      </c>
      <c r="W1490" s="6" t="str">
        <f t="shared" si="118"/>
        <v>55+</v>
      </c>
      <c r="X1490" s="6" t="str">
        <f t="shared" si="119"/>
        <v>Lower-Middle</v>
      </c>
    </row>
    <row r="1491" spans="1:24">
      <c r="A1491" s="6" t="s">
        <v>516</v>
      </c>
      <c r="B1491" s="6" t="s">
        <v>3283</v>
      </c>
      <c r="C1491" s="6" t="s">
        <v>52</v>
      </c>
      <c r="D1491" s="6" t="s">
        <v>277</v>
      </c>
      <c r="E1491" s="6" t="s">
        <v>278</v>
      </c>
      <c r="F1491" s="6">
        <v>80</v>
      </c>
      <c r="G1491" s="6" t="s">
        <v>24</v>
      </c>
      <c r="H1491" s="6" t="s">
        <v>3284</v>
      </c>
      <c r="I1491" s="6" t="s">
        <v>3884</v>
      </c>
      <c r="J1491" s="8">
        <v>44887</v>
      </c>
      <c r="K1491" s="8">
        <v>45301</v>
      </c>
      <c r="L1491" s="6">
        <v>86300.75</v>
      </c>
      <c r="M1491" s="6">
        <v>59400.4</v>
      </c>
      <c r="N1491" s="6">
        <v>675</v>
      </c>
      <c r="O1491" s="6">
        <v>136000</v>
      </c>
      <c r="P1491" s="6" t="s">
        <v>26</v>
      </c>
      <c r="Q1491" s="6" t="s">
        <v>27</v>
      </c>
      <c r="R1491" s="6">
        <v>0</v>
      </c>
      <c r="S1491" s="6" t="s">
        <v>28</v>
      </c>
      <c r="T1491" s="7">
        <f t="shared" si="115"/>
        <v>0.43676764705882354</v>
      </c>
      <c r="U1491" s="6">
        <f t="shared" si="116"/>
        <v>5</v>
      </c>
      <c r="V1491" s="5" t="str">
        <f t="shared" si="117"/>
        <v>GOOD</v>
      </c>
      <c r="W1491" s="6" t="str">
        <f t="shared" si="118"/>
        <v>55+</v>
      </c>
      <c r="X1491" s="6" t="str">
        <f t="shared" si="119"/>
        <v>Upper-Middle</v>
      </c>
    </row>
    <row r="1492" spans="1:24">
      <c r="A1492" s="6" t="s">
        <v>519</v>
      </c>
      <c r="B1492" s="6" t="s">
        <v>3285</v>
      </c>
      <c r="C1492" s="6" t="s">
        <v>84</v>
      </c>
      <c r="D1492" s="6" t="s">
        <v>183</v>
      </c>
      <c r="E1492" s="6" t="s">
        <v>184</v>
      </c>
      <c r="F1492" s="6">
        <v>59</v>
      </c>
      <c r="G1492" s="6" t="s">
        <v>34</v>
      </c>
      <c r="H1492" s="6" t="s">
        <v>3286</v>
      </c>
      <c r="I1492" s="6" t="s">
        <v>3824</v>
      </c>
      <c r="J1492" s="8">
        <v>45700</v>
      </c>
      <c r="K1492" s="8">
        <v>45304</v>
      </c>
      <c r="L1492" s="6">
        <v>5700.25</v>
      </c>
      <c r="M1492" s="6">
        <v>17400.599999999999</v>
      </c>
      <c r="N1492" s="6">
        <v>615</v>
      </c>
      <c r="O1492" s="6">
        <v>56000</v>
      </c>
      <c r="P1492" s="6" t="s">
        <v>76</v>
      </c>
      <c r="Q1492" s="6" t="s">
        <v>43</v>
      </c>
      <c r="R1492" s="6">
        <v>0</v>
      </c>
      <c r="S1492" s="6" t="s">
        <v>28</v>
      </c>
      <c r="T1492" s="7">
        <f t="shared" si="115"/>
        <v>0.31072499999999997</v>
      </c>
      <c r="U1492" s="6">
        <f t="shared" si="116"/>
        <v>2</v>
      </c>
      <c r="V1492" s="5" t="str">
        <f t="shared" si="117"/>
        <v>FAIR</v>
      </c>
      <c r="W1492" s="6" t="str">
        <f t="shared" si="118"/>
        <v>55+</v>
      </c>
      <c r="X1492" s="6" t="str">
        <f t="shared" si="119"/>
        <v>Low</v>
      </c>
    </row>
    <row r="1493" spans="1:24">
      <c r="A1493" s="6" t="s">
        <v>522</v>
      </c>
      <c r="B1493" s="6" t="s">
        <v>3287</v>
      </c>
      <c r="C1493" s="6" t="s">
        <v>39</v>
      </c>
      <c r="D1493" s="6" t="s">
        <v>40</v>
      </c>
      <c r="E1493" s="6" t="s">
        <v>94</v>
      </c>
      <c r="F1493" s="6">
        <v>87</v>
      </c>
      <c r="G1493" s="6" t="s">
        <v>24</v>
      </c>
      <c r="H1493" s="6" t="s">
        <v>3288</v>
      </c>
      <c r="I1493" s="6" t="s">
        <v>3510</v>
      </c>
      <c r="J1493" s="8">
        <v>44187</v>
      </c>
      <c r="K1493" s="8">
        <v>45299</v>
      </c>
      <c r="L1493" s="6">
        <v>217000.8</v>
      </c>
      <c r="M1493" s="6">
        <v>130000.25</v>
      </c>
      <c r="N1493" s="6">
        <v>660</v>
      </c>
      <c r="O1493" s="6">
        <v>255000</v>
      </c>
      <c r="P1493" s="6" t="s">
        <v>76</v>
      </c>
      <c r="Q1493" s="6" t="s">
        <v>27</v>
      </c>
      <c r="R1493" s="6">
        <v>0</v>
      </c>
      <c r="S1493" s="6" t="s">
        <v>28</v>
      </c>
      <c r="T1493" s="7">
        <f t="shared" si="115"/>
        <v>0.50980490196078432</v>
      </c>
      <c r="U1493" s="6">
        <f t="shared" si="116"/>
        <v>7</v>
      </c>
      <c r="V1493" s="5" t="str">
        <f t="shared" si="117"/>
        <v>FAIR</v>
      </c>
      <c r="W1493" s="6" t="str">
        <f t="shared" si="118"/>
        <v>55+</v>
      </c>
      <c r="X1493" s="6" t="str">
        <f t="shared" si="119"/>
        <v>High</v>
      </c>
    </row>
    <row r="1494" spans="1:24">
      <c r="A1494" s="6" t="s">
        <v>306</v>
      </c>
      <c r="B1494" s="6" t="s">
        <v>3289</v>
      </c>
      <c r="C1494" s="6" t="s">
        <v>46</v>
      </c>
      <c r="D1494" s="6" t="s">
        <v>209</v>
      </c>
      <c r="E1494" s="6" t="s">
        <v>703</v>
      </c>
      <c r="F1494" s="6">
        <v>74</v>
      </c>
      <c r="G1494" s="6" t="s">
        <v>34</v>
      </c>
      <c r="H1494" s="6" t="s">
        <v>3290</v>
      </c>
      <c r="I1494" s="6" t="s">
        <v>4386</v>
      </c>
      <c r="J1494" s="8">
        <v>45038</v>
      </c>
      <c r="K1494" s="8">
        <v>45302</v>
      </c>
      <c r="L1494" s="6">
        <v>107400.9</v>
      </c>
      <c r="M1494" s="6">
        <v>65200.75</v>
      </c>
      <c r="N1494" s="6">
        <v>730</v>
      </c>
      <c r="O1494" s="6">
        <v>159000</v>
      </c>
      <c r="P1494" s="6" t="s">
        <v>26</v>
      </c>
      <c r="Q1494" s="6" t="s">
        <v>27</v>
      </c>
      <c r="R1494" s="6">
        <v>0</v>
      </c>
      <c r="S1494" s="6" t="s">
        <v>28</v>
      </c>
      <c r="T1494" s="7">
        <f t="shared" si="115"/>
        <v>0.41006761006289311</v>
      </c>
      <c r="U1494" s="6">
        <f t="shared" si="116"/>
        <v>4</v>
      </c>
      <c r="V1494" s="5" t="str">
        <f t="shared" si="117"/>
        <v>GOOD</v>
      </c>
      <c r="W1494" s="6" t="str">
        <f t="shared" si="118"/>
        <v>55+</v>
      </c>
      <c r="X1494" s="6" t="str">
        <f t="shared" si="119"/>
        <v>Upper-Middle</v>
      </c>
    </row>
    <row r="1495" spans="1:24">
      <c r="A1495" s="6" t="s">
        <v>527</v>
      </c>
      <c r="B1495" s="6" t="s">
        <v>3291</v>
      </c>
      <c r="C1495" s="6" t="s">
        <v>31</v>
      </c>
      <c r="D1495" s="6" t="s">
        <v>32</v>
      </c>
      <c r="E1495" s="6" t="s">
        <v>90</v>
      </c>
      <c r="F1495" s="6">
        <v>63</v>
      </c>
      <c r="G1495" s="6" t="s">
        <v>34</v>
      </c>
      <c r="H1495" s="6" t="s">
        <v>3292</v>
      </c>
      <c r="I1495" s="6" t="s">
        <v>3644</v>
      </c>
      <c r="J1495" s="8">
        <v>45696</v>
      </c>
      <c r="K1495" s="8">
        <v>45305</v>
      </c>
      <c r="L1495" s="6">
        <v>22900.400000000001</v>
      </c>
      <c r="M1495" s="6">
        <v>12400.25</v>
      </c>
      <c r="N1495" s="6">
        <v>705</v>
      </c>
      <c r="O1495" s="6">
        <v>73000</v>
      </c>
      <c r="P1495" s="6" t="s">
        <v>26</v>
      </c>
      <c r="Q1495" s="6" t="s">
        <v>43</v>
      </c>
      <c r="R1495" s="6">
        <v>0</v>
      </c>
      <c r="S1495" s="6" t="s">
        <v>28</v>
      </c>
      <c r="T1495" s="7">
        <f t="shared" si="115"/>
        <v>0.16986643835616438</v>
      </c>
      <c r="U1495" s="6">
        <f t="shared" si="116"/>
        <v>1</v>
      </c>
      <c r="V1495" s="5" t="str">
        <f t="shared" si="117"/>
        <v>GOOD</v>
      </c>
      <c r="W1495" s="6" t="str">
        <f t="shared" si="118"/>
        <v>55+</v>
      </c>
      <c r="X1495" s="6" t="str">
        <f t="shared" si="119"/>
        <v>Low</v>
      </c>
    </row>
    <row r="1496" spans="1:24">
      <c r="A1496" s="6" t="s">
        <v>530</v>
      </c>
      <c r="B1496" s="6" t="s">
        <v>3293</v>
      </c>
      <c r="C1496" s="6" t="s">
        <v>57</v>
      </c>
      <c r="D1496" s="6" t="s">
        <v>219</v>
      </c>
      <c r="E1496" s="6" t="s">
        <v>220</v>
      </c>
      <c r="F1496" s="6">
        <v>68</v>
      </c>
      <c r="G1496" s="6" t="s">
        <v>24</v>
      </c>
      <c r="H1496" s="6" t="s">
        <v>3294</v>
      </c>
      <c r="I1496" s="6" t="s">
        <v>4387</v>
      </c>
      <c r="J1496" s="8">
        <v>45587</v>
      </c>
      <c r="K1496" s="8">
        <v>45303</v>
      </c>
      <c r="L1496" s="6">
        <v>51900.6</v>
      </c>
      <c r="M1496" s="6">
        <v>19800.8</v>
      </c>
      <c r="N1496" s="6">
        <v>710</v>
      </c>
      <c r="O1496" s="6">
        <v>89000</v>
      </c>
      <c r="P1496" s="6" t="s">
        <v>36</v>
      </c>
      <c r="Q1496" s="6" t="s">
        <v>27</v>
      </c>
      <c r="R1496" s="6">
        <v>0</v>
      </c>
      <c r="S1496" s="6" t="s">
        <v>28</v>
      </c>
      <c r="T1496" s="7">
        <f t="shared" si="115"/>
        <v>0.22248089887640449</v>
      </c>
      <c r="U1496" s="6">
        <f t="shared" si="116"/>
        <v>3</v>
      </c>
      <c r="V1496" s="5" t="str">
        <f t="shared" si="117"/>
        <v>GOOD</v>
      </c>
      <c r="W1496" s="6" t="str">
        <f t="shared" si="118"/>
        <v>55+</v>
      </c>
      <c r="X1496" s="6" t="str">
        <f t="shared" si="119"/>
        <v>Lower-Middle</v>
      </c>
    </row>
    <row r="1497" spans="1:24">
      <c r="A1497" s="6" t="s">
        <v>533</v>
      </c>
      <c r="B1497" s="6" t="s">
        <v>3295</v>
      </c>
      <c r="C1497" s="6" t="s">
        <v>52</v>
      </c>
      <c r="D1497" s="6" t="s">
        <v>204</v>
      </c>
      <c r="E1497" s="6" t="s">
        <v>259</v>
      </c>
      <c r="F1497" s="6">
        <v>75</v>
      </c>
      <c r="G1497" s="6" t="s">
        <v>34</v>
      </c>
      <c r="H1497" s="6" t="s">
        <v>3296</v>
      </c>
      <c r="I1497" s="6" t="s">
        <v>3915</v>
      </c>
      <c r="J1497" s="8">
        <v>44887</v>
      </c>
      <c r="K1497" s="8">
        <v>45301</v>
      </c>
      <c r="L1497" s="6">
        <v>83200.25</v>
      </c>
      <c r="M1497" s="6">
        <v>56300.9</v>
      </c>
      <c r="N1497" s="6">
        <v>695</v>
      </c>
      <c r="O1497" s="6">
        <v>124000</v>
      </c>
      <c r="P1497" s="6" t="s">
        <v>26</v>
      </c>
      <c r="Q1497" s="6" t="s">
        <v>27</v>
      </c>
      <c r="R1497" s="6">
        <v>0</v>
      </c>
      <c r="S1497" s="6" t="s">
        <v>28</v>
      </c>
      <c r="T1497" s="7">
        <f t="shared" si="115"/>
        <v>0.45403951612903226</v>
      </c>
      <c r="U1497" s="6">
        <f t="shared" si="116"/>
        <v>5</v>
      </c>
      <c r="V1497" s="5" t="str">
        <f t="shared" si="117"/>
        <v>GOOD</v>
      </c>
      <c r="W1497" s="6" t="str">
        <f t="shared" si="118"/>
        <v>55+</v>
      </c>
      <c r="X1497" s="6" t="str">
        <f t="shared" si="119"/>
        <v>Lower-Middle</v>
      </c>
    </row>
    <row r="1498" spans="1:24">
      <c r="A1498" s="6" t="s">
        <v>536</v>
      </c>
      <c r="B1498" s="6" t="s">
        <v>3297</v>
      </c>
      <c r="C1498" s="6" t="s">
        <v>39</v>
      </c>
      <c r="D1498" s="6" t="s">
        <v>195</v>
      </c>
      <c r="E1498" s="6" t="s">
        <v>196</v>
      </c>
      <c r="F1498" s="6">
        <v>83</v>
      </c>
      <c r="G1498" s="6" t="s">
        <v>24</v>
      </c>
      <c r="H1498" s="6" t="s">
        <v>3298</v>
      </c>
      <c r="I1498" s="6" t="s">
        <v>4388</v>
      </c>
      <c r="J1498" s="8">
        <v>44338</v>
      </c>
      <c r="K1498" s="8">
        <v>45300</v>
      </c>
      <c r="L1498" s="6">
        <v>149200.4</v>
      </c>
      <c r="M1498" s="6">
        <v>104000.6</v>
      </c>
      <c r="N1498" s="6">
        <v>670</v>
      </c>
      <c r="O1498" s="6">
        <v>191000</v>
      </c>
      <c r="P1498" s="6" t="s">
        <v>76</v>
      </c>
      <c r="Q1498" s="6" t="s">
        <v>27</v>
      </c>
      <c r="R1498" s="6">
        <v>0</v>
      </c>
      <c r="S1498" s="6" t="s">
        <v>28</v>
      </c>
      <c r="T1498" s="7">
        <f t="shared" si="115"/>
        <v>0.5445057591623037</v>
      </c>
      <c r="U1498" s="6">
        <f t="shared" si="116"/>
        <v>6</v>
      </c>
      <c r="V1498" s="5" t="str">
        <f t="shared" si="117"/>
        <v>GOOD</v>
      </c>
      <c r="W1498" s="6" t="str">
        <f t="shared" si="118"/>
        <v>55+</v>
      </c>
      <c r="X1498" s="6" t="str">
        <f t="shared" si="119"/>
        <v>High</v>
      </c>
    </row>
    <row r="1499" spans="1:24">
      <c r="A1499" s="6" t="s">
        <v>539</v>
      </c>
      <c r="B1499" s="6" t="s">
        <v>3299</v>
      </c>
      <c r="C1499" s="6" t="s">
        <v>21</v>
      </c>
      <c r="D1499" s="6" t="s">
        <v>58</v>
      </c>
      <c r="E1499" s="6" t="s">
        <v>59</v>
      </c>
      <c r="F1499" s="6">
        <v>91</v>
      </c>
      <c r="G1499" s="6" t="s">
        <v>34</v>
      </c>
      <c r="H1499" s="6" t="s">
        <v>3300</v>
      </c>
      <c r="I1499" s="6" t="s">
        <v>3829</v>
      </c>
      <c r="J1499" s="8">
        <v>43912</v>
      </c>
      <c r="K1499" s="8">
        <v>45299</v>
      </c>
      <c r="L1499" s="6">
        <v>316100.75</v>
      </c>
      <c r="M1499" s="6">
        <v>121000.8</v>
      </c>
      <c r="N1499" s="6">
        <v>835</v>
      </c>
      <c r="O1499" s="6">
        <v>336000</v>
      </c>
      <c r="P1499" s="6" t="s">
        <v>36</v>
      </c>
      <c r="Q1499" s="6" t="s">
        <v>27</v>
      </c>
      <c r="R1499" s="6">
        <v>0</v>
      </c>
      <c r="S1499" s="6" t="s">
        <v>28</v>
      </c>
      <c r="T1499" s="7">
        <f t="shared" si="115"/>
        <v>0.36012142857142859</v>
      </c>
      <c r="U1499" s="6">
        <f t="shared" si="116"/>
        <v>7</v>
      </c>
      <c r="V1499" s="5" t="str">
        <f t="shared" si="117"/>
        <v>EXCEPTIONAL</v>
      </c>
      <c r="W1499" s="6" t="str">
        <f t="shared" si="118"/>
        <v>55+</v>
      </c>
      <c r="X1499" s="6" t="str">
        <f t="shared" si="119"/>
        <v>High</v>
      </c>
    </row>
    <row r="1500" spans="1:24">
      <c r="A1500" s="6" t="s">
        <v>542</v>
      </c>
      <c r="B1500" s="6" t="s">
        <v>3301</v>
      </c>
      <c r="C1500" s="6" t="s">
        <v>52</v>
      </c>
      <c r="D1500" s="6" t="s">
        <v>68</v>
      </c>
      <c r="E1500" s="6" t="s">
        <v>69</v>
      </c>
      <c r="F1500" s="6">
        <v>78</v>
      </c>
      <c r="G1500" s="6" t="s">
        <v>34</v>
      </c>
      <c r="H1500" s="6" t="s">
        <v>3302</v>
      </c>
      <c r="I1500" s="6" t="s">
        <v>4377</v>
      </c>
      <c r="J1500" s="8">
        <v>44856</v>
      </c>
      <c r="K1500" s="8">
        <v>45302</v>
      </c>
      <c r="L1500" s="6">
        <v>91900.6</v>
      </c>
      <c r="M1500" s="6">
        <v>61900.25</v>
      </c>
      <c r="N1500" s="6">
        <v>665</v>
      </c>
      <c r="O1500" s="6">
        <v>144000</v>
      </c>
      <c r="P1500" s="6" t="s">
        <v>26</v>
      </c>
      <c r="Q1500" s="6" t="s">
        <v>27</v>
      </c>
      <c r="R1500" s="6">
        <v>0</v>
      </c>
      <c r="S1500" s="6" t="s">
        <v>28</v>
      </c>
      <c r="T1500" s="7">
        <f t="shared" si="115"/>
        <v>0.42986284722222223</v>
      </c>
      <c r="U1500" s="6">
        <f t="shared" si="116"/>
        <v>4</v>
      </c>
      <c r="V1500" s="5" t="str">
        <f t="shared" si="117"/>
        <v>FAIR</v>
      </c>
      <c r="W1500" s="6" t="str">
        <f t="shared" si="118"/>
        <v>55+</v>
      </c>
      <c r="X1500" s="6" t="str">
        <f t="shared" si="119"/>
        <v>Upper-Middle</v>
      </c>
    </row>
    <row r="1501" spans="1:24">
      <c r="A1501" s="6" t="s">
        <v>545</v>
      </c>
      <c r="B1501" s="6" t="s">
        <v>3303</v>
      </c>
      <c r="C1501" s="6" t="s">
        <v>46</v>
      </c>
      <c r="D1501" s="6" t="s">
        <v>241</v>
      </c>
      <c r="E1501" s="6" t="s">
        <v>242</v>
      </c>
      <c r="F1501" s="6">
        <v>70</v>
      </c>
      <c r="G1501" s="6" t="s">
        <v>24</v>
      </c>
      <c r="H1501" s="6" t="s">
        <v>3304</v>
      </c>
      <c r="I1501" s="6" t="s">
        <v>4389</v>
      </c>
      <c r="J1501" s="8">
        <v>45495</v>
      </c>
      <c r="K1501" s="8">
        <v>45303</v>
      </c>
      <c r="L1501" s="6">
        <v>115200.8</v>
      </c>
      <c r="M1501" s="6">
        <v>69400.399999999994</v>
      </c>
      <c r="N1501" s="6">
        <v>750</v>
      </c>
      <c r="O1501" s="6">
        <v>170000</v>
      </c>
      <c r="P1501" s="6" t="s">
        <v>26</v>
      </c>
      <c r="Q1501" s="6" t="s">
        <v>27</v>
      </c>
      <c r="R1501" s="6">
        <v>0</v>
      </c>
      <c r="S1501" s="6" t="s">
        <v>28</v>
      </c>
      <c r="T1501" s="7">
        <f t="shared" si="115"/>
        <v>0.40823764705882348</v>
      </c>
      <c r="U1501" s="6">
        <f t="shared" si="116"/>
        <v>3</v>
      </c>
      <c r="V1501" s="5" t="str">
        <f t="shared" si="117"/>
        <v>VERY GOOD</v>
      </c>
      <c r="W1501" s="6" t="str">
        <f t="shared" si="118"/>
        <v>55+</v>
      </c>
      <c r="X1501" s="6" t="str">
        <f t="shared" si="119"/>
        <v>Upper-Middle</v>
      </c>
    </row>
    <row r="1502" spans="1:24">
      <c r="A1502" s="6" t="s">
        <v>548</v>
      </c>
      <c r="B1502" s="6" t="s">
        <v>3305</v>
      </c>
      <c r="C1502" s="6" t="s">
        <v>57</v>
      </c>
      <c r="D1502" s="6" t="s">
        <v>22</v>
      </c>
      <c r="E1502" s="6" t="s">
        <v>118</v>
      </c>
      <c r="F1502" s="6">
        <v>66</v>
      </c>
      <c r="G1502" s="6" t="s">
        <v>34</v>
      </c>
      <c r="H1502" s="6" t="s">
        <v>3306</v>
      </c>
      <c r="I1502" s="6" t="s">
        <v>3641</v>
      </c>
      <c r="J1502" s="8">
        <v>45679</v>
      </c>
      <c r="K1502" s="8">
        <v>45305</v>
      </c>
      <c r="L1502" s="6">
        <v>54100.9</v>
      </c>
      <c r="M1502" s="6">
        <v>20800.75</v>
      </c>
      <c r="N1502" s="6">
        <v>770</v>
      </c>
      <c r="O1502" s="6">
        <v>101000</v>
      </c>
      <c r="P1502" s="6" t="s">
        <v>36</v>
      </c>
      <c r="Q1502" s="6" t="s">
        <v>27</v>
      </c>
      <c r="R1502" s="6">
        <v>0</v>
      </c>
      <c r="S1502" s="6" t="s">
        <v>28</v>
      </c>
      <c r="T1502" s="7">
        <f t="shared" si="115"/>
        <v>0.20594801980198019</v>
      </c>
      <c r="U1502" s="6">
        <f t="shared" si="116"/>
        <v>1</v>
      </c>
      <c r="V1502" s="5" t="str">
        <f t="shared" si="117"/>
        <v>VERY GOOD</v>
      </c>
      <c r="W1502" s="6" t="str">
        <f t="shared" si="118"/>
        <v>55+</v>
      </c>
      <c r="X1502" s="6" t="str">
        <f t="shared" si="119"/>
        <v>Lower-Middle</v>
      </c>
    </row>
    <row r="1503" spans="1:24">
      <c r="A1503" s="6" t="s">
        <v>551</v>
      </c>
      <c r="B1503" s="6" t="s">
        <v>3307</v>
      </c>
      <c r="C1503" s="6" t="s">
        <v>39</v>
      </c>
      <c r="D1503" s="6" t="s">
        <v>313</v>
      </c>
      <c r="E1503" s="6" t="s">
        <v>314</v>
      </c>
      <c r="F1503" s="6">
        <v>89</v>
      </c>
      <c r="G1503" s="6" t="s">
        <v>24</v>
      </c>
      <c r="H1503" s="6" t="s">
        <v>3308</v>
      </c>
      <c r="I1503" s="6" t="s">
        <v>4390</v>
      </c>
      <c r="J1503" s="8">
        <v>44096</v>
      </c>
      <c r="K1503" s="8">
        <v>45299</v>
      </c>
      <c r="L1503" s="6">
        <v>202300.25</v>
      </c>
      <c r="M1503" s="6">
        <v>125000.8</v>
      </c>
      <c r="N1503" s="6">
        <v>645</v>
      </c>
      <c r="O1503" s="6">
        <v>241000</v>
      </c>
      <c r="P1503" s="6" t="s">
        <v>76</v>
      </c>
      <c r="Q1503" s="6" t="s">
        <v>27</v>
      </c>
      <c r="R1503" s="6">
        <v>0</v>
      </c>
      <c r="S1503" s="6" t="s">
        <v>28</v>
      </c>
      <c r="T1503" s="7">
        <f t="shared" si="115"/>
        <v>0.51867551867219919</v>
      </c>
      <c r="U1503" s="6">
        <f t="shared" si="116"/>
        <v>7</v>
      </c>
      <c r="V1503" s="5" t="str">
        <f t="shared" si="117"/>
        <v>FAIR</v>
      </c>
      <c r="W1503" s="6" t="str">
        <f t="shared" si="118"/>
        <v>55+</v>
      </c>
      <c r="X1503" s="6" t="str">
        <f t="shared" si="119"/>
        <v>High</v>
      </c>
    </row>
    <row r="1504" spans="1:24">
      <c r="A1504" s="6" t="s">
        <v>554</v>
      </c>
      <c r="B1504" s="6" t="s">
        <v>3309</v>
      </c>
      <c r="C1504" s="6" t="s">
        <v>31</v>
      </c>
      <c r="D1504" s="6" t="s">
        <v>214</v>
      </c>
      <c r="E1504" s="6" t="s">
        <v>724</v>
      </c>
      <c r="F1504" s="6">
        <v>62</v>
      </c>
      <c r="G1504" s="6" t="s">
        <v>34</v>
      </c>
      <c r="H1504" s="6" t="s">
        <v>3310</v>
      </c>
      <c r="I1504" s="6" t="s">
        <v>4391</v>
      </c>
      <c r="J1504" s="8">
        <v>45700</v>
      </c>
      <c r="K1504" s="8">
        <v>45306</v>
      </c>
      <c r="L1504" s="6">
        <v>46200.5</v>
      </c>
      <c r="M1504" s="6">
        <v>20400.400000000001</v>
      </c>
      <c r="N1504" s="6">
        <v>720</v>
      </c>
      <c r="O1504" s="6">
        <v>78000</v>
      </c>
      <c r="P1504" s="6" t="s">
        <v>36</v>
      </c>
      <c r="Q1504" s="6" t="s">
        <v>27</v>
      </c>
      <c r="R1504" s="6">
        <v>0</v>
      </c>
      <c r="S1504" s="6" t="s">
        <v>28</v>
      </c>
      <c r="T1504" s="7">
        <f t="shared" si="115"/>
        <v>0.26154358974358977</v>
      </c>
      <c r="U1504" s="6">
        <f t="shared" si="116"/>
        <v>0</v>
      </c>
      <c r="V1504" s="5" t="str">
        <f t="shared" si="117"/>
        <v>GOOD</v>
      </c>
      <c r="W1504" s="6" t="str">
        <f t="shared" si="118"/>
        <v>55+</v>
      </c>
      <c r="X1504" s="6" t="str">
        <f t="shared" si="119"/>
        <v>Lower-Middle</v>
      </c>
    </row>
    <row r="1505" spans="1:24">
      <c r="A1505" s="6" t="s">
        <v>108</v>
      </c>
      <c r="B1505" s="6" t="s">
        <v>3311</v>
      </c>
      <c r="C1505" s="6" t="s">
        <v>84</v>
      </c>
      <c r="D1505" s="6" t="s">
        <v>32</v>
      </c>
      <c r="E1505" s="6" t="s">
        <v>33</v>
      </c>
      <c r="F1505" s="6">
        <v>58</v>
      </c>
      <c r="G1505" s="6" t="s">
        <v>24</v>
      </c>
      <c r="H1505" s="6" t="s">
        <v>3312</v>
      </c>
      <c r="I1505" s="6" t="s">
        <v>3644</v>
      </c>
      <c r="J1505" s="8">
        <v>45703</v>
      </c>
      <c r="K1505" s="8">
        <v>45304</v>
      </c>
      <c r="L1505" s="6">
        <v>5450.8</v>
      </c>
      <c r="M1505" s="6">
        <v>15800.25</v>
      </c>
      <c r="N1505" s="6">
        <v>605</v>
      </c>
      <c r="O1505" s="6">
        <v>54000</v>
      </c>
      <c r="P1505" s="6" t="s">
        <v>76</v>
      </c>
      <c r="Q1505" s="6" t="s">
        <v>43</v>
      </c>
      <c r="R1505" s="6">
        <v>0</v>
      </c>
      <c r="S1505" s="6" t="s">
        <v>28</v>
      </c>
      <c r="T1505" s="7">
        <f t="shared" si="115"/>
        <v>0.29259722222222223</v>
      </c>
      <c r="U1505" s="6">
        <f t="shared" si="116"/>
        <v>2</v>
      </c>
      <c r="V1505" s="5" t="str">
        <f t="shared" si="117"/>
        <v>FAIR</v>
      </c>
      <c r="W1505" s="6" t="str">
        <f t="shared" si="118"/>
        <v>55+</v>
      </c>
      <c r="X1505" s="6" t="str">
        <f t="shared" si="119"/>
        <v>Low</v>
      </c>
    </row>
    <row r="1506" spans="1:24">
      <c r="A1506" s="6" t="s">
        <v>559</v>
      </c>
      <c r="B1506" s="6" t="s">
        <v>3313</v>
      </c>
      <c r="C1506" s="6" t="s">
        <v>46</v>
      </c>
      <c r="D1506" s="6" t="s">
        <v>254</v>
      </c>
      <c r="E1506" s="6" t="s">
        <v>255</v>
      </c>
      <c r="F1506" s="6">
        <v>72</v>
      </c>
      <c r="G1506" s="6" t="s">
        <v>34</v>
      </c>
      <c r="H1506" s="6" t="s">
        <v>3314</v>
      </c>
      <c r="I1506" s="6" t="s">
        <v>4392</v>
      </c>
      <c r="J1506" s="8">
        <v>45373</v>
      </c>
      <c r="K1506" s="8">
        <v>45302</v>
      </c>
      <c r="L1506" s="6">
        <v>101900.4</v>
      </c>
      <c r="M1506" s="6">
        <v>64100.75</v>
      </c>
      <c r="N1506" s="6">
        <v>710</v>
      </c>
      <c r="O1506" s="6">
        <v>152000</v>
      </c>
      <c r="P1506" s="6" t="s">
        <v>26</v>
      </c>
      <c r="Q1506" s="6" t="s">
        <v>27</v>
      </c>
      <c r="R1506" s="6">
        <v>0</v>
      </c>
      <c r="S1506" s="6" t="s">
        <v>28</v>
      </c>
      <c r="T1506" s="7">
        <f t="shared" si="115"/>
        <v>0.42171546052631581</v>
      </c>
      <c r="U1506" s="6">
        <f t="shared" si="116"/>
        <v>4</v>
      </c>
      <c r="V1506" s="5" t="str">
        <f t="shared" si="117"/>
        <v>GOOD</v>
      </c>
      <c r="W1506" s="6" t="str">
        <f t="shared" si="118"/>
        <v>55+</v>
      </c>
      <c r="X1506" s="6" t="str">
        <f t="shared" si="119"/>
        <v>Upper-Middle</v>
      </c>
    </row>
    <row r="1507" spans="1:24">
      <c r="A1507" s="6" t="s">
        <v>562</v>
      </c>
      <c r="B1507" s="6" t="s">
        <v>3315</v>
      </c>
      <c r="C1507" s="6" t="s">
        <v>39</v>
      </c>
      <c r="D1507" s="6" t="s">
        <v>47</v>
      </c>
      <c r="E1507" s="6" t="s">
        <v>98</v>
      </c>
      <c r="F1507" s="6">
        <v>86</v>
      </c>
      <c r="G1507" s="6" t="s">
        <v>24</v>
      </c>
      <c r="H1507" s="6" t="s">
        <v>3316</v>
      </c>
      <c r="I1507" s="6" t="s">
        <v>3835</v>
      </c>
      <c r="J1507" s="8">
        <v>44249</v>
      </c>
      <c r="K1507" s="8">
        <v>45300</v>
      </c>
      <c r="L1507" s="6">
        <v>182500.6</v>
      </c>
      <c r="M1507" s="6">
        <v>118000.25</v>
      </c>
      <c r="N1507" s="6">
        <v>675</v>
      </c>
      <c r="O1507" s="6">
        <v>221000</v>
      </c>
      <c r="P1507" s="6" t="s">
        <v>76</v>
      </c>
      <c r="Q1507" s="6" t="s">
        <v>27</v>
      </c>
      <c r="R1507" s="6">
        <v>0</v>
      </c>
      <c r="S1507" s="6" t="s">
        <v>28</v>
      </c>
      <c r="T1507" s="7">
        <f t="shared" si="115"/>
        <v>0.53393778280542992</v>
      </c>
      <c r="U1507" s="6">
        <f t="shared" si="116"/>
        <v>6</v>
      </c>
      <c r="V1507" s="5" t="str">
        <f t="shared" si="117"/>
        <v>GOOD</v>
      </c>
      <c r="W1507" s="6" t="str">
        <f t="shared" si="118"/>
        <v>55+</v>
      </c>
      <c r="X1507" s="6" t="str">
        <f t="shared" si="119"/>
        <v>High</v>
      </c>
    </row>
    <row r="1508" spans="1:24">
      <c r="A1508" s="6" t="s">
        <v>565</v>
      </c>
      <c r="B1508" s="6" t="s">
        <v>3317</v>
      </c>
      <c r="C1508" s="6" t="s">
        <v>52</v>
      </c>
      <c r="D1508" s="6" t="s">
        <v>233</v>
      </c>
      <c r="E1508" s="6" t="s">
        <v>234</v>
      </c>
      <c r="F1508" s="6">
        <v>71</v>
      </c>
      <c r="G1508" s="6" t="s">
        <v>34</v>
      </c>
      <c r="H1508" s="6" t="s">
        <v>3318</v>
      </c>
      <c r="I1508" s="6" t="s">
        <v>3836</v>
      </c>
      <c r="J1508" s="8">
        <v>45160</v>
      </c>
      <c r="K1508" s="8">
        <v>45301</v>
      </c>
      <c r="L1508" s="6">
        <v>78300.75</v>
      </c>
      <c r="M1508" s="6">
        <v>55200.800000000003</v>
      </c>
      <c r="N1508" s="6">
        <v>725</v>
      </c>
      <c r="O1508" s="6">
        <v>118000</v>
      </c>
      <c r="P1508" s="6" t="s">
        <v>26</v>
      </c>
      <c r="Q1508" s="6" t="s">
        <v>27</v>
      </c>
      <c r="R1508" s="6">
        <v>0</v>
      </c>
      <c r="S1508" s="6" t="s">
        <v>28</v>
      </c>
      <c r="T1508" s="7">
        <f t="shared" si="115"/>
        <v>0.46780338983050851</v>
      </c>
      <c r="U1508" s="6">
        <f t="shared" si="116"/>
        <v>5</v>
      </c>
      <c r="V1508" s="5" t="str">
        <f t="shared" si="117"/>
        <v>GOOD</v>
      </c>
      <c r="W1508" s="6" t="str">
        <f t="shared" si="118"/>
        <v>55+</v>
      </c>
      <c r="X1508" s="6" t="str">
        <f t="shared" si="119"/>
        <v>Lower-Middle</v>
      </c>
    </row>
    <row r="1509" spans="1:24">
      <c r="A1509" s="6" t="s">
        <v>568</v>
      </c>
      <c r="B1509" s="6" t="s">
        <v>3319</v>
      </c>
      <c r="C1509" s="6" t="s">
        <v>57</v>
      </c>
      <c r="D1509" s="6" t="s">
        <v>79</v>
      </c>
      <c r="E1509" s="6" t="s">
        <v>80</v>
      </c>
      <c r="F1509" s="6">
        <v>69</v>
      </c>
      <c r="G1509" s="6" t="s">
        <v>24</v>
      </c>
      <c r="H1509" s="6" t="s">
        <v>3320</v>
      </c>
      <c r="I1509" s="6" t="s">
        <v>3837</v>
      </c>
      <c r="J1509" s="8">
        <v>45618</v>
      </c>
      <c r="K1509" s="8">
        <v>45303</v>
      </c>
      <c r="L1509" s="6">
        <v>56300.4</v>
      </c>
      <c r="M1509" s="6">
        <v>21600.9</v>
      </c>
      <c r="N1509" s="6">
        <v>740</v>
      </c>
      <c r="O1509" s="6">
        <v>104000</v>
      </c>
      <c r="P1509" s="6" t="s">
        <v>36</v>
      </c>
      <c r="Q1509" s="6" t="s">
        <v>27</v>
      </c>
      <c r="R1509" s="6">
        <v>0</v>
      </c>
      <c r="S1509" s="6" t="s">
        <v>28</v>
      </c>
      <c r="T1509" s="7">
        <f t="shared" si="115"/>
        <v>0.20770096153846154</v>
      </c>
      <c r="U1509" s="6">
        <f t="shared" si="116"/>
        <v>3</v>
      </c>
      <c r="V1509" s="5" t="str">
        <f t="shared" si="117"/>
        <v>GOOD</v>
      </c>
      <c r="W1509" s="6" t="str">
        <f t="shared" si="118"/>
        <v>55+</v>
      </c>
      <c r="X1509" s="6" t="str">
        <f t="shared" si="119"/>
        <v>Lower-Middle</v>
      </c>
    </row>
    <row r="1510" spans="1:24">
      <c r="A1510" s="6" t="s">
        <v>571</v>
      </c>
      <c r="B1510" s="6" t="s">
        <v>3321</v>
      </c>
      <c r="C1510" s="6" t="s">
        <v>21</v>
      </c>
      <c r="D1510" s="6" t="s">
        <v>63</v>
      </c>
      <c r="E1510" s="6" t="s">
        <v>3514</v>
      </c>
      <c r="F1510" s="6">
        <v>92</v>
      </c>
      <c r="G1510" s="6" t="s">
        <v>34</v>
      </c>
      <c r="H1510" s="6" t="s">
        <v>3322</v>
      </c>
      <c r="I1510" s="6" t="s">
        <v>4232</v>
      </c>
      <c r="J1510" s="8">
        <v>43791</v>
      </c>
      <c r="K1510" s="8">
        <v>45299</v>
      </c>
      <c r="L1510" s="6">
        <v>271400.90000000002</v>
      </c>
      <c r="M1510" s="6">
        <v>108000.6</v>
      </c>
      <c r="N1510" s="6">
        <v>830</v>
      </c>
      <c r="O1510" s="6">
        <v>316000</v>
      </c>
      <c r="P1510" s="6" t="s">
        <v>36</v>
      </c>
      <c r="Q1510" s="6" t="s">
        <v>27</v>
      </c>
      <c r="R1510" s="6">
        <v>0</v>
      </c>
      <c r="S1510" s="6" t="s">
        <v>28</v>
      </c>
      <c r="T1510" s="7">
        <f t="shared" si="115"/>
        <v>0.34177405063291139</v>
      </c>
      <c r="U1510" s="6">
        <f t="shared" si="116"/>
        <v>7</v>
      </c>
      <c r="V1510" s="5" t="str">
        <f t="shared" si="117"/>
        <v>EXCEPTIONAL</v>
      </c>
      <c r="W1510" s="6" t="str">
        <f t="shared" si="118"/>
        <v>55+</v>
      </c>
      <c r="X1510" s="6" t="str">
        <f t="shared" si="119"/>
        <v>High</v>
      </c>
    </row>
    <row r="1511" spans="1:24">
      <c r="A1511" s="6" t="s">
        <v>574</v>
      </c>
      <c r="B1511" s="6" t="s">
        <v>3323</v>
      </c>
      <c r="C1511" s="6" t="s">
        <v>39</v>
      </c>
      <c r="D1511" s="6" t="s">
        <v>68</v>
      </c>
      <c r="E1511" s="6" t="s">
        <v>114</v>
      </c>
      <c r="F1511" s="6">
        <v>84</v>
      </c>
      <c r="G1511" s="6" t="s">
        <v>24</v>
      </c>
      <c r="H1511" s="6" t="s">
        <v>3324</v>
      </c>
      <c r="I1511" s="6" t="s">
        <v>4393</v>
      </c>
      <c r="J1511" s="8">
        <v>44389</v>
      </c>
      <c r="K1511" s="8">
        <v>45300</v>
      </c>
      <c r="L1511" s="6">
        <v>160300.25</v>
      </c>
      <c r="M1511" s="6">
        <v>110000.4</v>
      </c>
      <c r="N1511" s="6">
        <v>655</v>
      </c>
      <c r="O1511" s="6">
        <v>206000</v>
      </c>
      <c r="P1511" s="6" t="s">
        <v>76</v>
      </c>
      <c r="Q1511" s="6" t="s">
        <v>27</v>
      </c>
      <c r="R1511" s="6">
        <v>0</v>
      </c>
      <c r="S1511" s="6" t="s">
        <v>28</v>
      </c>
      <c r="T1511" s="7">
        <f t="shared" si="115"/>
        <v>0.53398252427184467</v>
      </c>
      <c r="U1511" s="6">
        <f t="shared" si="116"/>
        <v>6</v>
      </c>
      <c r="V1511" s="5" t="str">
        <f t="shared" si="117"/>
        <v>FAIR</v>
      </c>
      <c r="W1511" s="6" t="str">
        <f t="shared" si="118"/>
        <v>55+</v>
      </c>
      <c r="X1511" s="6" t="str">
        <f t="shared" si="119"/>
        <v>High</v>
      </c>
    </row>
    <row r="1512" spans="1:24">
      <c r="A1512" s="6" t="s">
        <v>577</v>
      </c>
      <c r="B1512" s="6" t="s">
        <v>3325</v>
      </c>
      <c r="C1512" s="6" t="s">
        <v>46</v>
      </c>
      <c r="D1512" s="6" t="s">
        <v>85</v>
      </c>
      <c r="E1512" s="6" t="s">
        <v>162</v>
      </c>
      <c r="F1512" s="6">
        <v>73</v>
      </c>
      <c r="G1512" s="6" t="s">
        <v>34</v>
      </c>
      <c r="H1512" s="6" t="s">
        <v>3326</v>
      </c>
      <c r="I1512" s="6" t="s">
        <v>3925</v>
      </c>
      <c r="J1512" s="8">
        <v>45282</v>
      </c>
      <c r="K1512" s="8">
        <v>45302</v>
      </c>
      <c r="L1512" s="6">
        <v>120800.6</v>
      </c>
      <c r="M1512" s="6">
        <v>72100.75</v>
      </c>
      <c r="N1512" s="6">
        <v>760</v>
      </c>
      <c r="O1512" s="6">
        <v>175000</v>
      </c>
      <c r="P1512" s="6" t="s">
        <v>26</v>
      </c>
      <c r="Q1512" s="6" t="s">
        <v>27</v>
      </c>
      <c r="R1512" s="6">
        <v>0</v>
      </c>
      <c r="S1512" s="6" t="s">
        <v>28</v>
      </c>
      <c r="T1512" s="7">
        <f t="shared" si="115"/>
        <v>0.41200428571428571</v>
      </c>
      <c r="U1512" s="6">
        <f t="shared" si="116"/>
        <v>4</v>
      </c>
      <c r="V1512" s="5" t="str">
        <f t="shared" si="117"/>
        <v>VERY GOOD</v>
      </c>
      <c r="W1512" s="6" t="str">
        <f t="shared" si="118"/>
        <v>55+</v>
      </c>
      <c r="X1512" s="6" t="str">
        <f t="shared" si="119"/>
        <v>Upper-Middle</v>
      </c>
    </row>
    <row r="1513" spans="1:24">
      <c r="A1513" s="6" t="s">
        <v>458</v>
      </c>
      <c r="B1513" s="6" t="s">
        <v>3327</v>
      </c>
      <c r="C1513" s="6" t="s">
        <v>31</v>
      </c>
      <c r="D1513" s="6" t="s">
        <v>460</v>
      </c>
      <c r="E1513" s="6" t="s">
        <v>663</v>
      </c>
      <c r="F1513" s="6">
        <v>64</v>
      </c>
      <c r="G1513" s="6" t="s">
        <v>24</v>
      </c>
      <c r="H1513" s="6" t="s">
        <v>3328</v>
      </c>
      <c r="I1513" s="6" t="s">
        <v>4394</v>
      </c>
      <c r="J1513" s="8">
        <v>45696</v>
      </c>
      <c r="K1513" s="8">
        <v>45306</v>
      </c>
      <c r="L1513" s="6">
        <v>26400.25</v>
      </c>
      <c r="M1513" s="6">
        <v>15700.8</v>
      </c>
      <c r="N1513" s="6">
        <v>695</v>
      </c>
      <c r="O1513" s="6">
        <v>75000</v>
      </c>
      <c r="P1513" s="6" t="s">
        <v>26</v>
      </c>
      <c r="Q1513" s="6" t="s">
        <v>43</v>
      </c>
      <c r="R1513" s="6">
        <v>0</v>
      </c>
      <c r="S1513" s="6" t="s">
        <v>28</v>
      </c>
      <c r="T1513" s="7">
        <f t="shared" si="115"/>
        <v>0.209344</v>
      </c>
      <c r="U1513" s="6">
        <f t="shared" si="116"/>
        <v>0</v>
      </c>
      <c r="V1513" s="5" t="str">
        <f t="shared" si="117"/>
        <v>GOOD</v>
      </c>
      <c r="W1513" s="6" t="str">
        <f t="shared" si="118"/>
        <v>55+</v>
      </c>
      <c r="X1513" s="6" t="str">
        <f t="shared" si="119"/>
        <v>Lower-Middle</v>
      </c>
    </row>
    <row r="1514" spans="1:24">
      <c r="A1514" s="6" t="s">
        <v>582</v>
      </c>
      <c r="B1514" s="6" t="s">
        <v>3329</v>
      </c>
      <c r="C1514" s="6" t="s">
        <v>57</v>
      </c>
      <c r="D1514" s="6" t="s">
        <v>22</v>
      </c>
      <c r="E1514" s="6" t="s">
        <v>53</v>
      </c>
      <c r="F1514" s="6">
        <v>67</v>
      </c>
      <c r="G1514" s="6" t="s">
        <v>34</v>
      </c>
      <c r="H1514" s="6" t="s">
        <v>3330</v>
      </c>
      <c r="I1514" s="6" t="s">
        <v>3605</v>
      </c>
      <c r="J1514" s="8">
        <v>45557</v>
      </c>
      <c r="K1514" s="8">
        <v>45303</v>
      </c>
      <c r="L1514" s="6">
        <v>55200.9</v>
      </c>
      <c r="M1514" s="6">
        <v>21200.25</v>
      </c>
      <c r="N1514" s="6">
        <v>755</v>
      </c>
      <c r="O1514" s="6">
        <v>97000</v>
      </c>
      <c r="P1514" s="6" t="s">
        <v>36</v>
      </c>
      <c r="Q1514" s="6" t="s">
        <v>27</v>
      </c>
      <c r="R1514" s="6">
        <v>0</v>
      </c>
      <c r="S1514" s="6" t="s">
        <v>28</v>
      </c>
      <c r="T1514" s="7">
        <f t="shared" si="115"/>
        <v>0.21855927835051547</v>
      </c>
      <c r="U1514" s="6">
        <f t="shared" si="116"/>
        <v>3</v>
      </c>
      <c r="V1514" s="5" t="str">
        <f t="shared" si="117"/>
        <v>VERY GOOD</v>
      </c>
      <c r="W1514" s="6" t="str">
        <f t="shared" si="118"/>
        <v>55+</v>
      </c>
      <c r="X1514" s="6" t="str">
        <f t="shared" si="119"/>
        <v>Lower-Middle</v>
      </c>
    </row>
    <row r="1515" spans="1:24">
      <c r="A1515" s="6" t="s">
        <v>55</v>
      </c>
      <c r="B1515" s="6" t="s">
        <v>3331</v>
      </c>
      <c r="C1515" s="6" t="s">
        <v>39</v>
      </c>
      <c r="D1515" s="6" t="s">
        <v>58</v>
      </c>
      <c r="E1515" s="6" t="s">
        <v>122</v>
      </c>
      <c r="F1515" s="6">
        <v>85</v>
      </c>
      <c r="G1515" s="6" t="s">
        <v>24</v>
      </c>
      <c r="H1515" s="6" t="s">
        <v>3332</v>
      </c>
      <c r="I1515" s="6" t="s">
        <v>3843</v>
      </c>
      <c r="J1515" s="8">
        <v>44308</v>
      </c>
      <c r="K1515" s="8">
        <v>45300</v>
      </c>
      <c r="L1515" s="6">
        <v>193200.4</v>
      </c>
      <c r="M1515" s="6">
        <v>123000.75</v>
      </c>
      <c r="N1515" s="6">
        <v>685</v>
      </c>
      <c r="O1515" s="6">
        <v>231000</v>
      </c>
      <c r="P1515" s="6" t="s">
        <v>76</v>
      </c>
      <c r="Q1515" s="6" t="s">
        <v>27</v>
      </c>
      <c r="R1515" s="6">
        <v>0</v>
      </c>
      <c r="S1515" s="6" t="s">
        <v>28</v>
      </c>
      <c r="T1515" s="7">
        <f t="shared" si="115"/>
        <v>0.53247077922077923</v>
      </c>
      <c r="U1515" s="6">
        <f t="shared" si="116"/>
        <v>6</v>
      </c>
      <c r="V1515" s="5" t="str">
        <f t="shared" si="117"/>
        <v>GOOD</v>
      </c>
      <c r="W1515" s="6" t="str">
        <f t="shared" si="118"/>
        <v>55+</v>
      </c>
      <c r="X1515" s="6" t="str">
        <f t="shared" si="119"/>
        <v>High</v>
      </c>
    </row>
    <row r="1516" spans="1:24">
      <c r="A1516" s="6" t="s">
        <v>469</v>
      </c>
      <c r="B1516" s="6" t="s">
        <v>3333</v>
      </c>
      <c r="C1516" s="6" t="s">
        <v>52</v>
      </c>
      <c r="D1516" s="6" t="s">
        <v>471</v>
      </c>
      <c r="E1516" s="6" t="s">
        <v>472</v>
      </c>
      <c r="F1516" s="6">
        <v>76</v>
      </c>
      <c r="G1516" s="6" t="s">
        <v>34</v>
      </c>
      <c r="H1516" s="6" t="s">
        <v>3334</v>
      </c>
      <c r="I1516" s="6" t="s">
        <v>4395</v>
      </c>
      <c r="J1516" s="8">
        <v>44948</v>
      </c>
      <c r="K1516" s="8">
        <v>45301</v>
      </c>
      <c r="L1516" s="6">
        <v>85200.8</v>
      </c>
      <c r="M1516" s="6">
        <v>58300.6</v>
      </c>
      <c r="N1516" s="6">
        <v>715</v>
      </c>
      <c r="O1516" s="6">
        <v>130000</v>
      </c>
      <c r="P1516" s="6" t="s">
        <v>26</v>
      </c>
      <c r="Q1516" s="6" t="s">
        <v>27</v>
      </c>
      <c r="R1516" s="6">
        <v>0</v>
      </c>
      <c r="S1516" s="6" t="s">
        <v>28</v>
      </c>
      <c r="T1516" s="7">
        <f t="shared" si="115"/>
        <v>0.44846615384615385</v>
      </c>
      <c r="U1516" s="6">
        <f t="shared" si="116"/>
        <v>5</v>
      </c>
      <c r="V1516" s="5" t="str">
        <f t="shared" si="117"/>
        <v>GOOD</v>
      </c>
      <c r="W1516" s="6" t="str">
        <f t="shared" si="118"/>
        <v>55+</v>
      </c>
      <c r="X1516" s="6" t="str">
        <f t="shared" si="119"/>
        <v>Upper-Middle</v>
      </c>
    </row>
    <row r="1517" spans="1:24">
      <c r="A1517" s="6" t="s">
        <v>474</v>
      </c>
      <c r="B1517" s="6" t="s">
        <v>3335</v>
      </c>
      <c r="C1517" s="6" t="s">
        <v>46</v>
      </c>
      <c r="D1517" s="6" t="s">
        <v>345</v>
      </c>
      <c r="E1517" s="6" t="s">
        <v>476</v>
      </c>
      <c r="F1517" s="6">
        <v>79</v>
      </c>
      <c r="G1517" s="6" t="s">
        <v>24</v>
      </c>
      <c r="H1517" s="6" t="s">
        <v>3336</v>
      </c>
      <c r="I1517" s="6" t="s">
        <v>3845</v>
      </c>
      <c r="J1517" s="8">
        <v>44856</v>
      </c>
      <c r="K1517" s="8">
        <v>45302</v>
      </c>
      <c r="L1517" s="6">
        <v>113000.25</v>
      </c>
      <c r="M1517" s="6">
        <v>68300.399999999994</v>
      </c>
      <c r="N1517" s="6">
        <v>680</v>
      </c>
      <c r="O1517" s="6">
        <v>159000</v>
      </c>
      <c r="P1517" s="6" t="s">
        <v>26</v>
      </c>
      <c r="Q1517" s="6" t="s">
        <v>27</v>
      </c>
      <c r="R1517" s="6">
        <v>0</v>
      </c>
      <c r="S1517" s="6" t="s">
        <v>28</v>
      </c>
      <c r="T1517" s="7">
        <f t="shared" si="115"/>
        <v>0.42956226415094334</v>
      </c>
      <c r="U1517" s="6">
        <f t="shared" si="116"/>
        <v>4</v>
      </c>
      <c r="V1517" s="5" t="str">
        <f t="shared" si="117"/>
        <v>GOOD</v>
      </c>
      <c r="W1517" s="6" t="str">
        <f t="shared" si="118"/>
        <v>55+</v>
      </c>
      <c r="X1517" s="6" t="str">
        <f t="shared" si="119"/>
        <v>Upper-Middle</v>
      </c>
    </row>
    <row r="1518" spans="1:24">
      <c r="A1518" s="6" t="s">
        <v>592</v>
      </c>
      <c r="B1518" s="6" t="s">
        <v>3337</v>
      </c>
      <c r="C1518" s="6" t="s">
        <v>84</v>
      </c>
      <c r="D1518" s="6" t="s">
        <v>32</v>
      </c>
      <c r="E1518" s="6" t="s">
        <v>90</v>
      </c>
      <c r="F1518" s="6">
        <v>59</v>
      </c>
      <c r="G1518" s="6" t="s">
        <v>34</v>
      </c>
      <c r="H1518" s="6" t="s">
        <v>3338</v>
      </c>
      <c r="I1518" s="6" t="s">
        <v>3544</v>
      </c>
      <c r="J1518" s="8">
        <v>45710</v>
      </c>
      <c r="K1518" s="8">
        <v>45304</v>
      </c>
      <c r="L1518" s="6">
        <v>5550.4</v>
      </c>
      <c r="M1518" s="6">
        <v>16400.75</v>
      </c>
      <c r="N1518" s="6">
        <v>610</v>
      </c>
      <c r="O1518" s="6">
        <v>55000</v>
      </c>
      <c r="P1518" s="6" t="s">
        <v>76</v>
      </c>
      <c r="Q1518" s="6" t="s">
        <v>43</v>
      </c>
      <c r="R1518" s="6">
        <v>0</v>
      </c>
      <c r="S1518" s="6" t="s">
        <v>28</v>
      </c>
      <c r="T1518" s="7">
        <f t="shared" si="115"/>
        <v>0.29819545454545454</v>
      </c>
      <c r="U1518" s="6">
        <f t="shared" si="116"/>
        <v>2</v>
      </c>
      <c r="V1518" s="5" t="str">
        <f t="shared" si="117"/>
        <v>FAIR</v>
      </c>
      <c r="W1518" s="6" t="str">
        <f t="shared" si="118"/>
        <v>55+</v>
      </c>
      <c r="X1518" s="6" t="str">
        <f t="shared" si="119"/>
        <v>Low</v>
      </c>
    </row>
    <row r="1519" spans="1:24">
      <c r="A1519" s="6" t="s">
        <v>595</v>
      </c>
      <c r="B1519" s="6" t="s">
        <v>3339</v>
      </c>
      <c r="C1519" s="6" t="s">
        <v>21</v>
      </c>
      <c r="D1519" s="6" t="s">
        <v>209</v>
      </c>
      <c r="E1519" s="6" t="s">
        <v>210</v>
      </c>
      <c r="F1519" s="6">
        <v>91</v>
      </c>
      <c r="G1519" s="6" t="s">
        <v>24</v>
      </c>
      <c r="H1519" s="6" t="s">
        <v>3340</v>
      </c>
      <c r="I1519" s="6" t="s">
        <v>4065</v>
      </c>
      <c r="J1519" s="8">
        <v>44004</v>
      </c>
      <c r="K1519" s="8">
        <v>45299</v>
      </c>
      <c r="L1519" s="6">
        <v>291200.8</v>
      </c>
      <c r="M1519" s="6">
        <v>114000.25</v>
      </c>
      <c r="N1519" s="6">
        <v>825</v>
      </c>
      <c r="O1519" s="6">
        <v>311000</v>
      </c>
      <c r="P1519" s="6" t="s">
        <v>36</v>
      </c>
      <c r="Q1519" s="6" t="s">
        <v>27</v>
      </c>
      <c r="R1519" s="6">
        <v>0</v>
      </c>
      <c r="S1519" s="6" t="s">
        <v>28</v>
      </c>
      <c r="T1519" s="7">
        <f t="shared" si="115"/>
        <v>0.36656028938906754</v>
      </c>
      <c r="U1519" s="6">
        <f t="shared" si="116"/>
        <v>7</v>
      </c>
      <c r="V1519" s="5" t="str">
        <f t="shared" si="117"/>
        <v>EXCEPTIONAL</v>
      </c>
      <c r="W1519" s="6" t="str">
        <f t="shared" si="118"/>
        <v>55+</v>
      </c>
      <c r="X1519" s="6" t="str">
        <f t="shared" si="119"/>
        <v>High</v>
      </c>
    </row>
    <row r="1520" spans="1:24">
      <c r="A1520" s="6" t="s">
        <v>226</v>
      </c>
      <c r="B1520" s="6" t="s">
        <v>3341</v>
      </c>
      <c r="C1520" s="6" t="s">
        <v>57</v>
      </c>
      <c r="D1520" s="6" t="s">
        <v>228</v>
      </c>
      <c r="E1520" s="6" t="s">
        <v>229</v>
      </c>
      <c r="F1520" s="6">
        <v>66</v>
      </c>
      <c r="G1520" s="6" t="s">
        <v>34</v>
      </c>
      <c r="H1520" s="6" t="s">
        <v>3342</v>
      </c>
      <c r="I1520" s="6" t="s">
        <v>4396</v>
      </c>
      <c r="J1520" s="8">
        <v>45738</v>
      </c>
      <c r="K1520" s="8">
        <v>45305</v>
      </c>
      <c r="L1520" s="6">
        <v>51900.75</v>
      </c>
      <c r="M1520" s="6">
        <v>19600.400000000001</v>
      </c>
      <c r="N1520" s="6">
        <v>725</v>
      </c>
      <c r="O1520" s="6">
        <v>87000</v>
      </c>
      <c r="P1520" s="6" t="s">
        <v>36</v>
      </c>
      <c r="Q1520" s="6" t="s">
        <v>27</v>
      </c>
      <c r="R1520" s="6">
        <v>0</v>
      </c>
      <c r="S1520" s="6" t="s">
        <v>28</v>
      </c>
      <c r="T1520" s="7">
        <f t="shared" si="115"/>
        <v>0.22529195402298852</v>
      </c>
      <c r="U1520" s="6">
        <f t="shared" si="116"/>
        <v>1</v>
      </c>
      <c r="V1520" s="5" t="str">
        <f t="shared" si="117"/>
        <v>GOOD</v>
      </c>
      <c r="W1520" s="6" t="str">
        <f t="shared" si="118"/>
        <v>55+</v>
      </c>
      <c r="X1520" s="6" t="str">
        <f t="shared" si="119"/>
        <v>Lower-Middle</v>
      </c>
    </row>
    <row r="1521" spans="1:24">
      <c r="A1521" s="6" t="s">
        <v>488</v>
      </c>
      <c r="B1521" s="6" t="s">
        <v>3343</v>
      </c>
      <c r="C1521" s="6" t="s">
        <v>39</v>
      </c>
      <c r="D1521" s="6" t="s">
        <v>304</v>
      </c>
      <c r="E1521" s="6" t="s">
        <v>304</v>
      </c>
      <c r="F1521" s="6">
        <v>83</v>
      </c>
      <c r="G1521" s="6" t="s">
        <v>24</v>
      </c>
      <c r="H1521" s="6" t="s">
        <v>3344</v>
      </c>
      <c r="I1521" s="6" t="s">
        <v>4397</v>
      </c>
      <c r="J1521" s="8">
        <v>44481</v>
      </c>
      <c r="K1521" s="8">
        <v>45300</v>
      </c>
      <c r="L1521" s="6">
        <v>171400.6</v>
      </c>
      <c r="M1521" s="6">
        <v>114000.9</v>
      </c>
      <c r="N1521" s="6">
        <v>675</v>
      </c>
      <c r="O1521" s="6">
        <v>211000</v>
      </c>
      <c r="P1521" s="6" t="s">
        <v>76</v>
      </c>
      <c r="Q1521" s="6" t="s">
        <v>27</v>
      </c>
      <c r="R1521" s="6">
        <v>0</v>
      </c>
      <c r="S1521" s="6" t="s">
        <v>28</v>
      </c>
      <c r="T1521" s="7">
        <f t="shared" si="115"/>
        <v>0.54028862559241708</v>
      </c>
      <c r="U1521" s="6">
        <f t="shared" si="116"/>
        <v>6</v>
      </c>
      <c r="V1521" s="5" t="str">
        <f t="shared" si="117"/>
        <v>GOOD</v>
      </c>
      <c r="W1521" s="6" t="str">
        <f t="shared" si="118"/>
        <v>55+</v>
      </c>
      <c r="X1521" s="6" t="str">
        <f t="shared" si="119"/>
        <v>High</v>
      </c>
    </row>
    <row r="1522" spans="1:24">
      <c r="A1522" s="6" t="s">
        <v>491</v>
      </c>
      <c r="B1522" s="6" t="s">
        <v>3345</v>
      </c>
      <c r="C1522" s="6" t="s">
        <v>52</v>
      </c>
      <c r="D1522" s="6" t="s">
        <v>493</v>
      </c>
      <c r="E1522" s="6" t="s">
        <v>494</v>
      </c>
      <c r="F1522" s="6">
        <v>74</v>
      </c>
      <c r="G1522" s="6" t="s">
        <v>34</v>
      </c>
      <c r="H1522" s="6" t="s">
        <v>3346</v>
      </c>
      <c r="I1522" s="6" t="s">
        <v>4398</v>
      </c>
      <c r="J1522" s="8">
        <v>45252</v>
      </c>
      <c r="K1522" s="8">
        <v>45302</v>
      </c>
      <c r="L1522" s="6">
        <v>79400.399999999994</v>
      </c>
      <c r="M1522" s="6">
        <v>54100.25</v>
      </c>
      <c r="N1522" s="6">
        <v>705</v>
      </c>
      <c r="O1522" s="6">
        <v>119000</v>
      </c>
      <c r="P1522" s="6" t="s">
        <v>26</v>
      </c>
      <c r="Q1522" s="6" t="s">
        <v>27</v>
      </c>
      <c r="R1522" s="6">
        <v>0</v>
      </c>
      <c r="S1522" s="6" t="s">
        <v>28</v>
      </c>
      <c r="T1522" s="7">
        <f t="shared" si="115"/>
        <v>0.45462394957983193</v>
      </c>
      <c r="U1522" s="6">
        <f t="shared" si="116"/>
        <v>4</v>
      </c>
      <c r="V1522" s="5" t="str">
        <f t="shared" si="117"/>
        <v>GOOD</v>
      </c>
      <c r="W1522" s="6" t="str">
        <f t="shared" si="118"/>
        <v>55+</v>
      </c>
      <c r="X1522" s="6" t="str">
        <f t="shared" si="119"/>
        <v>Lower-Middle</v>
      </c>
    </row>
    <row r="1523" spans="1:24">
      <c r="A1523" s="6" t="s">
        <v>496</v>
      </c>
      <c r="B1523" s="6" t="s">
        <v>3347</v>
      </c>
      <c r="C1523" s="6" t="s">
        <v>46</v>
      </c>
      <c r="D1523" s="6" t="s">
        <v>321</v>
      </c>
      <c r="E1523" s="6" t="s">
        <v>322</v>
      </c>
      <c r="F1523" s="6">
        <v>77</v>
      </c>
      <c r="G1523" s="6" t="s">
        <v>24</v>
      </c>
      <c r="H1523" s="6" t="s">
        <v>3348</v>
      </c>
      <c r="I1523" s="6" t="s">
        <v>4399</v>
      </c>
      <c r="J1523" s="8">
        <v>44734</v>
      </c>
      <c r="K1523" s="8">
        <v>45301</v>
      </c>
      <c r="L1523" s="6">
        <v>124100.75</v>
      </c>
      <c r="M1523" s="6">
        <v>75200.800000000003</v>
      </c>
      <c r="N1523" s="6">
        <v>730</v>
      </c>
      <c r="O1523" s="6">
        <v>185000</v>
      </c>
      <c r="P1523" s="6" t="s">
        <v>26</v>
      </c>
      <c r="Q1523" s="6" t="s">
        <v>27</v>
      </c>
      <c r="R1523" s="6">
        <v>0</v>
      </c>
      <c r="S1523" s="6" t="s">
        <v>28</v>
      </c>
      <c r="T1523" s="7">
        <f t="shared" si="115"/>
        <v>0.40649081081081084</v>
      </c>
      <c r="U1523" s="6">
        <f t="shared" si="116"/>
        <v>5</v>
      </c>
      <c r="V1523" s="5" t="str">
        <f t="shared" si="117"/>
        <v>GOOD</v>
      </c>
      <c r="W1523" s="6" t="str">
        <f t="shared" si="118"/>
        <v>55+</v>
      </c>
      <c r="X1523" s="6" t="str">
        <f t="shared" si="119"/>
        <v>Upper-Middle</v>
      </c>
    </row>
    <row r="1524" spans="1:24">
      <c r="A1524" s="6" t="s">
        <v>324</v>
      </c>
      <c r="B1524" s="6" t="s">
        <v>3349</v>
      </c>
      <c r="C1524" s="6" t="s">
        <v>31</v>
      </c>
      <c r="D1524" s="6" t="s">
        <v>313</v>
      </c>
      <c r="E1524" s="6" t="s">
        <v>385</v>
      </c>
      <c r="F1524" s="6">
        <v>62</v>
      </c>
      <c r="G1524" s="6" t="s">
        <v>34</v>
      </c>
      <c r="H1524" s="6" t="s">
        <v>3350</v>
      </c>
      <c r="I1524" s="6" t="s">
        <v>4400</v>
      </c>
      <c r="J1524" s="8">
        <v>45703</v>
      </c>
      <c r="K1524" s="8">
        <v>45306</v>
      </c>
      <c r="L1524" s="6">
        <v>22200.9</v>
      </c>
      <c r="M1524" s="6">
        <v>12500.75</v>
      </c>
      <c r="N1524" s="6">
        <v>685</v>
      </c>
      <c r="O1524" s="6">
        <v>72000</v>
      </c>
      <c r="P1524" s="6" t="s">
        <v>26</v>
      </c>
      <c r="Q1524" s="6" t="s">
        <v>43</v>
      </c>
      <c r="R1524" s="6">
        <v>0</v>
      </c>
      <c r="S1524" s="6" t="s">
        <v>28</v>
      </c>
      <c r="T1524" s="7">
        <f t="shared" si="115"/>
        <v>0.17362152777777778</v>
      </c>
      <c r="U1524" s="6">
        <f t="shared" si="116"/>
        <v>0</v>
      </c>
      <c r="V1524" s="5" t="str">
        <f t="shared" si="117"/>
        <v>GOOD</v>
      </c>
      <c r="W1524" s="6" t="str">
        <f t="shared" si="118"/>
        <v>55+</v>
      </c>
      <c r="X1524" s="6" t="str">
        <f t="shared" si="119"/>
        <v>Low</v>
      </c>
    </row>
    <row r="1525" spans="1:24">
      <c r="A1525" s="6" t="s">
        <v>503</v>
      </c>
      <c r="B1525" s="6" t="s">
        <v>3351</v>
      </c>
      <c r="C1525" s="6" t="s">
        <v>21</v>
      </c>
      <c r="D1525" s="6" t="s">
        <v>32</v>
      </c>
      <c r="E1525" s="6" t="s">
        <v>33</v>
      </c>
      <c r="F1525" s="6">
        <v>94</v>
      </c>
      <c r="G1525" s="6" t="s">
        <v>24</v>
      </c>
      <c r="H1525" s="6" t="s">
        <v>3352</v>
      </c>
      <c r="I1525" s="6" t="s">
        <v>3852</v>
      </c>
      <c r="J1525" s="8">
        <v>43730</v>
      </c>
      <c r="K1525" s="8">
        <v>45299</v>
      </c>
      <c r="L1525" s="6">
        <v>302100.25</v>
      </c>
      <c r="M1525" s="6">
        <v>118000.4</v>
      </c>
      <c r="N1525" s="6">
        <v>840</v>
      </c>
      <c r="O1525" s="6">
        <v>326000</v>
      </c>
      <c r="P1525" s="6" t="s">
        <v>36</v>
      </c>
      <c r="Q1525" s="6" t="s">
        <v>27</v>
      </c>
      <c r="R1525" s="6">
        <v>0</v>
      </c>
      <c r="S1525" s="6" t="s">
        <v>28</v>
      </c>
      <c r="T1525" s="7">
        <f t="shared" si="115"/>
        <v>0.36196441717791411</v>
      </c>
      <c r="U1525" s="6">
        <f t="shared" si="116"/>
        <v>7</v>
      </c>
      <c r="V1525" s="5" t="str">
        <f t="shared" si="117"/>
        <v>EXCEPTIONAL</v>
      </c>
      <c r="W1525" s="6" t="str">
        <f t="shared" si="118"/>
        <v>55+</v>
      </c>
      <c r="X1525" s="6" t="str">
        <f t="shared" si="119"/>
        <v>High</v>
      </c>
    </row>
    <row r="1526" spans="1:24">
      <c r="A1526" s="6" t="s">
        <v>506</v>
      </c>
      <c r="B1526" s="6" t="s">
        <v>3353</v>
      </c>
      <c r="C1526" s="6" t="s">
        <v>39</v>
      </c>
      <c r="D1526" s="6" t="s">
        <v>68</v>
      </c>
      <c r="E1526" s="6" t="s">
        <v>69</v>
      </c>
      <c r="F1526" s="6">
        <v>86</v>
      </c>
      <c r="G1526" s="6" t="s">
        <v>34</v>
      </c>
      <c r="H1526" s="6" t="s">
        <v>3354</v>
      </c>
      <c r="I1526" s="6" t="s">
        <v>4377</v>
      </c>
      <c r="J1526" s="8">
        <v>44249</v>
      </c>
      <c r="K1526" s="8">
        <v>45300</v>
      </c>
      <c r="L1526" s="6">
        <v>182500.4</v>
      </c>
      <c r="M1526" s="6">
        <v>118000.75</v>
      </c>
      <c r="N1526" s="6">
        <v>650</v>
      </c>
      <c r="O1526" s="6">
        <v>221000</v>
      </c>
      <c r="P1526" s="6" t="s">
        <v>76</v>
      </c>
      <c r="Q1526" s="6" t="s">
        <v>27</v>
      </c>
      <c r="R1526" s="6">
        <v>0</v>
      </c>
      <c r="S1526" s="6" t="s">
        <v>28</v>
      </c>
      <c r="T1526" s="7">
        <f t="shared" si="115"/>
        <v>0.53394004524886873</v>
      </c>
      <c r="U1526" s="6">
        <f t="shared" si="116"/>
        <v>6</v>
      </c>
      <c r="V1526" s="5" t="str">
        <f t="shared" si="117"/>
        <v>FAIR</v>
      </c>
      <c r="W1526" s="6" t="str">
        <f t="shared" si="118"/>
        <v>55+</v>
      </c>
      <c r="X1526" s="6" t="str">
        <f t="shared" si="119"/>
        <v>High</v>
      </c>
    </row>
    <row r="1527" spans="1:24">
      <c r="A1527" s="6" t="s">
        <v>509</v>
      </c>
      <c r="B1527" s="6" t="s">
        <v>3355</v>
      </c>
      <c r="C1527" s="6" t="s">
        <v>46</v>
      </c>
      <c r="D1527" s="6" t="s">
        <v>73</v>
      </c>
      <c r="E1527" s="6" t="s">
        <v>74</v>
      </c>
      <c r="F1527" s="6">
        <v>73</v>
      </c>
      <c r="G1527" s="6" t="s">
        <v>24</v>
      </c>
      <c r="H1527" s="6" t="s">
        <v>3356</v>
      </c>
      <c r="I1527" s="6" t="s">
        <v>4401</v>
      </c>
      <c r="J1527" s="8">
        <v>45465</v>
      </c>
      <c r="K1527" s="8">
        <v>45303</v>
      </c>
      <c r="L1527" s="6">
        <v>112900.4</v>
      </c>
      <c r="M1527" s="6">
        <v>69400.25</v>
      </c>
      <c r="N1527" s="6">
        <v>745</v>
      </c>
      <c r="O1527" s="6">
        <v>165000</v>
      </c>
      <c r="P1527" s="6" t="s">
        <v>26</v>
      </c>
      <c r="Q1527" s="6" t="s">
        <v>27</v>
      </c>
      <c r="R1527" s="6">
        <v>0</v>
      </c>
      <c r="S1527" s="6" t="s">
        <v>28</v>
      </c>
      <c r="T1527" s="7">
        <f t="shared" si="115"/>
        <v>0.42060757575757574</v>
      </c>
      <c r="U1527" s="6">
        <f t="shared" si="116"/>
        <v>3</v>
      </c>
      <c r="V1527" s="5" t="str">
        <f t="shared" si="117"/>
        <v>GOOD</v>
      </c>
      <c r="W1527" s="6" t="str">
        <f t="shared" si="118"/>
        <v>55+</v>
      </c>
      <c r="X1527" s="6" t="str">
        <f t="shared" si="119"/>
        <v>Upper-Middle</v>
      </c>
    </row>
    <row r="1528" spans="1:24">
      <c r="A1528" s="6" t="s">
        <v>513</v>
      </c>
      <c r="B1528" s="6" t="s">
        <v>3357</v>
      </c>
      <c r="C1528" s="6" t="s">
        <v>57</v>
      </c>
      <c r="D1528" s="6" t="s">
        <v>58</v>
      </c>
      <c r="E1528" s="6" t="s">
        <v>122</v>
      </c>
      <c r="F1528" s="6">
        <v>68</v>
      </c>
      <c r="G1528" s="6" t="s">
        <v>34</v>
      </c>
      <c r="H1528" s="6" t="s">
        <v>3358</v>
      </c>
      <c r="I1528" s="6" t="s">
        <v>3854</v>
      </c>
      <c r="J1528" s="8">
        <v>45648</v>
      </c>
      <c r="K1528" s="8">
        <v>45302</v>
      </c>
      <c r="L1528" s="6">
        <v>54100.800000000003</v>
      </c>
      <c r="M1528" s="6">
        <v>20800.900000000001</v>
      </c>
      <c r="N1528" s="6">
        <v>765</v>
      </c>
      <c r="O1528" s="6">
        <v>97000</v>
      </c>
      <c r="P1528" s="6" t="s">
        <v>36</v>
      </c>
      <c r="Q1528" s="6" t="s">
        <v>27</v>
      </c>
      <c r="R1528" s="6">
        <v>0</v>
      </c>
      <c r="S1528" s="6" t="s">
        <v>28</v>
      </c>
      <c r="T1528" s="7">
        <f t="shared" si="115"/>
        <v>0.21444226804123712</v>
      </c>
      <c r="U1528" s="6">
        <f t="shared" si="116"/>
        <v>4</v>
      </c>
      <c r="V1528" s="5" t="str">
        <f t="shared" si="117"/>
        <v>VERY GOOD</v>
      </c>
      <c r="W1528" s="6" t="str">
        <f t="shared" si="118"/>
        <v>55+</v>
      </c>
      <c r="X1528" s="6" t="str">
        <f t="shared" si="119"/>
        <v>Lower-Middle</v>
      </c>
    </row>
    <row r="1529" spans="1:24">
      <c r="A1529" s="6" t="s">
        <v>516</v>
      </c>
      <c r="B1529" s="6" t="s">
        <v>3359</v>
      </c>
      <c r="C1529" s="6" t="s">
        <v>52</v>
      </c>
      <c r="D1529" s="6" t="s">
        <v>277</v>
      </c>
      <c r="E1529" s="6" t="s">
        <v>278</v>
      </c>
      <c r="F1529" s="6">
        <v>81</v>
      </c>
      <c r="G1529" s="6" t="s">
        <v>24</v>
      </c>
      <c r="H1529" s="6" t="s">
        <v>3360</v>
      </c>
      <c r="I1529" s="6" t="s">
        <v>3911</v>
      </c>
      <c r="J1529" s="8">
        <v>44917</v>
      </c>
      <c r="K1529" s="8">
        <v>45301</v>
      </c>
      <c r="L1529" s="6">
        <v>87400.75</v>
      </c>
      <c r="M1529" s="6">
        <v>60500.4</v>
      </c>
      <c r="N1529" s="6">
        <v>675</v>
      </c>
      <c r="O1529" s="6">
        <v>137000</v>
      </c>
      <c r="P1529" s="6" t="s">
        <v>26</v>
      </c>
      <c r="Q1529" s="6" t="s">
        <v>27</v>
      </c>
      <c r="R1529" s="6">
        <v>0</v>
      </c>
      <c r="S1529" s="6" t="s">
        <v>28</v>
      </c>
      <c r="T1529" s="7">
        <f t="shared" si="115"/>
        <v>0.44160875912408759</v>
      </c>
      <c r="U1529" s="6">
        <f t="shared" si="116"/>
        <v>5</v>
      </c>
      <c r="V1529" s="5" t="str">
        <f t="shared" si="117"/>
        <v>GOOD</v>
      </c>
      <c r="W1529" s="6" t="str">
        <f t="shared" si="118"/>
        <v>55+</v>
      </c>
      <c r="X1529" s="6" t="str">
        <f t="shared" si="119"/>
        <v>Upper-Middle</v>
      </c>
    </row>
    <row r="1530" spans="1:24">
      <c r="A1530" s="6" t="s">
        <v>519</v>
      </c>
      <c r="B1530" s="6" t="s">
        <v>3361</v>
      </c>
      <c r="C1530" s="6" t="s">
        <v>84</v>
      </c>
      <c r="D1530" s="6" t="s">
        <v>183</v>
      </c>
      <c r="E1530" s="6" t="s">
        <v>184</v>
      </c>
      <c r="F1530" s="6">
        <v>60</v>
      </c>
      <c r="G1530" s="6" t="s">
        <v>34</v>
      </c>
      <c r="H1530" s="6" t="s">
        <v>3362</v>
      </c>
      <c r="I1530" s="6" t="s">
        <v>3856</v>
      </c>
      <c r="J1530" s="8">
        <v>45716</v>
      </c>
      <c r="K1530" s="8">
        <v>45304</v>
      </c>
      <c r="L1530" s="6">
        <v>5800.25</v>
      </c>
      <c r="M1530" s="6">
        <v>17600.599999999999</v>
      </c>
      <c r="N1530" s="6">
        <v>615</v>
      </c>
      <c r="O1530" s="6">
        <v>57000</v>
      </c>
      <c r="P1530" s="6" t="s">
        <v>76</v>
      </c>
      <c r="Q1530" s="6" t="s">
        <v>43</v>
      </c>
      <c r="R1530" s="6">
        <v>0</v>
      </c>
      <c r="S1530" s="6" t="s">
        <v>28</v>
      </c>
      <c r="T1530" s="7">
        <f t="shared" si="115"/>
        <v>0.30878245614035083</v>
      </c>
      <c r="U1530" s="6">
        <f t="shared" si="116"/>
        <v>2</v>
      </c>
      <c r="V1530" s="5" t="str">
        <f t="shared" si="117"/>
        <v>FAIR</v>
      </c>
      <c r="W1530" s="6" t="str">
        <f t="shared" si="118"/>
        <v>55+</v>
      </c>
      <c r="X1530" s="6" t="str">
        <f t="shared" si="119"/>
        <v>Low</v>
      </c>
    </row>
    <row r="1531" spans="1:24">
      <c r="A1531" s="6" t="s">
        <v>522</v>
      </c>
      <c r="B1531" s="6" t="s">
        <v>3363</v>
      </c>
      <c r="C1531" s="6" t="s">
        <v>39</v>
      </c>
      <c r="D1531" s="6" t="s">
        <v>40</v>
      </c>
      <c r="E1531" s="6" t="s">
        <v>94</v>
      </c>
      <c r="F1531" s="6">
        <v>88</v>
      </c>
      <c r="G1531" s="6" t="s">
        <v>24</v>
      </c>
      <c r="H1531" s="6" t="s">
        <v>3364</v>
      </c>
      <c r="I1531" s="6" t="s">
        <v>3510</v>
      </c>
      <c r="J1531" s="8">
        <v>44218</v>
      </c>
      <c r="K1531" s="8">
        <v>45299</v>
      </c>
      <c r="L1531" s="6">
        <v>217100.79999999999</v>
      </c>
      <c r="M1531" s="6">
        <v>131000.25</v>
      </c>
      <c r="N1531" s="6">
        <v>660</v>
      </c>
      <c r="O1531" s="6">
        <v>256000</v>
      </c>
      <c r="P1531" s="6" t="s">
        <v>76</v>
      </c>
      <c r="Q1531" s="6" t="s">
        <v>27</v>
      </c>
      <c r="R1531" s="6">
        <v>0</v>
      </c>
      <c r="S1531" s="6" t="s">
        <v>28</v>
      </c>
      <c r="T1531" s="7">
        <f t="shared" si="115"/>
        <v>0.51171972656249998</v>
      </c>
      <c r="U1531" s="6">
        <f t="shared" si="116"/>
        <v>7</v>
      </c>
      <c r="V1531" s="5" t="str">
        <f t="shared" si="117"/>
        <v>FAIR</v>
      </c>
      <c r="W1531" s="6" t="str">
        <f t="shared" si="118"/>
        <v>55+</v>
      </c>
      <c r="X1531" s="6" t="str">
        <f t="shared" si="119"/>
        <v>High</v>
      </c>
    </row>
    <row r="1532" spans="1:24">
      <c r="A1532" s="6" t="s">
        <v>306</v>
      </c>
      <c r="B1532" s="6" t="s">
        <v>3365</v>
      </c>
      <c r="C1532" s="6" t="s">
        <v>46</v>
      </c>
      <c r="D1532" s="6" t="s">
        <v>209</v>
      </c>
      <c r="E1532" s="6" t="s">
        <v>447</v>
      </c>
      <c r="F1532" s="6">
        <v>75</v>
      </c>
      <c r="G1532" s="6" t="s">
        <v>34</v>
      </c>
      <c r="H1532" s="6" t="s">
        <v>3366</v>
      </c>
      <c r="I1532" s="6" t="s">
        <v>4402</v>
      </c>
      <c r="J1532" s="8">
        <v>45068</v>
      </c>
      <c r="K1532" s="8">
        <v>45302</v>
      </c>
      <c r="L1532" s="6">
        <v>108500.9</v>
      </c>
      <c r="M1532" s="6">
        <v>66300.75</v>
      </c>
      <c r="N1532" s="6">
        <v>730</v>
      </c>
      <c r="O1532" s="6">
        <v>160000</v>
      </c>
      <c r="P1532" s="6" t="s">
        <v>26</v>
      </c>
      <c r="Q1532" s="6" t="s">
        <v>27</v>
      </c>
      <c r="R1532" s="6">
        <v>0</v>
      </c>
      <c r="S1532" s="6" t="s">
        <v>28</v>
      </c>
      <c r="T1532" s="7">
        <f t="shared" si="115"/>
        <v>0.41437968749999998</v>
      </c>
      <c r="U1532" s="6">
        <f t="shared" si="116"/>
        <v>4</v>
      </c>
      <c r="V1532" s="5" t="str">
        <f t="shared" si="117"/>
        <v>GOOD</v>
      </c>
      <c r="W1532" s="6" t="str">
        <f t="shared" si="118"/>
        <v>55+</v>
      </c>
      <c r="X1532" s="6" t="str">
        <f t="shared" si="119"/>
        <v>Upper-Middle</v>
      </c>
    </row>
    <row r="1533" spans="1:24">
      <c r="A1533" s="6" t="s">
        <v>527</v>
      </c>
      <c r="B1533" s="6" t="s">
        <v>3367</v>
      </c>
      <c r="C1533" s="6" t="s">
        <v>31</v>
      </c>
      <c r="D1533" s="6" t="s">
        <v>32</v>
      </c>
      <c r="E1533" s="6" t="s">
        <v>90</v>
      </c>
      <c r="F1533" s="6">
        <v>64</v>
      </c>
      <c r="G1533" s="6" t="s">
        <v>34</v>
      </c>
      <c r="H1533" s="6" t="s">
        <v>3368</v>
      </c>
      <c r="I1533" s="6" t="s">
        <v>3544</v>
      </c>
      <c r="J1533" s="8">
        <v>45710</v>
      </c>
      <c r="K1533" s="8">
        <v>45305</v>
      </c>
      <c r="L1533" s="6">
        <v>23300.400000000001</v>
      </c>
      <c r="M1533" s="6">
        <v>12600.25</v>
      </c>
      <c r="N1533" s="6">
        <v>705</v>
      </c>
      <c r="O1533" s="6">
        <v>74000</v>
      </c>
      <c r="P1533" s="6" t="s">
        <v>26</v>
      </c>
      <c r="Q1533" s="6" t="s">
        <v>43</v>
      </c>
      <c r="R1533" s="6">
        <v>0</v>
      </c>
      <c r="S1533" s="6" t="s">
        <v>28</v>
      </c>
      <c r="T1533" s="7">
        <f t="shared" si="115"/>
        <v>0.17027364864864866</v>
      </c>
      <c r="U1533" s="6">
        <f t="shared" si="116"/>
        <v>1</v>
      </c>
      <c r="V1533" s="5" t="str">
        <f t="shared" si="117"/>
        <v>GOOD</v>
      </c>
      <c r="W1533" s="6" t="str">
        <f t="shared" si="118"/>
        <v>55+</v>
      </c>
      <c r="X1533" s="6" t="str">
        <f t="shared" si="119"/>
        <v>Low</v>
      </c>
    </row>
    <row r="1534" spans="1:24">
      <c r="A1534" s="6" t="s">
        <v>530</v>
      </c>
      <c r="B1534" s="6" t="s">
        <v>3369</v>
      </c>
      <c r="C1534" s="6" t="s">
        <v>57</v>
      </c>
      <c r="D1534" s="6" t="s">
        <v>219</v>
      </c>
      <c r="E1534" s="6" t="s">
        <v>220</v>
      </c>
      <c r="F1534" s="6">
        <v>69</v>
      </c>
      <c r="G1534" s="6" t="s">
        <v>24</v>
      </c>
      <c r="H1534" s="6" t="s">
        <v>3370</v>
      </c>
      <c r="I1534" s="6" t="s">
        <v>4403</v>
      </c>
      <c r="J1534" s="8">
        <v>45618</v>
      </c>
      <c r="K1534" s="8">
        <v>45303</v>
      </c>
      <c r="L1534" s="6">
        <v>53000.6</v>
      </c>
      <c r="M1534" s="6">
        <v>20200.8</v>
      </c>
      <c r="N1534" s="6">
        <v>710</v>
      </c>
      <c r="O1534" s="6">
        <v>90000</v>
      </c>
      <c r="P1534" s="6" t="s">
        <v>36</v>
      </c>
      <c r="Q1534" s="6" t="s">
        <v>27</v>
      </c>
      <c r="R1534" s="6">
        <v>0</v>
      </c>
      <c r="S1534" s="6" t="s">
        <v>28</v>
      </c>
      <c r="T1534" s="7">
        <f t="shared" si="115"/>
        <v>0.22445333333333334</v>
      </c>
      <c r="U1534" s="6">
        <f t="shared" si="116"/>
        <v>3</v>
      </c>
      <c r="V1534" s="5" t="str">
        <f t="shared" si="117"/>
        <v>GOOD</v>
      </c>
      <c r="W1534" s="6" t="str">
        <f t="shared" si="118"/>
        <v>55+</v>
      </c>
      <c r="X1534" s="6" t="str">
        <f t="shared" si="119"/>
        <v>Lower-Middle</v>
      </c>
    </row>
    <row r="1535" spans="1:24">
      <c r="A1535" s="6" t="s">
        <v>533</v>
      </c>
      <c r="B1535" s="6" t="s">
        <v>3371</v>
      </c>
      <c r="C1535" s="6" t="s">
        <v>52</v>
      </c>
      <c r="D1535" s="6" t="s">
        <v>204</v>
      </c>
      <c r="E1535" s="6" t="s">
        <v>259</v>
      </c>
      <c r="F1535" s="6">
        <v>76</v>
      </c>
      <c r="G1535" s="6" t="s">
        <v>34</v>
      </c>
      <c r="H1535" s="6" t="s">
        <v>3372</v>
      </c>
      <c r="I1535" s="6" t="s">
        <v>3563</v>
      </c>
      <c r="J1535" s="8">
        <v>44917</v>
      </c>
      <c r="K1535" s="8">
        <v>45301</v>
      </c>
      <c r="L1535" s="6">
        <v>84300.25</v>
      </c>
      <c r="M1535" s="6">
        <v>57400.9</v>
      </c>
      <c r="N1535" s="6">
        <v>695</v>
      </c>
      <c r="O1535" s="6">
        <v>125000</v>
      </c>
      <c r="P1535" s="6" t="s">
        <v>26</v>
      </c>
      <c r="Q1535" s="6" t="s">
        <v>27</v>
      </c>
      <c r="R1535" s="6">
        <v>0</v>
      </c>
      <c r="S1535" s="6" t="s">
        <v>28</v>
      </c>
      <c r="T1535" s="7">
        <f t="shared" si="115"/>
        <v>0.45920720000000004</v>
      </c>
      <c r="U1535" s="6">
        <f t="shared" si="116"/>
        <v>5</v>
      </c>
      <c r="V1535" s="5" t="str">
        <f t="shared" si="117"/>
        <v>GOOD</v>
      </c>
      <c r="W1535" s="6" t="str">
        <f t="shared" si="118"/>
        <v>55+</v>
      </c>
      <c r="X1535" s="6" t="str">
        <f t="shared" si="119"/>
        <v>Lower-Middle</v>
      </c>
    </row>
    <row r="1536" spans="1:24">
      <c r="A1536" s="6" t="s">
        <v>536</v>
      </c>
      <c r="B1536" s="6" t="s">
        <v>3373</v>
      </c>
      <c r="C1536" s="6" t="s">
        <v>39</v>
      </c>
      <c r="D1536" s="6" t="s">
        <v>195</v>
      </c>
      <c r="E1536" s="6" t="s">
        <v>300</v>
      </c>
      <c r="F1536" s="6">
        <v>84</v>
      </c>
      <c r="G1536" s="6" t="s">
        <v>24</v>
      </c>
      <c r="H1536" s="6" t="s">
        <v>3374</v>
      </c>
      <c r="I1536" s="6" t="s">
        <v>4404</v>
      </c>
      <c r="J1536" s="8">
        <v>44369</v>
      </c>
      <c r="K1536" s="8">
        <v>45300</v>
      </c>
      <c r="L1536" s="6">
        <v>149300.4</v>
      </c>
      <c r="M1536" s="6">
        <v>105000.6</v>
      </c>
      <c r="N1536" s="6">
        <v>670</v>
      </c>
      <c r="O1536" s="6">
        <v>192000</v>
      </c>
      <c r="P1536" s="6" t="s">
        <v>76</v>
      </c>
      <c r="Q1536" s="6" t="s">
        <v>27</v>
      </c>
      <c r="R1536" s="6">
        <v>0</v>
      </c>
      <c r="S1536" s="6" t="s">
        <v>28</v>
      </c>
      <c r="T1536" s="7">
        <f t="shared" si="115"/>
        <v>0.54687812499999999</v>
      </c>
      <c r="U1536" s="6">
        <f t="shared" si="116"/>
        <v>6</v>
      </c>
      <c r="V1536" s="5" t="str">
        <f t="shared" si="117"/>
        <v>GOOD</v>
      </c>
      <c r="W1536" s="6" t="str">
        <f t="shared" si="118"/>
        <v>55+</v>
      </c>
      <c r="X1536" s="6" t="str">
        <f t="shared" si="119"/>
        <v>High</v>
      </c>
    </row>
    <row r="1537" spans="1:24">
      <c r="A1537" s="6" t="s">
        <v>539</v>
      </c>
      <c r="B1537" s="6" t="s">
        <v>3375</v>
      </c>
      <c r="C1537" s="6" t="s">
        <v>21</v>
      </c>
      <c r="D1537" s="6" t="s">
        <v>58</v>
      </c>
      <c r="E1537" s="6" t="s">
        <v>59</v>
      </c>
      <c r="F1537" s="6">
        <v>92</v>
      </c>
      <c r="G1537" s="6" t="s">
        <v>34</v>
      </c>
      <c r="H1537" s="6" t="s">
        <v>3376</v>
      </c>
      <c r="I1537" s="6" t="s">
        <v>3861</v>
      </c>
      <c r="J1537" s="8">
        <v>43943</v>
      </c>
      <c r="K1537" s="8">
        <v>45299</v>
      </c>
      <c r="L1537" s="6">
        <v>316200.75</v>
      </c>
      <c r="M1537" s="6">
        <v>122000.8</v>
      </c>
      <c r="N1537" s="6">
        <v>835</v>
      </c>
      <c r="O1537" s="6">
        <v>337000</v>
      </c>
      <c r="P1537" s="6" t="s">
        <v>36</v>
      </c>
      <c r="Q1537" s="6" t="s">
        <v>27</v>
      </c>
      <c r="R1537" s="6">
        <v>0</v>
      </c>
      <c r="S1537" s="6" t="s">
        <v>28</v>
      </c>
      <c r="T1537" s="7">
        <f t="shared" si="115"/>
        <v>0.36202017804154302</v>
      </c>
      <c r="U1537" s="6">
        <f t="shared" si="116"/>
        <v>7</v>
      </c>
      <c r="V1537" s="5" t="str">
        <f t="shared" si="117"/>
        <v>EXCEPTIONAL</v>
      </c>
      <c r="W1537" s="6" t="str">
        <f t="shared" si="118"/>
        <v>55+</v>
      </c>
      <c r="X1537" s="6" t="str">
        <f t="shared" si="119"/>
        <v>High</v>
      </c>
    </row>
    <row r="1538" spans="1:24">
      <c r="A1538" s="6" t="s">
        <v>542</v>
      </c>
      <c r="B1538" s="6" t="s">
        <v>3377</v>
      </c>
      <c r="C1538" s="6" t="s">
        <v>52</v>
      </c>
      <c r="D1538" s="6" t="s">
        <v>68</v>
      </c>
      <c r="E1538" s="6" t="s">
        <v>179</v>
      </c>
      <c r="F1538" s="6">
        <v>79</v>
      </c>
      <c r="G1538" s="6" t="s">
        <v>34</v>
      </c>
      <c r="H1538" s="6" t="s">
        <v>3378</v>
      </c>
      <c r="I1538" s="6" t="s">
        <v>4393</v>
      </c>
      <c r="J1538" s="8">
        <v>44887</v>
      </c>
      <c r="K1538" s="8">
        <v>45302</v>
      </c>
      <c r="L1538" s="6">
        <v>93000.6</v>
      </c>
      <c r="M1538" s="6">
        <v>63000.25</v>
      </c>
      <c r="N1538" s="6">
        <v>665</v>
      </c>
      <c r="O1538" s="6">
        <v>145000</v>
      </c>
      <c r="P1538" s="6" t="s">
        <v>26</v>
      </c>
      <c r="Q1538" s="6" t="s">
        <v>27</v>
      </c>
      <c r="R1538" s="6">
        <v>0</v>
      </c>
      <c r="S1538" s="6" t="s">
        <v>28</v>
      </c>
      <c r="T1538" s="7">
        <f t="shared" ref="T1538:T1600" si="120">IFERROR(M1538/O1538,"")</f>
        <v>0.43448448275862067</v>
      </c>
      <c r="U1538" s="6">
        <f t="shared" ref="U1538:U1600" si="121">MAX($K$2:$K$1599)-K1538</f>
        <v>4</v>
      </c>
      <c r="V1538" s="5" t="str">
        <f t="shared" ref="V1538:V1600" si="122">IF(N1538&lt;670,"FAIR", IF(N1538&lt;750,"GOOD",IF(N1538&lt;800,"VERY GOOD","EXCEPTIONAL")))</f>
        <v>FAIR</v>
      </c>
      <c r="W1538" s="6" t="str">
        <f t="shared" ref="W1538:W1600" si="123">IF(F1538&lt;25,"18-24",IF(F1538&lt;35,"25-34",IF(F1538&lt;45,"35-44",IF(F1538&lt;55,"45-54","55+"))))</f>
        <v>55+</v>
      </c>
      <c r="X1538" s="6" t="str">
        <f t="shared" ref="X1538:X1600" si="124">IF(O1538&lt;=_xlfn.QUARTILE.INC($O$2:$O$1599,1),"Low",IF(O1538&lt;=_xlfn.QUARTILE.INC($O$2:$O$1599,2),"Lower-Middle",IF(O1538&lt;=_xlfn.QUARTILE.INC($O$2:$O$1599,3),"Upper-Middle","High")))</f>
        <v>Upper-Middle</v>
      </c>
    </row>
    <row r="1539" spans="1:24">
      <c r="A1539" s="6" t="s">
        <v>545</v>
      </c>
      <c r="B1539" s="6" t="s">
        <v>3379</v>
      </c>
      <c r="C1539" s="6" t="s">
        <v>46</v>
      </c>
      <c r="D1539" s="6" t="s">
        <v>241</v>
      </c>
      <c r="E1539" s="6" t="s">
        <v>389</v>
      </c>
      <c r="F1539" s="6">
        <v>71</v>
      </c>
      <c r="G1539" s="6" t="s">
        <v>24</v>
      </c>
      <c r="H1539" s="6" t="s">
        <v>3380</v>
      </c>
      <c r="I1539" s="6" t="s">
        <v>4405</v>
      </c>
      <c r="J1539" s="8">
        <v>45526</v>
      </c>
      <c r="K1539" s="8">
        <v>45303</v>
      </c>
      <c r="L1539" s="6">
        <v>116300.8</v>
      </c>
      <c r="M1539" s="6">
        <v>70500.399999999994</v>
      </c>
      <c r="N1539" s="6">
        <v>750</v>
      </c>
      <c r="O1539" s="6">
        <v>171000</v>
      </c>
      <c r="P1539" s="6" t="s">
        <v>26</v>
      </c>
      <c r="Q1539" s="6" t="s">
        <v>27</v>
      </c>
      <c r="R1539" s="6">
        <v>0</v>
      </c>
      <c r="S1539" s="6" t="s">
        <v>28</v>
      </c>
      <c r="T1539" s="7">
        <f t="shared" si="120"/>
        <v>0.41228304093567247</v>
      </c>
      <c r="U1539" s="6">
        <f t="shared" si="121"/>
        <v>3</v>
      </c>
      <c r="V1539" s="5" t="str">
        <f t="shared" si="122"/>
        <v>VERY GOOD</v>
      </c>
      <c r="W1539" s="6" t="str">
        <f t="shared" si="123"/>
        <v>55+</v>
      </c>
      <c r="X1539" s="6" t="str">
        <f t="shared" si="124"/>
        <v>Upper-Middle</v>
      </c>
    </row>
    <row r="1540" spans="1:24">
      <c r="A1540" s="6" t="s">
        <v>548</v>
      </c>
      <c r="B1540" s="6" t="s">
        <v>3381</v>
      </c>
      <c r="C1540" s="6" t="s">
        <v>57</v>
      </c>
      <c r="D1540" s="6" t="s">
        <v>22</v>
      </c>
      <c r="E1540" s="6" t="s">
        <v>381</v>
      </c>
      <c r="F1540" s="6">
        <v>67</v>
      </c>
      <c r="G1540" s="6" t="s">
        <v>34</v>
      </c>
      <c r="H1540" s="6" t="s">
        <v>3382</v>
      </c>
      <c r="I1540" s="6" t="s">
        <v>3941</v>
      </c>
      <c r="J1540" s="8">
        <v>45710</v>
      </c>
      <c r="K1540" s="8">
        <v>45305</v>
      </c>
      <c r="L1540" s="6">
        <v>55200.9</v>
      </c>
      <c r="M1540" s="6">
        <v>21200.75</v>
      </c>
      <c r="N1540" s="6">
        <v>770</v>
      </c>
      <c r="O1540" s="6">
        <v>102000</v>
      </c>
      <c r="P1540" s="6" t="s">
        <v>36</v>
      </c>
      <c r="Q1540" s="6" t="s">
        <v>27</v>
      </c>
      <c r="R1540" s="6">
        <v>0</v>
      </c>
      <c r="S1540" s="6" t="s">
        <v>28</v>
      </c>
      <c r="T1540" s="7">
        <f t="shared" si="120"/>
        <v>0.20785049019607843</v>
      </c>
      <c r="U1540" s="6">
        <f t="shared" si="121"/>
        <v>1</v>
      </c>
      <c r="V1540" s="5" t="str">
        <f t="shared" si="122"/>
        <v>VERY GOOD</v>
      </c>
      <c r="W1540" s="6" t="str">
        <f t="shared" si="123"/>
        <v>55+</v>
      </c>
      <c r="X1540" s="6" t="str">
        <f t="shared" si="124"/>
        <v>Lower-Middle</v>
      </c>
    </row>
    <row r="1541" spans="1:24">
      <c r="A1541" s="6" t="s">
        <v>551</v>
      </c>
      <c r="B1541" s="6" t="s">
        <v>3383</v>
      </c>
      <c r="C1541" s="6" t="s">
        <v>39</v>
      </c>
      <c r="D1541" s="6" t="s">
        <v>313</v>
      </c>
      <c r="E1541" s="6" t="s">
        <v>501</v>
      </c>
      <c r="F1541" s="6">
        <v>90</v>
      </c>
      <c r="G1541" s="6" t="s">
        <v>24</v>
      </c>
      <c r="H1541" s="6" t="s">
        <v>3384</v>
      </c>
      <c r="I1541" s="6" t="s">
        <v>4406</v>
      </c>
      <c r="J1541" s="8">
        <v>44126</v>
      </c>
      <c r="K1541" s="8">
        <v>45299</v>
      </c>
      <c r="L1541" s="6">
        <v>202400.25</v>
      </c>
      <c r="M1541" s="6">
        <v>126000.8</v>
      </c>
      <c r="N1541" s="6">
        <v>645</v>
      </c>
      <c r="O1541" s="6">
        <v>242000</v>
      </c>
      <c r="P1541" s="6" t="s">
        <v>76</v>
      </c>
      <c r="Q1541" s="6" t="s">
        <v>27</v>
      </c>
      <c r="R1541" s="6">
        <v>0</v>
      </c>
      <c r="S1541" s="6" t="s">
        <v>28</v>
      </c>
      <c r="T1541" s="7">
        <f t="shared" si="120"/>
        <v>0.52066446280991741</v>
      </c>
      <c r="U1541" s="6">
        <f t="shared" si="121"/>
        <v>7</v>
      </c>
      <c r="V1541" s="5" t="str">
        <f t="shared" si="122"/>
        <v>FAIR</v>
      </c>
      <c r="W1541" s="6" t="str">
        <f t="shared" si="123"/>
        <v>55+</v>
      </c>
      <c r="X1541" s="6" t="str">
        <f t="shared" si="124"/>
        <v>High</v>
      </c>
    </row>
    <row r="1542" spans="1:24">
      <c r="A1542" s="6" t="s">
        <v>554</v>
      </c>
      <c r="B1542" s="6" t="s">
        <v>3385</v>
      </c>
      <c r="C1542" s="6" t="s">
        <v>31</v>
      </c>
      <c r="D1542" s="6" t="s">
        <v>214</v>
      </c>
      <c r="E1542" s="6" t="s">
        <v>483</v>
      </c>
      <c r="F1542" s="6">
        <v>63</v>
      </c>
      <c r="G1542" s="6" t="s">
        <v>34</v>
      </c>
      <c r="H1542" s="6" t="s">
        <v>3386</v>
      </c>
      <c r="I1542" s="6" t="s">
        <v>4407</v>
      </c>
      <c r="J1542" s="8">
        <v>45716</v>
      </c>
      <c r="K1542" s="8">
        <v>45306</v>
      </c>
      <c r="L1542" s="6">
        <v>47200.5</v>
      </c>
      <c r="M1542" s="6">
        <v>20800.400000000001</v>
      </c>
      <c r="N1542" s="6">
        <v>720</v>
      </c>
      <c r="O1542" s="6">
        <v>79000</v>
      </c>
      <c r="P1542" s="6" t="s">
        <v>36</v>
      </c>
      <c r="Q1542" s="6" t="s">
        <v>27</v>
      </c>
      <c r="R1542" s="6">
        <v>0</v>
      </c>
      <c r="S1542" s="6" t="s">
        <v>28</v>
      </c>
      <c r="T1542" s="7">
        <f t="shared" si="120"/>
        <v>0.2632962025316456</v>
      </c>
      <c r="U1542" s="6">
        <f t="shared" si="121"/>
        <v>0</v>
      </c>
      <c r="V1542" s="5" t="str">
        <f t="shared" si="122"/>
        <v>GOOD</v>
      </c>
      <c r="W1542" s="6" t="str">
        <f t="shared" si="123"/>
        <v>55+</v>
      </c>
      <c r="X1542" s="6" t="str">
        <f t="shared" si="124"/>
        <v>Lower-Middle</v>
      </c>
    </row>
    <row r="1543" spans="1:24">
      <c r="A1543" s="6" t="s">
        <v>108</v>
      </c>
      <c r="B1543" s="6" t="s">
        <v>3387</v>
      </c>
      <c r="C1543" s="6" t="s">
        <v>84</v>
      </c>
      <c r="D1543" s="6" t="s">
        <v>32</v>
      </c>
      <c r="E1543" s="6" t="s">
        <v>33</v>
      </c>
      <c r="F1543" s="6">
        <v>59</v>
      </c>
      <c r="G1543" s="6" t="s">
        <v>24</v>
      </c>
      <c r="H1543" s="6" t="s">
        <v>3388</v>
      </c>
      <c r="I1543" s="6" t="s">
        <v>3544</v>
      </c>
      <c r="J1543" s="8">
        <v>45716</v>
      </c>
      <c r="K1543" s="8">
        <v>45304</v>
      </c>
      <c r="L1543" s="6">
        <v>5550.8</v>
      </c>
      <c r="M1543" s="6">
        <v>16000.25</v>
      </c>
      <c r="N1543" s="6">
        <v>605</v>
      </c>
      <c r="O1543" s="6">
        <v>55000</v>
      </c>
      <c r="P1543" s="6" t="s">
        <v>76</v>
      </c>
      <c r="Q1543" s="6" t="s">
        <v>43</v>
      </c>
      <c r="R1543" s="6">
        <v>0</v>
      </c>
      <c r="S1543" s="6" t="s">
        <v>28</v>
      </c>
      <c r="T1543" s="7">
        <f t="shared" si="120"/>
        <v>0.29091363636363637</v>
      </c>
      <c r="U1543" s="6">
        <f t="shared" si="121"/>
        <v>2</v>
      </c>
      <c r="V1543" s="5" t="str">
        <f t="shared" si="122"/>
        <v>FAIR</v>
      </c>
      <c r="W1543" s="6" t="str">
        <f t="shared" si="123"/>
        <v>55+</v>
      </c>
      <c r="X1543" s="6" t="str">
        <f t="shared" si="124"/>
        <v>Low</v>
      </c>
    </row>
    <row r="1544" spans="1:24">
      <c r="A1544" s="6" t="s">
        <v>559</v>
      </c>
      <c r="B1544" s="6" t="s">
        <v>3389</v>
      </c>
      <c r="C1544" s="6" t="s">
        <v>46</v>
      </c>
      <c r="D1544" s="6" t="s">
        <v>254</v>
      </c>
      <c r="E1544" s="6" t="s">
        <v>255</v>
      </c>
      <c r="F1544" s="6">
        <v>73</v>
      </c>
      <c r="G1544" s="6" t="s">
        <v>34</v>
      </c>
      <c r="H1544" s="6" t="s">
        <v>3390</v>
      </c>
      <c r="I1544" s="6" t="s">
        <v>4408</v>
      </c>
      <c r="J1544" s="8">
        <v>45404</v>
      </c>
      <c r="K1544" s="8">
        <v>45302</v>
      </c>
      <c r="L1544" s="6">
        <v>103000.4</v>
      </c>
      <c r="M1544" s="6">
        <v>65200.75</v>
      </c>
      <c r="N1544" s="6">
        <v>710</v>
      </c>
      <c r="O1544" s="6">
        <v>153000</v>
      </c>
      <c r="P1544" s="6" t="s">
        <v>26</v>
      </c>
      <c r="Q1544" s="6" t="s">
        <v>27</v>
      </c>
      <c r="R1544" s="6">
        <v>0</v>
      </c>
      <c r="S1544" s="6" t="s">
        <v>28</v>
      </c>
      <c r="T1544" s="7">
        <f t="shared" si="120"/>
        <v>0.42614869281045753</v>
      </c>
      <c r="U1544" s="6">
        <f t="shared" si="121"/>
        <v>4</v>
      </c>
      <c r="V1544" s="5" t="str">
        <f t="shared" si="122"/>
        <v>GOOD</v>
      </c>
      <c r="W1544" s="6" t="str">
        <f t="shared" si="123"/>
        <v>55+</v>
      </c>
      <c r="X1544" s="6" t="str">
        <f t="shared" si="124"/>
        <v>Upper-Middle</v>
      </c>
    </row>
    <row r="1545" spans="1:24">
      <c r="A1545" s="6" t="s">
        <v>562</v>
      </c>
      <c r="B1545" s="6" t="s">
        <v>3391</v>
      </c>
      <c r="C1545" s="6" t="s">
        <v>39</v>
      </c>
      <c r="D1545" s="6" t="s">
        <v>47</v>
      </c>
      <c r="E1545" s="6" t="s">
        <v>48</v>
      </c>
      <c r="F1545" s="6">
        <v>87</v>
      </c>
      <c r="G1545" s="6" t="s">
        <v>24</v>
      </c>
      <c r="H1545" s="6" t="s">
        <v>3392</v>
      </c>
      <c r="I1545" s="6" t="s">
        <v>3867</v>
      </c>
      <c r="J1545" s="8">
        <v>44277</v>
      </c>
      <c r="K1545" s="8">
        <v>45300</v>
      </c>
      <c r="L1545" s="6">
        <v>182600.6</v>
      </c>
      <c r="M1545" s="6">
        <v>119000.25</v>
      </c>
      <c r="N1545" s="6">
        <v>675</v>
      </c>
      <c r="O1545" s="6">
        <v>222000</v>
      </c>
      <c r="P1545" s="6" t="s">
        <v>76</v>
      </c>
      <c r="Q1545" s="6" t="s">
        <v>27</v>
      </c>
      <c r="R1545" s="6">
        <v>0</v>
      </c>
      <c r="S1545" s="6" t="s">
        <v>28</v>
      </c>
      <c r="T1545" s="7">
        <f t="shared" si="120"/>
        <v>0.53603716216216213</v>
      </c>
      <c r="U1545" s="6">
        <f t="shared" si="121"/>
        <v>6</v>
      </c>
      <c r="V1545" s="5" t="str">
        <f t="shared" si="122"/>
        <v>GOOD</v>
      </c>
      <c r="W1545" s="6" t="str">
        <f t="shared" si="123"/>
        <v>55+</v>
      </c>
      <c r="X1545" s="6" t="str">
        <f t="shared" si="124"/>
        <v>High</v>
      </c>
    </row>
    <row r="1546" spans="1:24">
      <c r="A1546" s="6" t="s">
        <v>565</v>
      </c>
      <c r="B1546" s="6" t="s">
        <v>3393</v>
      </c>
      <c r="C1546" s="6" t="s">
        <v>52</v>
      </c>
      <c r="D1546" s="6" t="s">
        <v>233</v>
      </c>
      <c r="E1546" s="6" t="s">
        <v>296</v>
      </c>
      <c r="F1546" s="6">
        <v>72</v>
      </c>
      <c r="G1546" s="6" t="s">
        <v>34</v>
      </c>
      <c r="H1546" s="6" t="s">
        <v>3394</v>
      </c>
      <c r="I1546" s="6" t="s">
        <v>3557</v>
      </c>
      <c r="J1546" s="8">
        <v>45191</v>
      </c>
      <c r="K1546" s="8">
        <v>45301</v>
      </c>
      <c r="L1546" s="6">
        <v>79400.75</v>
      </c>
      <c r="M1546" s="6">
        <v>56300.800000000003</v>
      </c>
      <c r="N1546" s="6">
        <v>725</v>
      </c>
      <c r="O1546" s="6">
        <v>119000</v>
      </c>
      <c r="P1546" s="6" t="s">
        <v>26</v>
      </c>
      <c r="Q1546" s="6" t="s">
        <v>27</v>
      </c>
      <c r="R1546" s="6">
        <v>0</v>
      </c>
      <c r="S1546" s="6" t="s">
        <v>28</v>
      </c>
      <c r="T1546" s="7">
        <f t="shared" si="120"/>
        <v>0.47311596638655462</v>
      </c>
      <c r="U1546" s="6">
        <f t="shared" si="121"/>
        <v>5</v>
      </c>
      <c r="V1546" s="5" t="str">
        <f t="shared" si="122"/>
        <v>GOOD</v>
      </c>
      <c r="W1546" s="6" t="str">
        <f t="shared" si="123"/>
        <v>55+</v>
      </c>
      <c r="X1546" s="6" t="str">
        <f t="shared" si="124"/>
        <v>Lower-Middle</v>
      </c>
    </row>
    <row r="1547" spans="1:24">
      <c r="A1547" s="6" t="s">
        <v>568</v>
      </c>
      <c r="B1547" s="6" t="s">
        <v>3395</v>
      </c>
      <c r="C1547" s="6" t="s">
        <v>57</v>
      </c>
      <c r="D1547" s="6" t="s">
        <v>79</v>
      </c>
      <c r="E1547" s="6" t="s">
        <v>102</v>
      </c>
      <c r="F1547" s="6">
        <v>70</v>
      </c>
      <c r="G1547" s="6" t="s">
        <v>24</v>
      </c>
      <c r="H1547" s="6" t="s">
        <v>3396</v>
      </c>
      <c r="I1547" s="6" t="s">
        <v>3519</v>
      </c>
      <c r="J1547" s="8">
        <v>45648</v>
      </c>
      <c r="K1547" s="8">
        <v>45303</v>
      </c>
      <c r="L1547" s="6">
        <v>57400.4</v>
      </c>
      <c r="M1547" s="6">
        <v>22000.9</v>
      </c>
      <c r="N1547" s="6">
        <v>740</v>
      </c>
      <c r="O1547" s="6">
        <v>105000</v>
      </c>
      <c r="P1547" s="6" t="s">
        <v>36</v>
      </c>
      <c r="Q1547" s="6" t="s">
        <v>27</v>
      </c>
      <c r="R1547" s="6">
        <v>0</v>
      </c>
      <c r="S1547" s="6" t="s">
        <v>28</v>
      </c>
      <c r="T1547" s="7">
        <f t="shared" si="120"/>
        <v>0.20953238095238097</v>
      </c>
      <c r="U1547" s="6">
        <f t="shared" si="121"/>
        <v>3</v>
      </c>
      <c r="V1547" s="5" t="str">
        <f t="shared" si="122"/>
        <v>GOOD</v>
      </c>
      <c r="W1547" s="6" t="str">
        <f t="shared" si="123"/>
        <v>55+</v>
      </c>
      <c r="X1547" s="6" t="str">
        <f t="shared" si="124"/>
        <v>Lower-Middle</v>
      </c>
    </row>
    <row r="1548" spans="1:24">
      <c r="A1548" s="6" t="s">
        <v>571</v>
      </c>
      <c r="B1548" s="6" t="s">
        <v>3397</v>
      </c>
      <c r="C1548" s="6" t="s">
        <v>21</v>
      </c>
      <c r="D1548" s="6" t="s">
        <v>63</v>
      </c>
      <c r="E1548" s="6" t="s">
        <v>106</v>
      </c>
      <c r="F1548" s="6">
        <v>93</v>
      </c>
      <c r="G1548" s="6" t="s">
        <v>34</v>
      </c>
      <c r="H1548" s="6" t="s">
        <v>3398</v>
      </c>
      <c r="I1548" s="6" t="s">
        <v>4409</v>
      </c>
      <c r="J1548" s="8">
        <v>43821</v>
      </c>
      <c r="K1548" s="8">
        <v>45299</v>
      </c>
      <c r="L1548" s="6">
        <v>271500.90000000002</v>
      </c>
      <c r="M1548" s="6">
        <v>109000.6</v>
      </c>
      <c r="N1548" s="6">
        <v>830</v>
      </c>
      <c r="O1548" s="6">
        <v>317000</v>
      </c>
      <c r="P1548" s="6" t="s">
        <v>36</v>
      </c>
      <c r="Q1548" s="6" t="s">
        <v>27</v>
      </c>
      <c r="R1548" s="6">
        <v>0</v>
      </c>
      <c r="S1548" s="6" t="s">
        <v>28</v>
      </c>
      <c r="T1548" s="7">
        <f t="shared" si="120"/>
        <v>0.34385047318611989</v>
      </c>
      <c r="U1548" s="6">
        <f t="shared" si="121"/>
        <v>7</v>
      </c>
      <c r="V1548" s="5" t="str">
        <f t="shared" si="122"/>
        <v>EXCEPTIONAL</v>
      </c>
      <c r="W1548" s="6" t="str">
        <f t="shared" si="123"/>
        <v>55+</v>
      </c>
      <c r="X1548" s="6" t="str">
        <f t="shared" si="124"/>
        <v>High</v>
      </c>
    </row>
    <row r="1549" spans="1:24">
      <c r="A1549" s="6" t="s">
        <v>574</v>
      </c>
      <c r="B1549" s="6" t="s">
        <v>3399</v>
      </c>
      <c r="C1549" s="6" t="s">
        <v>39</v>
      </c>
      <c r="D1549" s="6" t="s">
        <v>68</v>
      </c>
      <c r="E1549" s="6" t="s">
        <v>114</v>
      </c>
      <c r="F1549" s="6">
        <v>85</v>
      </c>
      <c r="G1549" s="6" t="s">
        <v>24</v>
      </c>
      <c r="H1549" s="6" t="s">
        <v>3400</v>
      </c>
      <c r="I1549" s="6" t="s">
        <v>4410</v>
      </c>
      <c r="J1549" s="8">
        <v>44420</v>
      </c>
      <c r="K1549" s="8">
        <v>45300</v>
      </c>
      <c r="L1549" s="6">
        <v>160400.25</v>
      </c>
      <c r="M1549" s="6">
        <v>111000.4</v>
      </c>
      <c r="N1549" s="6">
        <v>655</v>
      </c>
      <c r="O1549" s="6">
        <v>207000</v>
      </c>
      <c r="P1549" s="6" t="s">
        <v>76</v>
      </c>
      <c r="Q1549" s="6" t="s">
        <v>27</v>
      </c>
      <c r="R1549" s="6">
        <v>0</v>
      </c>
      <c r="S1549" s="6" t="s">
        <v>28</v>
      </c>
      <c r="T1549" s="7">
        <f t="shared" si="120"/>
        <v>0.53623381642512069</v>
      </c>
      <c r="U1549" s="6">
        <f t="shared" si="121"/>
        <v>6</v>
      </c>
      <c r="V1549" s="5" t="str">
        <f t="shared" si="122"/>
        <v>FAIR</v>
      </c>
      <c r="W1549" s="6" t="str">
        <f t="shared" si="123"/>
        <v>55+</v>
      </c>
      <c r="X1549" s="6" t="str">
        <f t="shared" si="124"/>
        <v>High</v>
      </c>
    </row>
    <row r="1550" spans="1:24">
      <c r="A1550" s="6" t="s">
        <v>577</v>
      </c>
      <c r="B1550" s="6" t="s">
        <v>3401</v>
      </c>
      <c r="C1550" s="6" t="s">
        <v>46</v>
      </c>
      <c r="D1550" s="6" t="s">
        <v>85</v>
      </c>
      <c r="E1550" s="6" t="s">
        <v>130</v>
      </c>
      <c r="F1550" s="6">
        <v>74</v>
      </c>
      <c r="G1550" s="6" t="s">
        <v>34</v>
      </c>
      <c r="H1550" s="6" t="s">
        <v>3402</v>
      </c>
      <c r="I1550" s="6" t="s">
        <v>3870</v>
      </c>
      <c r="J1550" s="8">
        <v>45313</v>
      </c>
      <c r="K1550" s="8">
        <v>45302</v>
      </c>
      <c r="L1550" s="6">
        <v>121900.6</v>
      </c>
      <c r="M1550" s="6">
        <v>73200.75</v>
      </c>
      <c r="N1550" s="6">
        <v>760</v>
      </c>
      <c r="O1550" s="6">
        <v>176000</v>
      </c>
      <c r="P1550" s="6" t="s">
        <v>26</v>
      </c>
      <c r="Q1550" s="6" t="s">
        <v>27</v>
      </c>
      <c r="R1550" s="6">
        <v>0</v>
      </c>
      <c r="S1550" s="6" t="s">
        <v>28</v>
      </c>
      <c r="T1550" s="7">
        <f t="shared" si="120"/>
        <v>0.4159133522727273</v>
      </c>
      <c r="U1550" s="6">
        <f t="shared" si="121"/>
        <v>4</v>
      </c>
      <c r="V1550" s="5" t="str">
        <f t="shared" si="122"/>
        <v>VERY GOOD</v>
      </c>
      <c r="W1550" s="6" t="str">
        <f t="shared" si="123"/>
        <v>55+</v>
      </c>
      <c r="X1550" s="6" t="str">
        <f t="shared" si="124"/>
        <v>Upper-Middle</v>
      </c>
    </row>
    <row r="1551" spans="1:24">
      <c r="A1551" s="6" t="s">
        <v>458</v>
      </c>
      <c r="B1551" s="6" t="s">
        <v>3403</v>
      </c>
      <c r="C1551" s="6" t="s">
        <v>31</v>
      </c>
      <c r="D1551" s="6" t="s">
        <v>460</v>
      </c>
      <c r="E1551" s="6" t="s">
        <v>461</v>
      </c>
      <c r="F1551" s="6">
        <v>65</v>
      </c>
      <c r="G1551" s="6" t="s">
        <v>24</v>
      </c>
      <c r="H1551" s="6" t="s">
        <v>3404</v>
      </c>
      <c r="I1551" s="6" t="s">
        <v>4411</v>
      </c>
      <c r="J1551" s="8">
        <v>45716</v>
      </c>
      <c r="K1551" s="8">
        <v>45306</v>
      </c>
      <c r="L1551" s="6">
        <v>26900.25</v>
      </c>
      <c r="M1551" s="6">
        <v>16000.8</v>
      </c>
      <c r="N1551" s="6">
        <v>695</v>
      </c>
      <c r="O1551" s="6">
        <v>76000</v>
      </c>
      <c r="P1551" s="6" t="s">
        <v>26</v>
      </c>
      <c r="Q1551" s="6" t="s">
        <v>43</v>
      </c>
      <c r="R1551" s="6">
        <v>0</v>
      </c>
      <c r="S1551" s="6" t="s">
        <v>28</v>
      </c>
      <c r="T1551" s="7">
        <f t="shared" si="120"/>
        <v>0.21053684210526316</v>
      </c>
      <c r="U1551" s="6">
        <f t="shared" si="121"/>
        <v>0</v>
      </c>
      <c r="V1551" s="5" t="str">
        <f t="shared" si="122"/>
        <v>GOOD</v>
      </c>
      <c r="W1551" s="6" t="str">
        <f t="shared" si="123"/>
        <v>55+</v>
      </c>
      <c r="X1551" s="6" t="str">
        <f t="shared" si="124"/>
        <v>Lower-Middle</v>
      </c>
    </row>
    <row r="1552" spans="1:24">
      <c r="A1552" s="6" t="s">
        <v>582</v>
      </c>
      <c r="B1552" s="6" t="s">
        <v>3405</v>
      </c>
      <c r="C1552" s="6" t="s">
        <v>57</v>
      </c>
      <c r="D1552" s="6" t="s">
        <v>22</v>
      </c>
      <c r="E1552" s="6" t="s">
        <v>23</v>
      </c>
      <c r="F1552" s="6">
        <v>68</v>
      </c>
      <c r="G1552" s="6" t="s">
        <v>34</v>
      </c>
      <c r="H1552" s="6" t="s">
        <v>3406</v>
      </c>
      <c r="I1552" s="6" t="s">
        <v>3990</v>
      </c>
      <c r="J1552" s="8">
        <v>45587</v>
      </c>
      <c r="K1552" s="8">
        <v>45303</v>
      </c>
      <c r="L1552" s="6">
        <v>56300.9</v>
      </c>
      <c r="M1552" s="6">
        <v>21600.25</v>
      </c>
      <c r="N1552" s="6">
        <v>755</v>
      </c>
      <c r="O1552" s="6">
        <v>98000</v>
      </c>
      <c r="P1552" s="6" t="s">
        <v>36</v>
      </c>
      <c r="Q1552" s="6" t="s">
        <v>27</v>
      </c>
      <c r="R1552" s="6">
        <v>0</v>
      </c>
      <c r="S1552" s="6" t="s">
        <v>28</v>
      </c>
      <c r="T1552" s="7">
        <f t="shared" si="120"/>
        <v>0.22041071428571429</v>
      </c>
      <c r="U1552" s="6">
        <f t="shared" si="121"/>
        <v>3</v>
      </c>
      <c r="V1552" s="5" t="str">
        <f t="shared" si="122"/>
        <v>VERY GOOD</v>
      </c>
      <c r="W1552" s="6" t="str">
        <f t="shared" si="123"/>
        <v>55+</v>
      </c>
      <c r="X1552" s="6" t="str">
        <f t="shared" si="124"/>
        <v>Lower-Middle</v>
      </c>
    </row>
    <row r="1553" spans="1:24">
      <c r="A1553" s="6" t="s">
        <v>55</v>
      </c>
      <c r="B1553" s="6" t="s">
        <v>3407</v>
      </c>
      <c r="C1553" s="6" t="s">
        <v>39</v>
      </c>
      <c r="D1553" s="6" t="s">
        <v>58</v>
      </c>
      <c r="E1553" s="6" t="s">
        <v>122</v>
      </c>
      <c r="F1553" s="6">
        <v>86</v>
      </c>
      <c r="G1553" s="6" t="s">
        <v>24</v>
      </c>
      <c r="H1553" s="6" t="s">
        <v>3408</v>
      </c>
      <c r="I1553" s="6" t="s">
        <v>3873</v>
      </c>
      <c r="J1553" s="8">
        <v>44338</v>
      </c>
      <c r="K1553" s="8">
        <v>45300</v>
      </c>
      <c r="L1553" s="6">
        <v>193300.4</v>
      </c>
      <c r="M1553" s="6">
        <v>124000.75</v>
      </c>
      <c r="N1553" s="6">
        <v>685</v>
      </c>
      <c r="O1553" s="6">
        <v>232000</v>
      </c>
      <c r="P1553" s="6" t="s">
        <v>76</v>
      </c>
      <c r="Q1553" s="6" t="s">
        <v>27</v>
      </c>
      <c r="R1553" s="6">
        <v>0</v>
      </c>
      <c r="S1553" s="6" t="s">
        <v>28</v>
      </c>
      <c r="T1553" s="7">
        <f t="shared" si="120"/>
        <v>0.5344859913793103</v>
      </c>
      <c r="U1553" s="6">
        <f t="shared" si="121"/>
        <v>6</v>
      </c>
      <c r="V1553" s="5" t="str">
        <f t="shared" si="122"/>
        <v>GOOD</v>
      </c>
      <c r="W1553" s="6" t="str">
        <f t="shared" si="123"/>
        <v>55+</v>
      </c>
      <c r="X1553" s="6" t="str">
        <f t="shared" si="124"/>
        <v>High</v>
      </c>
    </row>
    <row r="1554" spans="1:24">
      <c r="A1554" s="6" t="s">
        <v>469</v>
      </c>
      <c r="B1554" s="6" t="s">
        <v>3409</v>
      </c>
      <c r="C1554" s="6" t="s">
        <v>52</v>
      </c>
      <c r="D1554" s="6" t="s">
        <v>471</v>
      </c>
      <c r="E1554" s="6" t="s">
        <v>472</v>
      </c>
      <c r="F1554" s="6">
        <v>77</v>
      </c>
      <c r="G1554" s="6" t="s">
        <v>34</v>
      </c>
      <c r="H1554" s="6" t="s">
        <v>3410</v>
      </c>
      <c r="I1554" s="6" t="s">
        <v>4412</v>
      </c>
      <c r="J1554" s="8">
        <v>44979</v>
      </c>
      <c r="K1554" s="8">
        <v>45301</v>
      </c>
      <c r="L1554" s="6">
        <v>86300.800000000003</v>
      </c>
      <c r="M1554" s="6">
        <v>59400.6</v>
      </c>
      <c r="N1554" s="6">
        <v>715</v>
      </c>
      <c r="O1554" s="6">
        <v>131000</v>
      </c>
      <c r="P1554" s="6" t="s">
        <v>26</v>
      </c>
      <c r="Q1554" s="6" t="s">
        <v>27</v>
      </c>
      <c r="R1554" s="6">
        <v>0</v>
      </c>
      <c r="S1554" s="6" t="s">
        <v>28</v>
      </c>
      <c r="T1554" s="7">
        <f t="shared" si="120"/>
        <v>0.45343969465648853</v>
      </c>
      <c r="U1554" s="6">
        <f t="shared" si="121"/>
        <v>5</v>
      </c>
      <c r="V1554" s="5" t="str">
        <f t="shared" si="122"/>
        <v>GOOD</v>
      </c>
      <c r="W1554" s="6" t="str">
        <f t="shared" si="123"/>
        <v>55+</v>
      </c>
      <c r="X1554" s="6" t="str">
        <f t="shared" si="124"/>
        <v>Upper-Middle</v>
      </c>
    </row>
    <row r="1555" spans="1:24">
      <c r="A1555" s="6" t="s">
        <v>474</v>
      </c>
      <c r="B1555" s="6" t="s">
        <v>3411</v>
      </c>
      <c r="C1555" s="6" t="s">
        <v>46</v>
      </c>
      <c r="D1555" s="6" t="s">
        <v>345</v>
      </c>
      <c r="E1555" s="6" t="s">
        <v>476</v>
      </c>
      <c r="F1555" s="6">
        <v>80</v>
      </c>
      <c r="G1555" s="6" t="s">
        <v>24</v>
      </c>
      <c r="H1555" s="6" t="s">
        <v>3412</v>
      </c>
      <c r="I1555" s="6" t="s">
        <v>3875</v>
      </c>
      <c r="J1555" s="8">
        <v>44887</v>
      </c>
      <c r="K1555" s="8">
        <v>45302</v>
      </c>
      <c r="L1555" s="6">
        <v>114100.25</v>
      </c>
      <c r="M1555" s="6">
        <v>69400.399999999994</v>
      </c>
      <c r="N1555" s="6">
        <v>680</v>
      </c>
      <c r="O1555" s="6">
        <v>160000</v>
      </c>
      <c r="P1555" s="6" t="s">
        <v>26</v>
      </c>
      <c r="Q1555" s="6" t="s">
        <v>27</v>
      </c>
      <c r="R1555" s="6">
        <v>0</v>
      </c>
      <c r="S1555" s="6" t="s">
        <v>28</v>
      </c>
      <c r="T1555" s="7">
        <f t="shared" si="120"/>
        <v>0.43375249999999999</v>
      </c>
      <c r="U1555" s="6">
        <f t="shared" si="121"/>
        <v>4</v>
      </c>
      <c r="V1555" s="5" t="str">
        <f t="shared" si="122"/>
        <v>GOOD</v>
      </c>
      <c r="W1555" s="6" t="str">
        <f t="shared" si="123"/>
        <v>55+</v>
      </c>
      <c r="X1555" s="6" t="str">
        <f t="shared" si="124"/>
        <v>Upper-Middle</v>
      </c>
    </row>
    <row r="1556" spans="1:24">
      <c r="A1556" s="6" t="s">
        <v>592</v>
      </c>
      <c r="B1556" s="6" t="s">
        <v>3413</v>
      </c>
      <c r="C1556" s="6" t="s">
        <v>84</v>
      </c>
      <c r="D1556" s="6" t="s">
        <v>32</v>
      </c>
      <c r="E1556" s="6" t="s">
        <v>90</v>
      </c>
      <c r="F1556" s="6">
        <v>60</v>
      </c>
      <c r="G1556" s="6" t="s">
        <v>34</v>
      </c>
      <c r="H1556" s="6" t="s">
        <v>3414</v>
      </c>
      <c r="I1556" s="6" t="s">
        <v>3688</v>
      </c>
      <c r="J1556" s="8">
        <v>45721</v>
      </c>
      <c r="K1556" s="8">
        <v>45304</v>
      </c>
      <c r="L1556" s="6">
        <v>5650.4</v>
      </c>
      <c r="M1556" s="6">
        <v>16600.75</v>
      </c>
      <c r="N1556" s="6">
        <v>610</v>
      </c>
      <c r="O1556" s="6">
        <v>56000</v>
      </c>
      <c r="P1556" s="6" t="s">
        <v>76</v>
      </c>
      <c r="Q1556" s="6" t="s">
        <v>43</v>
      </c>
      <c r="R1556" s="6">
        <v>0</v>
      </c>
      <c r="S1556" s="6" t="s">
        <v>28</v>
      </c>
      <c r="T1556" s="7">
        <f t="shared" si="120"/>
        <v>0.29644196428571429</v>
      </c>
      <c r="U1556" s="6">
        <f t="shared" si="121"/>
        <v>2</v>
      </c>
      <c r="V1556" s="5" t="str">
        <f t="shared" si="122"/>
        <v>FAIR</v>
      </c>
      <c r="W1556" s="6" t="str">
        <f t="shared" si="123"/>
        <v>55+</v>
      </c>
      <c r="X1556" s="6" t="str">
        <f t="shared" si="124"/>
        <v>Low</v>
      </c>
    </row>
    <row r="1557" spans="1:24">
      <c r="A1557" s="6" t="s">
        <v>595</v>
      </c>
      <c r="B1557" s="6" t="s">
        <v>3415</v>
      </c>
      <c r="C1557" s="6" t="s">
        <v>21</v>
      </c>
      <c r="D1557" s="6" t="s">
        <v>209</v>
      </c>
      <c r="E1557" s="6" t="s">
        <v>210</v>
      </c>
      <c r="F1557" s="6">
        <v>92</v>
      </c>
      <c r="G1557" s="6" t="s">
        <v>24</v>
      </c>
      <c r="H1557" s="6" t="s">
        <v>3416</v>
      </c>
      <c r="I1557" s="6" t="s">
        <v>4072</v>
      </c>
      <c r="J1557" s="8">
        <v>44034</v>
      </c>
      <c r="K1557" s="8">
        <v>45299</v>
      </c>
      <c r="L1557" s="6">
        <v>291300.8</v>
      </c>
      <c r="M1557" s="6">
        <v>115000.25</v>
      </c>
      <c r="N1557" s="6">
        <v>825</v>
      </c>
      <c r="O1557" s="6">
        <v>312000</v>
      </c>
      <c r="P1557" s="6" t="s">
        <v>36</v>
      </c>
      <c r="Q1557" s="6" t="s">
        <v>27</v>
      </c>
      <c r="R1557" s="6">
        <v>0</v>
      </c>
      <c r="S1557" s="6" t="s">
        <v>28</v>
      </c>
      <c r="T1557" s="7">
        <f t="shared" si="120"/>
        <v>0.36859054487179488</v>
      </c>
      <c r="U1557" s="6">
        <f t="shared" si="121"/>
        <v>7</v>
      </c>
      <c r="V1557" s="5" t="str">
        <f t="shared" si="122"/>
        <v>EXCEPTIONAL</v>
      </c>
      <c r="W1557" s="6" t="str">
        <f t="shared" si="123"/>
        <v>55+</v>
      </c>
      <c r="X1557" s="6" t="str">
        <f t="shared" si="124"/>
        <v>High</v>
      </c>
    </row>
    <row r="1558" spans="1:24">
      <c r="A1558" s="6" t="s">
        <v>226</v>
      </c>
      <c r="B1558" s="6" t="s">
        <v>3417</v>
      </c>
      <c r="C1558" s="6" t="s">
        <v>57</v>
      </c>
      <c r="D1558" s="6" t="s">
        <v>228</v>
      </c>
      <c r="E1558" s="6" t="s">
        <v>678</v>
      </c>
      <c r="F1558" s="6">
        <v>67</v>
      </c>
      <c r="G1558" s="6" t="s">
        <v>34</v>
      </c>
      <c r="H1558" s="6" t="s">
        <v>3418</v>
      </c>
      <c r="I1558" s="6" t="s">
        <v>4413</v>
      </c>
      <c r="J1558" s="8">
        <v>45769</v>
      </c>
      <c r="K1558" s="8">
        <v>45305</v>
      </c>
      <c r="L1558" s="6">
        <v>53000.75</v>
      </c>
      <c r="M1558" s="6">
        <v>20000.400000000001</v>
      </c>
      <c r="N1558" s="6">
        <v>725</v>
      </c>
      <c r="O1558" s="6">
        <v>88000</v>
      </c>
      <c r="P1558" s="6" t="s">
        <v>36</v>
      </c>
      <c r="Q1558" s="6" t="s">
        <v>27</v>
      </c>
      <c r="R1558" s="6">
        <v>0</v>
      </c>
      <c r="S1558" s="6" t="s">
        <v>28</v>
      </c>
      <c r="T1558" s="7">
        <f t="shared" si="120"/>
        <v>0.22727727272727274</v>
      </c>
      <c r="U1558" s="6">
        <f t="shared" si="121"/>
        <v>1</v>
      </c>
      <c r="V1558" s="5" t="str">
        <f t="shared" si="122"/>
        <v>GOOD</v>
      </c>
      <c r="W1558" s="6" t="str">
        <f t="shared" si="123"/>
        <v>55+</v>
      </c>
      <c r="X1558" s="6" t="str">
        <f t="shared" si="124"/>
        <v>Lower-Middle</v>
      </c>
    </row>
    <row r="1559" spans="1:24">
      <c r="A1559" s="6" t="s">
        <v>488</v>
      </c>
      <c r="B1559" s="6" t="s">
        <v>3419</v>
      </c>
      <c r="C1559" s="6" t="s">
        <v>39</v>
      </c>
      <c r="D1559" s="6" t="s">
        <v>304</v>
      </c>
      <c r="E1559" s="6" t="s">
        <v>304</v>
      </c>
      <c r="F1559" s="6">
        <v>84</v>
      </c>
      <c r="G1559" s="6" t="s">
        <v>24</v>
      </c>
      <c r="H1559" s="6" t="s">
        <v>3420</v>
      </c>
      <c r="I1559" s="6" t="s">
        <v>4414</v>
      </c>
      <c r="J1559" s="8">
        <v>44512</v>
      </c>
      <c r="K1559" s="8">
        <v>45300</v>
      </c>
      <c r="L1559" s="6">
        <v>171500.6</v>
      </c>
      <c r="M1559" s="6">
        <v>115000.9</v>
      </c>
      <c r="N1559" s="6">
        <v>675</v>
      </c>
      <c r="O1559" s="6">
        <v>212000</v>
      </c>
      <c r="P1559" s="6" t="s">
        <v>76</v>
      </c>
      <c r="Q1559" s="6" t="s">
        <v>27</v>
      </c>
      <c r="R1559" s="6">
        <v>0</v>
      </c>
      <c r="S1559" s="6" t="s">
        <v>28</v>
      </c>
      <c r="T1559" s="7">
        <f t="shared" si="120"/>
        <v>0.54245707547169808</v>
      </c>
      <c r="U1559" s="6">
        <f t="shared" si="121"/>
        <v>6</v>
      </c>
      <c r="V1559" s="5" t="str">
        <f t="shared" si="122"/>
        <v>GOOD</v>
      </c>
      <c r="W1559" s="6" t="str">
        <f t="shared" si="123"/>
        <v>55+</v>
      </c>
      <c r="X1559" s="6" t="str">
        <f t="shared" si="124"/>
        <v>High</v>
      </c>
    </row>
    <row r="1560" spans="1:24">
      <c r="A1560" s="6" t="s">
        <v>491</v>
      </c>
      <c r="B1560" s="6" t="s">
        <v>3421</v>
      </c>
      <c r="C1560" s="6" t="s">
        <v>52</v>
      </c>
      <c r="D1560" s="6" t="s">
        <v>493</v>
      </c>
      <c r="E1560" s="6" t="s">
        <v>494</v>
      </c>
      <c r="F1560" s="6">
        <v>75</v>
      </c>
      <c r="G1560" s="6" t="s">
        <v>34</v>
      </c>
      <c r="H1560" s="6" t="s">
        <v>3422</v>
      </c>
      <c r="I1560" s="6" t="s">
        <v>4415</v>
      </c>
      <c r="J1560" s="8">
        <v>45282</v>
      </c>
      <c r="K1560" s="8">
        <v>45302</v>
      </c>
      <c r="L1560" s="6">
        <v>80500.399999999994</v>
      </c>
      <c r="M1560" s="6">
        <v>55200.25</v>
      </c>
      <c r="N1560" s="6">
        <v>705</v>
      </c>
      <c r="O1560" s="6">
        <v>120000</v>
      </c>
      <c r="P1560" s="6" t="s">
        <v>26</v>
      </c>
      <c r="Q1560" s="6" t="s">
        <v>27</v>
      </c>
      <c r="R1560" s="6">
        <v>0</v>
      </c>
      <c r="S1560" s="6" t="s">
        <v>28</v>
      </c>
      <c r="T1560" s="7">
        <f t="shared" si="120"/>
        <v>0.46000208333333331</v>
      </c>
      <c r="U1560" s="6">
        <f t="shared" si="121"/>
        <v>4</v>
      </c>
      <c r="V1560" s="5" t="str">
        <f t="shared" si="122"/>
        <v>GOOD</v>
      </c>
      <c r="W1560" s="6" t="str">
        <f t="shared" si="123"/>
        <v>55+</v>
      </c>
      <c r="X1560" s="6" t="str">
        <f t="shared" si="124"/>
        <v>Lower-Middle</v>
      </c>
    </row>
    <row r="1561" spans="1:24">
      <c r="A1561" s="6" t="s">
        <v>496</v>
      </c>
      <c r="B1561" s="6" t="s">
        <v>3423</v>
      </c>
      <c r="C1561" s="6" t="s">
        <v>46</v>
      </c>
      <c r="D1561" s="6" t="s">
        <v>321</v>
      </c>
      <c r="E1561" s="6" t="s">
        <v>322</v>
      </c>
      <c r="F1561" s="6">
        <v>78</v>
      </c>
      <c r="G1561" s="6" t="s">
        <v>24</v>
      </c>
      <c r="H1561" s="6" t="s">
        <v>3424</v>
      </c>
      <c r="I1561" s="6" t="s">
        <v>4416</v>
      </c>
      <c r="J1561" s="8">
        <v>44764</v>
      </c>
      <c r="K1561" s="8">
        <v>45301</v>
      </c>
      <c r="L1561" s="6">
        <v>125100.75</v>
      </c>
      <c r="M1561" s="6">
        <v>76300.800000000003</v>
      </c>
      <c r="N1561" s="6">
        <v>730</v>
      </c>
      <c r="O1561" s="6">
        <v>186000</v>
      </c>
      <c r="P1561" s="6" t="s">
        <v>26</v>
      </c>
      <c r="Q1561" s="6" t="s">
        <v>27</v>
      </c>
      <c r="R1561" s="6">
        <v>0</v>
      </c>
      <c r="S1561" s="6" t="s">
        <v>28</v>
      </c>
      <c r="T1561" s="7">
        <f t="shared" si="120"/>
        <v>0.41021935483870969</v>
      </c>
      <c r="U1561" s="6">
        <f t="shared" si="121"/>
        <v>5</v>
      </c>
      <c r="V1561" s="5" t="str">
        <f t="shared" si="122"/>
        <v>GOOD</v>
      </c>
      <c r="W1561" s="6" t="str">
        <f t="shared" si="123"/>
        <v>55+</v>
      </c>
      <c r="X1561" s="6" t="str">
        <f t="shared" si="124"/>
        <v>Upper-Middle</v>
      </c>
    </row>
    <row r="1562" spans="1:24">
      <c r="A1562" s="6" t="s">
        <v>324</v>
      </c>
      <c r="B1562" s="6" t="s">
        <v>3425</v>
      </c>
      <c r="C1562" s="6" t="s">
        <v>31</v>
      </c>
      <c r="D1562" s="6" t="s">
        <v>313</v>
      </c>
      <c r="E1562" s="6" t="s">
        <v>314</v>
      </c>
      <c r="F1562" s="6">
        <v>63</v>
      </c>
      <c r="G1562" s="6" t="s">
        <v>34</v>
      </c>
      <c r="H1562" s="6" t="s">
        <v>3426</v>
      </c>
      <c r="I1562" s="6" t="s">
        <v>4417</v>
      </c>
      <c r="J1562" s="8">
        <v>45716</v>
      </c>
      <c r="K1562" s="8">
        <v>45306</v>
      </c>
      <c r="L1562" s="6">
        <v>22600.9</v>
      </c>
      <c r="M1562" s="6">
        <v>12700.75</v>
      </c>
      <c r="N1562" s="6">
        <v>685</v>
      </c>
      <c r="O1562" s="6">
        <v>73000</v>
      </c>
      <c r="P1562" s="6" t="s">
        <v>26</v>
      </c>
      <c r="Q1562" s="6" t="s">
        <v>43</v>
      </c>
      <c r="R1562" s="6">
        <v>0</v>
      </c>
      <c r="S1562" s="6" t="s">
        <v>28</v>
      </c>
      <c r="T1562" s="7">
        <f t="shared" si="120"/>
        <v>0.17398287671232876</v>
      </c>
      <c r="U1562" s="6">
        <f t="shared" si="121"/>
        <v>0</v>
      </c>
      <c r="V1562" s="5" t="str">
        <f t="shared" si="122"/>
        <v>GOOD</v>
      </c>
      <c r="W1562" s="6" t="str">
        <f t="shared" si="123"/>
        <v>55+</v>
      </c>
      <c r="X1562" s="6" t="str">
        <f t="shared" si="124"/>
        <v>Low</v>
      </c>
    </row>
    <row r="1563" spans="1:24">
      <c r="A1563" s="6" t="s">
        <v>503</v>
      </c>
      <c r="B1563" s="6" t="s">
        <v>3427</v>
      </c>
      <c r="C1563" s="6" t="s">
        <v>21</v>
      </c>
      <c r="D1563" s="6" t="s">
        <v>32</v>
      </c>
      <c r="E1563" s="6" t="s">
        <v>33</v>
      </c>
      <c r="F1563" s="6">
        <v>95</v>
      </c>
      <c r="G1563" s="6" t="s">
        <v>24</v>
      </c>
      <c r="H1563" s="6" t="s">
        <v>3428</v>
      </c>
      <c r="I1563" s="6" t="s">
        <v>3881</v>
      </c>
      <c r="J1563" s="8">
        <v>43760</v>
      </c>
      <c r="K1563" s="8">
        <v>45299</v>
      </c>
      <c r="L1563" s="6">
        <v>302200.25</v>
      </c>
      <c r="M1563" s="6">
        <v>119000.4</v>
      </c>
      <c r="N1563" s="6">
        <v>840</v>
      </c>
      <c r="O1563" s="6">
        <v>327000</v>
      </c>
      <c r="P1563" s="6" t="s">
        <v>36</v>
      </c>
      <c r="Q1563" s="6" t="s">
        <v>27</v>
      </c>
      <c r="R1563" s="6">
        <v>0</v>
      </c>
      <c r="S1563" s="6" t="s">
        <v>28</v>
      </c>
      <c r="T1563" s="7">
        <f t="shared" si="120"/>
        <v>0.3639155963302752</v>
      </c>
      <c r="U1563" s="6">
        <f t="shared" si="121"/>
        <v>7</v>
      </c>
      <c r="V1563" s="5" t="str">
        <f t="shared" si="122"/>
        <v>EXCEPTIONAL</v>
      </c>
      <c r="W1563" s="6" t="str">
        <f t="shared" si="123"/>
        <v>55+</v>
      </c>
      <c r="X1563" s="6" t="str">
        <f t="shared" si="124"/>
        <v>High</v>
      </c>
    </row>
    <row r="1564" spans="1:24">
      <c r="A1564" s="6" t="s">
        <v>506</v>
      </c>
      <c r="B1564" s="6" t="s">
        <v>3429</v>
      </c>
      <c r="C1564" s="6" t="s">
        <v>39</v>
      </c>
      <c r="D1564" s="6" t="s">
        <v>68</v>
      </c>
      <c r="E1564" s="6" t="s">
        <v>69</v>
      </c>
      <c r="F1564" s="6">
        <v>87</v>
      </c>
      <c r="G1564" s="6" t="s">
        <v>34</v>
      </c>
      <c r="H1564" s="6" t="s">
        <v>3430</v>
      </c>
      <c r="I1564" s="6" t="s">
        <v>4393</v>
      </c>
      <c r="J1564" s="8">
        <v>44277</v>
      </c>
      <c r="K1564" s="8">
        <v>45300</v>
      </c>
      <c r="L1564" s="6">
        <v>182600.4</v>
      </c>
      <c r="M1564" s="6">
        <v>119000.75</v>
      </c>
      <c r="N1564" s="6">
        <v>650</v>
      </c>
      <c r="O1564" s="6">
        <v>222000</v>
      </c>
      <c r="P1564" s="6" t="s">
        <v>76</v>
      </c>
      <c r="Q1564" s="6" t="s">
        <v>27</v>
      </c>
      <c r="R1564" s="6">
        <v>0</v>
      </c>
      <c r="S1564" s="6" t="s">
        <v>28</v>
      </c>
      <c r="T1564" s="7">
        <f t="shared" si="120"/>
        <v>0.53603941441441438</v>
      </c>
      <c r="U1564" s="6">
        <f t="shared" si="121"/>
        <v>6</v>
      </c>
      <c r="V1564" s="5" t="str">
        <f t="shared" si="122"/>
        <v>FAIR</v>
      </c>
      <c r="W1564" s="6" t="str">
        <f t="shared" si="123"/>
        <v>55+</v>
      </c>
      <c r="X1564" s="6" t="str">
        <f t="shared" si="124"/>
        <v>High</v>
      </c>
    </row>
    <row r="1565" spans="1:24">
      <c r="A1565" s="6" t="s">
        <v>509</v>
      </c>
      <c r="B1565" s="6" t="s">
        <v>3431</v>
      </c>
      <c r="C1565" s="6" t="s">
        <v>46</v>
      </c>
      <c r="D1565" s="6" t="s">
        <v>73</v>
      </c>
      <c r="E1565" s="6" t="s">
        <v>126</v>
      </c>
      <c r="F1565" s="6">
        <v>74</v>
      </c>
      <c r="G1565" s="6" t="s">
        <v>24</v>
      </c>
      <c r="H1565" s="6" t="s">
        <v>3432</v>
      </c>
      <c r="I1565" s="6" t="s">
        <v>4418</v>
      </c>
      <c r="J1565" s="8">
        <v>45495</v>
      </c>
      <c r="K1565" s="8">
        <v>45303</v>
      </c>
      <c r="L1565" s="6">
        <v>113900.4</v>
      </c>
      <c r="M1565" s="6">
        <v>70500.25</v>
      </c>
      <c r="N1565" s="6">
        <v>745</v>
      </c>
      <c r="O1565" s="6">
        <v>166000</v>
      </c>
      <c r="P1565" s="6" t="s">
        <v>26</v>
      </c>
      <c r="Q1565" s="6" t="s">
        <v>27</v>
      </c>
      <c r="R1565" s="6">
        <v>0</v>
      </c>
      <c r="S1565" s="6" t="s">
        <v>28</v>
      </c>
      <c r="T1565" s="7">
        <f t="shared" si="120"/>
        <v>0.42470030120481927</v>
      </c>
      <c r="U1565" s="6">
        <f t="shared" si="121"/>
        <v>3</v>
      </c>
      <c r="V1565" s="5" t="str">
        <f t="shared" si="122"/>
        <v>GOOD</v>
      </c>
      <c r="W1565" s="6" t="str">
        <f t="shared" si="123"/>
        <v>55+</v>
      </c>
      <c r="X1565" s="6" t="str">
        <f t="shared" si="124"/>
        <v>Upper-Middle</v>
      </c>
    </row>
    <row r="1566" spans="1:24">
      <c r="A1566" s="6" t="s">
        <v>513</v>
      </c>
      <c r="B1566" s="6" t="s">
        <v>3433</v>
      </c>
      <c r="C1566" s="6" t="s">
        <v>57</v>
      </c>
      <c r="D1566" s="6" t="s">
        <v>58</v>
      </c>
      <c r="E1566" s="6" t="s">
        <v>122</v>
      </c>
      <c r="F1566" s="6">
        <v>69</v>
      </c>
      <c r="G1566" s="6" t="s">
        <v>34</v>
      </c>
      <c r="H1566" s="6" t="s">
        <v>3434</v>
      </c>
      <c r="I1566" s="6" t="s">
        <v>3883</v>
      </c>
      <c r="J1566" s="8">
        <v>45679</v>
      </c>
      <c r="K1566" s="8">
        <v>45302</v>
      </c>
      <c r="L1566" s="6">
        <v>55200.800000000003</v>
      </c>
      <c r="M1566" s="6">
        <v>21200.9</v>
      </c>
      <c r="N1566" s="6">
        <v>765</v>
      </c>
      <c r="O1566" s="6">
        <v>98000</v>
      </c>
      <c r="P1566" s="6" t="s">
        <v>36</v>
      </c>
      <c r="Q1566" s="6" t="s">
        <v>27</v>
      </c>
      <c r="R1566" s="6">
        <v>0</v>
      </c>
      <c r="S1566" s="6" t="s">
        <v>28</v>
      </c>
      <c r="T1566" s="7">
        <f t="shared" si="120"/>
        <v>0.2163357142857143</v>
      </c>
      <c r="U1566" s="6">
        <f t="shared" si="121"/>
        <v>4</v>
      </c>
      <c r="V1566" s="5" t="str">
        <f t="shared" si="122"/>
        <v>VERY GOOD</v>
      </c>
      <c r="W1566" s="6" t="str">
        <f t="shared" si="123"/>
        <v>55+</v>
      </c>
      <c r="X1566" s="6" t="str">
        <f t="shared" si="124"/>
        <v>Lower-Middle</v>
      </c>
    </row>
    <row r="1567" spans="1:24">
      <c r="A1567" s="6" t="s">
        <v>516</v>
      </c>
      <c r="B1567" s="6" t="s">
        <v>3435</v>
      </c>
      <c r="C1567" s="6" t="s">
        <v>52</v>
      </c>
      <c r="D1567" s="6" t="s">
        <v>277</v>
      </c>
      <c r="E1567" s="6" t="s">
        <v>278</v>
      </c>
      <c r="F1567" s="6">
        <v>82</v>
      </c>
      <c r="G1567" s="6" t="s">
        <v>24</v>
      </c>
      <c r="H1567" s="6" t="s">
        <v>3436</v>
      </c>
      <c r="I1567" s="6" t="s">
        <v>3958</v>
      </c>
      <c r="J1567" s="8">
        <v>44948</v>
      </c>
      <c r="K1567" s="8">
        <v>45301</v>
      </c>
      <c r="L1567" s="6">
        <v>88500.75</v>
      </c>
      <c r="M1567" s="6">
        <v>61600.4</v>
      </c>
      <c r="N1567" s="6">
        <v>675</v>
      </c>
      <c r="O1567" s="6">
        <v>138000</v>
      </c>
      <c r="P1567" s="6" t="s">
        <v>26</v>
      </c>
      <c r="Q1567" s="6" t="s">
        <v>27</v>
      </c>
      <c r="R1567" s="6">
        <v>0</v>
      </c>
      <c r="S1567" s="6" t="s">
        <v>28</v>
      </c>
      <c r="T1567" s="7">
        <f t="shared" si="120"/>
        <v>0.44637971014492756</v>
      </c>
      <c r="U1567" s="6">
        <f t="shared" si="121"/>
        <v>5</v>
      </c>
      <c r="V1567" s="5" t="str">
        <f t="shared" si="122"/>
        <v>GOOD</v>
      </c>
      <c r="W1567" s="6" t="str">
        <f t="shared" si="123"/>
        <v>55+</v>
      </c>
      <c r="X1567" s="6" t="str">
        <f t="shared" si="124"/>
        <v>Upper-Middle</v>
      </c>
    </row>
    <row r="1568" spans="1:24">
      <c r="A1568" s="6" t="s">
        <v>519</v>
      </c>
      <c r="B1568" s="6" t="s">
        <v>3437</v>
      </c>
      <c r="C1568" s="6" t="s">
        <v>84</v>
      </c>
      <c r="D1568" s="6" t="s">
        <v>183</v>
      </c>
      <c r="E1568" s="6" t="s">
        <v>273</v>
      </c>
      <c r="F1568" s="6">
        <v>61</v>
      </c>
      <c r="G1568" s="6" t="s">
        <v>34</v>
      </c>
      <c r="H1568" s="6" t="s">
        <v>3438</v>
      </c>
      <c r="I1568" s="6" t="s">
        <v>3546</v>
      </c>
      <c r="J1568" s="8">
        <v>45728</v>
      </c>
      <c r="K1568" s="8">
        <v>45304</v>
      </c>
      <c r="L1568" s="6">
        <v>5900.25</v>
      </c>
      <c r="M1568" s="6">
        <v>17800.599999999999</v>
      </c>
      <c r="N1568" s="6">
        <v>615</v>
      </c>
      <c r="O1568" s="6">
        <v>58000</v>
      </c>
      <c r="P1568" s="6" t="s">
        <v>76</v>
      </c>
      <c r="Q1568" s="6" t="s">
        <v>43</v>
      </c>
      <c r="R1568" s="6">
        <v>0</v>
      </c>
      <c r="S1568" s="6" t="s">
        <v>28</v>
      </c>
      <c r="T1568" s="7">
        <f t="shared" si="120"/>
        <v>0.3069068965517241</v>
      </c>
      <c r="U1568" s="6">
        <f t="shared" si="121"/>
        <v>2</v>
      </c>
      <c r="V1568" s="5" t="str">
        <f t="shared" si="122"/>
        <v>FAIR</v>
      </c>
      <c r="W1568" s="6" t="str">
        <f t="shared" si="123"/>
        <v>55+</v>
      </c>
      <c r="X1568" s="6" t="str">
        <f t="shared" si="124"/>
        <v>Low</v>
      </c>
    </row>
    <row r="1569" spans="1:24">
      <c r="A1569" s="6" t="s">
        <v>522</v>
      </c>
      <c r="B1569" s="6" t="s">
        <v>3439</v>
      </c>
      <c r="C1569" s="6" t="s">
        <v>39</v>
      </c>
      <c r="D1569" s="6" t="s">
        <v>40</v>
      </c>
      <c r="E1569" s="6" t="s">
        <v>94</v>
      </c>
      <c r="F1569" s="6">
        <v>89</v>
      </c>
      <c r="G1569" s="6" t="s">
        <v>24</v>
      </c>
      <c r="H1569" s="6" t="s">
        <v>3440</v>
      </c>
      <c r="I1569" s="6" t="s">
        <v>3510</v>
      </c>
      <c r="J1569" s="8">
        <v>44249</v>
      </c>
      <c r="K1569" s="8">
        <v>45299</v>
      </c>
      <c r="L1569" s="6">
        <v>217200.8</v>
      </c>
      <c r="M1569" s="6">
        <v>132000.25</v>
      </c>
      <c r="N1569" s="6">
        <v>660</v>
      </c>
      <c r="O1569" s="6">
        <v>257000</v>
      </c>
      <c r="P1569" s="6" t="s">
        <v>76</v>
      </c>
      <c r="Q1569" s="6" t="s">
        <v>27</v>
      </c>
      <c r="R1569" s="6">
        <v>0</v>
      </c>
      <c r="S1569" s="6" t="s">
        <v>28</v>
      </c>
      <c r="T1569" s="7">
        <f t="shared" si="120"/>
        <v>0.5136196498054475</v>
      </c>
      <c r="U1569" s="6">
        <f t="shared" si="121"/>
        <v>7</v>
      </c>
      <c r="V1569" s="5" t="str">
        <f t="shared" si="122"/>
        <v>FAIR</v>
      </c>
      <c r="W1569" s="6" t="str">
        <f t="shared" si="123"/>
        <v>55+</v>
      </c>
      <c r="X1569" s="6" t="str">
        <f t="shared" si="124"/>
        <v>High</v>
      </c>
    </row>
    <row r="1570" spans="1:24">
      <c r="A1570" s="6" t="s">
        <v>306</v>
      </c>
      <c r="B1570" s="6" t="s">
        <v>3441</v>
      </c>
      <c r="C1570" s="6" t="s">
        <v>46</v>
      </c>
      <c r="D1570" s="6" t="s">
        <v>209</v>
      </c>
      <c r="E1570" s="6" t="s">
        <v>210</v>
      </c>
      <c r="F1570" s="6">
        <v>76</v>
      </c>
      <c r="G1570" s="6" t="s">
        <v>34</v>
      </c>
      <c r="H1570" s="6" t="s">
        <v>3442</v>
      </c>
      <c r="I1570" s="6" t="s">
        <v>4100</v>
      </c>
      <c r="J1570" s="8">
        <v>45099</v>
      </c>
      <c r="K1570" s="8">
        <v>45302</v>
      </c>
      <c r="L1570" s="6">
        <v>109600.9</v>
      </c>
      <c r="M1570" s="6">
        <v>67400.75</v>
      </c>
      <c r="N1570" s="6">
        <v>730</v>
      </c>
      <c r="O1570" s="6">
        <v>161000</v>
      </c>
      <c r="P1570" s="6" t="s">
        <v>26</v>
      </c>
      <c r="Q1570" s="6" t="s">
        <v>27</v>
      </c>
      <c r="R1570" s="6">
        <v>0</v>
      </c>
      <c r="S1570" s="6" t="s">
        <v>28</v>
      </c>
      <c r="T1570" s="7">
        <f t="shared" si="120"/>
        <v>0.41863819875776398</v>
      </c>
      <c r="U1570" s="6">
        <f t="shared" si="121"/>
        <v>4</v>
      </c>
      <c r="V1570" s="5" t="str">
        <f t="shared" si="122"/>
        <v>GOOD</v>
      </c>
      <c r="W1570" s="6" t="str">
        <f t="shared" si="123"/>
        <v>55+</v>
      </c>
      <c r="X1570" s="6" t="str">
        <f t="shared" si="124"/>
        <v>Upper-Middle</v>
      </c>
    </row>
    <row r="1571" spans="1:24">
      <c r="A1571" s="6" t="s">
        <v>527</v>
      </c>
      <c r="B1571" s="6" t="s">
        <v>3443</v>
      </c>
      <c r="C1571" s="6" t="s">
        <v>31</v>
      </c>
      <c r="D1571" s="6" t="s">
        <v>32</v>
      </c>
      <c r="E1571" s="6" t="s">
        <v>90</v>
      </c>
      <c r="F1571" s="6">
        <v>65</v>
      </c>
      <c r="G1571" s="6" t="s">
        <v>34</v>
      </c>
      <c r="H1571" s="6" t="s">
        <v>3444</v>
      </c>
      <c r="I1571" s="6" t="s">
        <v>3688</v>
      </c>
      <c r="J1571" s="8">
        <v>45724</v>
      </c>
      <c r="K1571" s="8">
        <v>45305</v>
      </c>
      <c r="L1571" s="6">
        <v>23700.400000000001</v>
      </c>
      <c r="M1571" s="6">
        <v>12800.25</v>
      </c>
      <c r="N1571" s="6">
        <v>705</v>
      </c>
      <c r="O1571" s="6">
        <v>75000</v>
      </c>
      <c r="P1571" s="6" t="s">
        <v>26</v>
      </c>
      <c r="Q1571" s="6" t="s">
        <v>43</v>
      </c>
      <c r="R1571" s="6">
        <v>0</v>
      </c>
      <c r="S1571" s="6" t="s">
        <v>28</v>
      </c>
      <c r="T1571" s="7">
        <f t="shared" si="120"/>
        <v>0.17066999999999999</v>
      </c>
      <c r="U1571" s="6">
        <f t="shared" si="121"/>
        <v>1</v>
      </c>
      <c r="V1571" s="5" t="str">
        <f t="shared" si="122"/>
        <v>GOOD</v>
      </c>
      <c r="W1571" s="6" t="str">
        <f t="shared" si="123"/>
        <v>55+</v>
      </c>
      <c r="X1571" s="6" t="str">
        <f t="shared" si="124"/>
        <v>Lower-Middle</v>
      </c>
    </row>
    <row r="1572" spans="1:24">
      <c r="A1572" s="6" t="s">
        <v>530</v>
      </c>
      <c r="B1572" s="6" t="s">
        <v>3445</v>
      </c>
      <c r="C1572" s="6" t="s">
        <v>57</v>
      </c>
      <c r="D1572" s="6" t="s">
        <v>219</v>
      </c>
      <c r="E1572" s="6" t="s">
        <v>220</v>
      </c>
      <c r="F1572" s="6">
        <v>70</v>
      </c>
      <c r="G1572" s="6" t="s">
        <v>24</v>
      </c>
      <c r="H1572" s="6" t="s">
        <v>3446</v>
      </c>
      <c r="I1572" s="6" t="s">
        <v>4419</v>
      </c>
      <c r="J1572" s="8">
        <v>45648</v>
      </c>
      <c r="K1572" s="8">
        <v>45303</v>
      </c>
      <c r="L1572" s="6">
        <v>54100.6</v>
      </c>
      <c r="M1572" s="6">
        <v>20600.8</v>
      </c>
      <c r="N1572" s="6">
        <v>710</v>
      </c>
      <c r="O1572" s="6">
        <v>91000</v>
      </c>
      <c r="P1572" s="6" t="s">
        <v>36</v>
      </c>
      <c r="Q1572" s="6" t="s">
        <v>27</v>
      </c>
      <c r="R1572" s="6">
        <v>0</v>
      </c>
      <c r="S1572" s="6" t="s">
        <v>28</v>
      </c>
      <c r="T1572" s="7">
        <f t="shared" si="120"/>
        <v>0.22638241758241756</v>
      </c>
      <c r="U1572" s="6">
        <f t="shared" si="121"/>
        <v>3</v>
      </c>
      <c r="V1572" s="5" t="str">
        <f t="shared" si="122"/>
        <v>GOOD</v>
      </c>
      <c r="W1572" s="6" t="str">
        <f t="shared" si="123"/>
        <v>55+</v>
      </c>
      <c r="X1572" s="6" t="str">
        <f t="shared" si="124"/>
        <v>Lower-Middle</v>
      </c>
    </row>
    <row r="1573" spans="1:24">
      <c r="A1573" s="6" t="s">
        <v>533</v>
      </c>
      <c r="B1573" s="6" t="s">
        <v>3447</v>
      </c>
      <c r="C1573" s="6" t="s">
        <v>52</v>
      </c>
      <c r="D1573" s="6" t="s">
        <v>204</v>
      </c>
      <c r="E1573" s="6" t="s">
        <v>205</v>
      </c>
      <c r="F1573" s="6">
        <v>77</v>
      </c>
      <c r="G1573" s="6" t="s">
        <v>34</v>
      </c>
      <c r="H1573" s="6" t="s">
        <v>3448</v>
      </c>
      <c r="I1573" s="6" t="s">
        <v>3669</v>
      </c>
      <c r="J1573" s="8">
        <v>44948</v>
      </c>
      <c r="K1573" s="8">
        <v>45301</v>
      </c>
      <c r="L1573" s="6">
        <v>85400.25</v>
      </c>
      <c r="M1573" s="6">
        <v>58500.9</v>
      </c>
      <c r="N1573" s="6">
        <v>695</v>
      </c>
      <c r="O1573" s="6">
        <v>126000</v>
      </c>
      <c r="P1573" s="6" t="s">
        <v>26</v>
      </c>
      <c r="Q1573" s="6" t="s">
        <v>27</v>
      </c>
      <c r="R1573" s="6">
        <v>0</v>
      </c>
      <c r="S1573" s="6" t="s">
        <v>28</v>
      </c>
      <c r="T1573" s="7">
        <f t="shared" si="120"/>
        <v>0.46429285714285717</v>
      </c>
      <c r="U1573" s="6">
        <f t="shared" si="121"/>
        <v>5</v>
      </c>
      <c r="V1573" s="5" t="str">
        <f t="shared" si="122"/>
        <v>GOOD</v>
      </c>
      <c r="W1573" s="6" t="str">
        <f t="shared" si="123"/>
        <v>55+</v>
      </c>
      <c r="X1573" s="6" t="str">
        <f t="shared" si="124"/>
        <v>Lower-Middle</v>
      </c>
    </row>
    <row r="1574" spans="1:24">
      <c r="A1574" s="6" t="s">
        <v>536</v>
      </c>
      <c r="B1574" s="6" t="s">
        <v>3449</v>
      </c>
      <c r="C1574" s="6" t="s">
        <v>39</v>
      </c>
      <c r="D1574" s="6" t="s">
        <v>195</v>
      </c>
      <c r="E1574" s="6" t="s">
        <v>196</v>
      </c>
      <c r="F1574" s="6">
        <v>85</v>
      </c>
      <c r="G1574" s="6" t="s">
        <v>24</v>
      </c>
      <c r="H1574" s="6" t="s">
        <v>3450</v>
      </c>
      <c r="I1574" s="6" t="s">
        <v>4420</v>
      </c>
      <c r="J1574" s="8">
        <v>44399</v>
      </c>
      <c r="K1574" s="8">
        <v>45300</v>
      </c>
      <c r="L1574" s="6">
        <v>149400.4</v>
      </c>
      <c r="M1574" s="6">
        <v>106000.6</v>
      </c>
      <c r="N1574" s="6">
        <v>670</v>
      </c>
      <c r="O1574" s="6">
        <v>193000</v>
      </c>
      <c r="P1574" s="6" t="s">
        <v>76</v>
      </c>
      <c r="Q1574" s="6" t="s">
        <v>27</v>
      </c>
      <c r="R1574" s="6">
        <v>0</v>
      </c>
      <c r="S1574" s="6" t="s">
        <v>28</v>
      </c>
      <c r="T1574" s="7">
        <f t="shared" si="120"/>
        <v>0.54922590673575133</v>
      </c>
      <c r="U1574" s="6">
        <f t="shared" si="121"/>
        <v>6</v>
      </c>
      <c r="V1574" s="5" t="str">
        <f t="shared" si="122"/>
        <v>GOOD</v>
      </c>
      <c r="W1574" s="6" t="str">
        <f t="shared" si="123"/>
        <v>55+</v>
      </c>
      <c r="X1574" s="6" t="str">
        <f t="shared" si="124"/>
        <v>High</v>
      </c>
    </row>
    <row r="1575" spans="1:24">
      <c r="A1575" s="6" t="s">
        <v>539</v>
      </c>
      <c r="B1575" s="6" t="s">
        <v>3451</v>
      </c>
      <c r="C1575" s="6" t="s">
        <v>21</v>
      </c>
      <c r="D1575" s="6" t="s">
        <v>58</v>
      </c>
      <c r="E1575" s="6" t="s">
        <v>59</v>
      </c>
      <c r="F1575" s="6">
        <v>93</v>
      </c>
      <c r="G1575" s="6" t="s">
        <v>34</v>
      </c>
      <c r="H1575" s="6" t="s">
        <v>3452</v>
      </c>
      <c r="I1575" s="6" t="s">
        <v>3888</v>
      </c>
      <c r="J1575" s="8">
        <v>43973</v>
      </c>
      <c r="K1575" s="8">
        <v>45299</v>
      </c>
      <c r="L1575" s="6">
        <v>316300.75</v>
      </c>
      <c r="M1575" s="6">
        <v>123000.8</v>
      </c>
      <c r="N1575" s="6">
        <v>835</v>
      </c>
      <c r="O1575" s="6">
        <v>338000</v>
      </c>
      <c r="P1575" s="6" t="s">
        <v>36</v>
      </c>
      <c r="Q1575" s="6" t="s">
        <v>27</v>
      </c>
      <c r="R1575" s="6">
        <v>0</v>
      </c>
      <c r="S1575" s="6" t="s">
        <v>28</v>
      </c>
      <c r="T1575" s="7">
        <f t="shared" si="120"/>
        <v>0.36390769230769232</v>
      </c>
      <c r="U1575" s="6">
        <f t="shared" si="121"/>
        <v>7</v>
      </c>
      <c r="V1575" s="5" t="str">
        <f t="shared" si="122"/>
        <v>EXCEPTIONAL</v>
      </c>
      <c r="W1575" s="6" t="str">
        <f t="shared" si="123"/>
        <v>55+</v>
      </c>
      <c r="X1575" s="6" t="str">
        <f t="shared" si="124"/>
        <v>High</v>
      </c>
    </row>
    <row r="1576" spans="1:24">
      <c r="A1576" s="6" t="s">
        <v>542</v>
      </c>
      <c r="B1576" s="6" t="s">
        <v>3453</v>
      </c>
      <c r="C1576" s="6" t="s">
        <v>52</v>
      </c>
      <c r="D1576" s="6" t="s">
        <v>68</v>
      </c>
      <c r="E1576" s="6" t="s">
        <v>114</v>
      </c>
      <c r="F1576" s="6">
        <v>80</v>
      </c>
      <c r="G1576" s="6" t="s">
        <v>34</v>
      </c>
      <c r="H1576" s="6" t="s">
        <v>3454</v>
      </c>
      <c r="I1576" s="6" t="s">
        <v>4410</v>
      </c>
      <c r="J1576" s="8">
        <v>44917</v>
      </c>
      <c r="K1576" s="8">
        <v>45302</v>
      </c>
      <c r="L1576" s="6">
        <v>94100.6</v>
      </c>
      <c r="M1576" s="6">
        <v>64100.25</v>
      </c>
      <c r="N1576" s="6">
        <v>665</v>
      </c>
      <c r="O1576" s="6">
        <v>146000</v>
      </c>
      <c r="P1576" s="6" t="s">
        <v>26</v>
      </c>
      <c r="Q1576" s="6" t="s">
        <v>27</v>
      </c>
      <c r="R1576" s="6">
        <v>0</v>
      </c>
      <c r="S1576" s="6" t="s">
        <v>28</v>
      </c>
      <c r="T1576" s="7">
        <f t="shared" si="120"/>
        <v>0.43904280821917807</v>
      </c>
      <c r="U1576" s="6">
        <f t="shared" si="121"/>
        <v>4</v>
      </c>
      <c r="V1576" s="5" t="str">
        <f t="shared" si="122"/>
        <v>FAIR</v>
      </c>
      <c r="W1576" s="6" t="str">
        <f t="shared" si="123"/>
        <v>55+</v>
      </c>
      <c r="X1576" s="6" t="str">
        <f t="shared" si="124"/>
        <v>Upper-Middle</v>
      </c>
    </row>
    <row r="1577" spans="1:24">
      <c r="A1577" s="6" t="s">
        <v>545</v>
      </c>
      <c r="B1577" s="6" t="s">
        <v>3455</v>
      </c>
      <c r="C1577" s="6" t="s">
        <v>46</v>
      </c>
      <c r="D1577" s="6" t="s">
        <v>241</v>
      </c>
      <c r="E1577" s="6" t="s">
        <v>242</v>
      </c>
      <c r="F1577" s="6">
        <v>72</v>
      </c>
      <c r="G1577" s="6" t="s">
        <v>24</v>
      </c>
      <c r="H1577" s="6" t="s">
        <v>3456</v>
      </c>
      <c r="I1577" s="6" t="s">
        <v>4421</v>
      </c>
      <c r="J1577" s="8">
        <v>45557</v>
      </c>
      <c r="K1577" s="8">
        <v>45303</v>
      </c>
      <c r="L1577" s="6">
        <v>117400.8</v>
      </c>
      <c r="M1577" s="6">
        <v>71600.399999999994</v>
      </c>
      <c r="N1577" s="6">
        <v>750</v>
      </c>
      <c r="O1577" s="6">
        <v>172000</v>
      </c>
      <c r="P1577" s="6" t="s">
        <v>26</v>
      </c>
      <c r="Q1577" s="6" t="s">
        <v>27</v>
      </c>
      <c r="R1577" s="6">
        <v>0</v>
      </c>
      <c r="S1577" s="6" t="s">
        <v>28</v>
      </c>
      <c r="T1577" s="7">
        <f t="shared" si="120"/>
        <v>0.41628139534883718</v>
      </c>
      <c r="U1577" s="6">
        <f t="shared" si="121"/>
        <v>3</v>
      </c>
      <c r="V1577" s="5" t="str">
        <f t="shared" si="122"/>
        <v>VERY GOOD</v>
      </c>
      <c r="W1577" s="6" t="str">
        <f t="shared" si="123"/>
        <v>55+</v>
      </c>
      <c r="X1577" s="6" t="str">
        <f t="shared" si="124"/>
        <v>Upper-Middle</v>
      </c>
    </row>
    <row r="1578" spans="1:24">
      <c r="A1578" s="6" t="s">
        <v>548</v>
      </c>
      <c r="B1578" s="6" t="s">
        <v>3457</v>
      </c>
      <c r="C1578" s="6" t="s">
        <v>57</v>
      </c>
      <c r="D1578" s="6" t="s">
        <v>22</v>
      </c>
      <c r="E1578" s="6" t="s">
        <v>282</v>
      </c>
      <c r="F1578" s="6">
        <v>68</v>
      </c>
      <c r="G1578" s="6" t="s">
        <v>34</v>
      </c>
      <c r="H1578" s="6" t="s">
        <v>3458</v>
      </c>
      <c r="I1578" s="6" t="s">
        <v>3890</v>
      </c>
      <c r="J1578" s="8">
        <v>45738</v>
      </c>
      <c r="K1578" s="8">
        <v>45305</v>
      </c>
      <c r="L1578" s="6">
        <v>56300.9</v>
      </c>
      <c r="M1578" s="6">
        <v>21600.75</v>
      </c>
      <c r="N1578" s="6">
        <v>770</v>
      </c>
      <c r="O1578" s="6">
        <v>103000</v>
      </c>
      <c r="P1578" s="6" t="s">
        <v>36</v>
      </c>
      <c r="Q1578" s="6" t="s">
        <v>27</v>
      </c>
      <c r="R1578" s="6">
        <v>0</v>
      </c>
      <c r="S1578" s="6" t="s">
        <v>28</v>
      </c>
      <c r="T1578" s="7">
        <f t="shared" si="120"/>
        <v>0.20971601941747572</v>
      </c>
      <c r="U1578" s="6">
        <f t="shared" si="121"/>
        <v>1</v>
      </c>
      <c r="V1578" s="5" t="str">
        <f t="shared" si="122"/>
        <v>VERY GOOD</v>
      </c>
      <c r="W1578" s="6" t="str">
        <f t="shared" si="123"/>
        <v>55+</v>
      </c>
      <c r="X1578" s="6" t="str">
        <f t="shared" si="124"/>
        <v>Lower-Middle</v>
      </c>
    </row>
    <row r="1579" spans="1:24">
      <c r="A1579" s="6" t="s">
        <v>551</v>
      </c>
      <c r="B1579" s="6" t="s">
        <v>3459</v>
      </c>
      <c r="C1579" s="6" t="s">
        <v>39</v>
      </c>
      <c r="D1579" s="6" t="s">
        <v>313</v>
      </c>
      <c r="E1579" s="6" t="s">
        <v>385</v>
      </c>
      <c r="F1579" s="6">
        <v>91</v>
      </c>
      <c r="G1579" s="6" t="s">
        <v>24</v>
      </c>
      <c r="H1579" s="6" t="s">
        <v>3460</v>
      </c>
      <c r="I1579" s="6" t="s">
        <v>4422</v>
      </c>
      <c r="J1579" s="8">
        <v>44157</v>
      </c>
      <c r="K1579" s="8">
        <v>45299</v>
      </c>
      <c r="L1579" s="6">
        <v>202500.25</v>
      </c>
      <c r="M1579" s="6">
        <v>127000.8</v>
      </c>
      <c r="N1579" s="6">
        <v>645</v>
      </c>
      <c r="O1579" s="6">
        <v>243000</v>
      </c>
      <c r="P1579" s="6" t="s">
        <v>76</v>
      </c>
      <c r="Q1579" s="6" t="s">
        <v>27</v>
      </c>
      <c r="R1579" s="6">
        <v>0</v>
      </c>
      <c r="S1579" s="6" t="s">
        <v>28</v>
      </c>
      <c r="T1579" s="7">
        <f t="shared" si="120"/>
        <v>0.52263703703703701</v>
      </c>
      <c r="U1579" s="6">
        <f t="shared" si="121"/>
        <v>7</v>
      </c>
      <c r="V1579" s="5" t="str">
        <f t="shared" si="122"/>
        <v>FAIR</v>
      </c>
      <c r="W1579" s="6" t="str">
        <f t="shared" si="123"/>
        <v>55+</v>
      </c>
      <c r="X1579" s="6" t="str">
        <f t="shared" si="124"/>
        <v>High</v>
      </c>
    </row>
    <row r="1580" spans="1:24">
      <c r="A1580" s="6" t="s">
        <v>554</v>
      </c>
      <c r="B1580" s="6" t="s">
        <v>3461</v>
      </c>
      <c r="C1580" s="6" t="s">
        <v>31</v>
      </c>
      <c r="D1580" s="6" t="s">
        <v>214</v>
      </c>
      <c r="E1580" s="6" t="s">
        <v>215</v>
      </c>
      <c r="F1580" s="6">
        <v>64</v>
      </c>
      <c r="G1580" s="6" t="s">
        <v>34</v>
      </c>
      <c r="H1580" s="6" t="s">
        <v>3462</v>
      </c>
      <c r="I1580" s="6" t="s">
        <v>4423</v>
      </c>
      <c r="J1580" s="8">
        <v>45728</v>
      </c>
      <c r="K1580" s="8">
        <v>45306</v>
      </c>
      <c r="L1580" s="6">
        <v>48200.5</v>
      </c>
      <c r="M1580" s="6">
        <v>21200.400000000001</v>
      </c>
      <c r="N1580" s="6">
        <v>720</v>
      </c>
      <c r="O1580" s="6">
        <v>80000</v>
      </c>
      <c r="P1580" s="6" t="s">
        <v>36</v>
      </c>
      <c r="Q1580" s="6" t="s">
        <v>27</v>
      </c>
      <c r="R1580" s="6">
        <v>0</v>
      </c>
      <c r="S1580" s="6" t="s">
        <v>28</v>
      </c>
      <c r="T1580" s="7">
        <f t="shared" si="120"/>
        <v>0.26500499999999999</v>
      </c>
      <c r="U1580" s="6">
        <f t="shared" si="121"/>
        <v>0</v>
      </c>
      <c r="V1580" s="5" t="str">
        <f t="shared" si="122"/>
        <v>GOOD</v>
      </c>
      <c r="W1580" s="6" t="str">
        <f t="shared" si="123"/>
        <v>55+</v>
      </c>
      <c r="X1580" s="6" t="str">
        <f t="shared" si="124"/>
        <v>Lower-Middle</v>
      </c>
    </row>
    <row r="1581" spans="1:24">
      <c r="A1581" s="6" t="s">
        <v>108</v>
      </c>
      <c r="B1581" s="6" t="s">
        <v>3463</v>
      </c>
      <c r="C1581" s="6" t="s">
        <v>84</v>
      </c>
      <c r="D1581" s="6" t="s">
        <v>32</v>
      </c>
      <c r="E1581" s="6" t="s">
        <v>33</v>
      </c>
      <c r="F1581" s="6">
        <v>60</v>
      </c>
      <c r="G1581" s="6" t="s">
        <v>24</v>
      </c>
      <c r="H1581" s="6" t="s">
        <v>3464</v>
      </c>
      <c r="I1581" s="6" t="s">
        <v>3688</v>
      </c>
      <c r="J1581" s="8">
        <v>45731</v>
      </c>
      <c r="K1581" s="8">
        <v>45304</v>
      </c>
      <c r="L1581" s="6">
        <v>5650.8</v>
      </c>
      <c r="M1581" s="6">
        <v>16200.25</v>
      </c>
      <c r="N1581" s="6">
        <v>605</v>
      </c>
      <c r="O1581" s="6">
        <v>56000</v>
      </c>
      <c r="P1581" s="6" t="s">
        <v>76</v>
      </c>
      <c r="Q1581" s="6" t="s">
        <v>43</v>
      </c>
      <c r="R1581" s="6">
        <v>0</v>
      </c>
      <c r="S1581" s="6" t="s">
        <v>28</v>
      </c>
      <c r="T1581" s="7">
        <f t="shared" si="120"/>
        <v>0.28929017857142858</v>
      </c>
      <c r="U1581" s="6">
        <f t="shared" si="121"/>
        <v>2</v>
      </c>
      <c r="V1581" s="5" t="str">
        <f t="shared" si="122"/>
        <v>FAIR</v>
      </c>
      <c r="W1581" s="6" t="str">
        <f t="shared" si="123"/>
        <v>55+</v>
      </c>
      <c r="X1581" s="6" t="str">
        <f t="shared" si="124"/>
        <v>Low</v>
      </c>
    </row>
    <row r="1582" spans="1:24">
      <c r="A1582" s="6" t="s">
        <v>559</v>
      </c>
      <c r="B1582" s="6" t="s">
        <v>3465</v>
      </c>
      <c r="C1582" s="6" t="s">
        <v>46</v>
      </c>
      <c r="D1582" s="6" t="s">
        <v>254</v>
      </c>
      <c r="E1582" s="6" t="s">
        <v>255</v>
      </c>
      <c r="F1582" s="6">
        <v>74</v>
      </c>
      <c r="G1582" s="6" t="s">
        <v>34</v>
      </c>
      <c r="H1582" s="6" t="s">
        <v>3466</v>
      </c>
      <c r="I1582" s="6" t="s">
        <v>4424</v>
      </c>
      <c r="J1582" s="8">
        <v>45434</v>
      </c>
      <c r="K1582" s="8">
        <v>45302</v>
      </c>
      <c r="L1582" s="6">
        <v>104100.4</v>
      </c>
      <c r="M1582" s="6">
        <v>66300.75</v>
      </c>
      <c r="N1582" s="6">
        <v>710</v>
      </c>
      <c r="O1582" s="6">
        <v>154000</v>
      </c>
      <c r="P1582" s="6" t="s">
        <v>26</v>
      </c>
      <c r="Q1582" s="6" t="s">
        <v>27</v>
      </c>
      <c r="R1582" s="6">
        <v>0</v>
      </c>
      <c r="S1582" s="6" t="s">
        <v>28</v>
      </c>
      <c r="T1582" s="7">
        <f t="shared" si="120"/>
        <v>0.43052435064935063</v>
      </c>
      <c r="U1582" s="6">
        <f t="shared" si="121"/>
        <v>4</v>
      </c>
      <c r="V1582" s="5" t="str">
        <f t="shared" si="122"/>
        <v>GOOD</v>
      </c>
      <c r="W1582" s="6" t="str">
        <f t="shared" si="123"/>
        <v>55+</v>
      </c>
      <c r="X1582" s="6" t="str">
        <f t="shared" si="124"/>
        <v>Upper-Middle</v>
      </c>
    </row>
    <row r="1583" spans="1:24">
      <c r="A1583" s="6" t="s">
        <v>562</v>
      </c>
      <c r="B1583" s="6" t="s">
        <v>3467</v>
      </c>
      <c r="C1583" s="6" t="s">
        <v>39</v>
      </c>
      <c r="D1583" s="6" t="s">
        <v>47</v>
      </c>
      <c r="E1583" s="6" t="s">
        <v>48</v>
      </c>
      <c r="F1583" s="6">
        <v>88</v>
      </c>
      <c r="G1583" s="6" t="s">
        <v>24</v>
      </c>
      <c r="H1583" s="6" t="s">
        <v>3468</v>
      </c>
      <c r="I1583" s="6" t="s">
        <v>3894</v>
      </c>
      <c r="J1583" s="8">
        <v>44308</v>
      </c>
      <c r="K1583" s="8">
        <v>45300</v>
      </c>
      <c r="L1583" s="6">
        <v>182700.6</v>
      </c>
      <c r="M1583" s="6">
        <v>120000.25</v>
      </c>
      <c r="N1583" s="6">
        <v>675</v>
      </c>
      <c r="O1583" s="6">
        <v>223000</v>
      </c>
      <c r="P1583" s="6" t="s">
        <v>76</v>
      </c>
      <c r="Q1583" s="6" t="s">
        <v>27</v>
      </c>
      <c r="R1583" s="6">
        <v>0</v>
      </c>
      <c r="S1583" s="6" t="s">
        <v>28</v>
      </c>
      <c r="T1583" s="7">
        <f t="shared" si="120"/>
        <v>0.5381177130044843</v>
      </c>
      <c r="U1583" s="6">
        <f t="shared" si="121"/>
        <v>6</v>
      </c>
      <c r="V1583" s="5" t="str">
        <f t="shared" si="122"/>
        <v>GOOD</v>
      </c>
      <c r="W1583" s="6" t="str">
        <f t="shared" si="123"/>
        <v>55+</v>
      </c>
      <c r="X1583" s="6" t="str">
        <f t="shared" si="124"/>
        <v>High</v>
      </c>
    </row>
    <row r="1584" spans="1:24">
      <c r="A1584" s="6" t="s">
        <v>565</v>
      </c>
      <c r="B1584" s="6" t="s">
        <v>3469</v>
      </c>
      <c r="C1584" s="6" t="s">
        <v>52</v>
      </c>
      <c r="D1584" s="6" t="s">
        <v>233</v>
      </c>
      <c r="E1584" s="6" t="s">
        <v>234</v>
      </c>
      <c r="F1584" s="6">
        <v>73</v>
      </c>
      <c r="G1584" s="6" t="s">
        <v>34</v>
      </c>
      <c r="H1584" s="6" t="s">
        <v>3470</v>
      </c>
      <c r="I1584" s="6" t="s">
        <v>3590</v>
      </c>
      <c r="J1584" s="8">
        <v>45221</v>
      </c>
      <c r="K1584" s="8">
        <v>45301</v>
      </c>
      <c r="L1584" s="6">
        <v>80500.75</v>
      </c>
      <c r="M1584" s="6">
        <v>57400.800000000003</v>
      </c>
      <c r="N1584" s="6">
        <v>725</v>
      </c>
      <c r="O1584" s="6">
        <v>120000</v>
      </c>
      <c r="P1584" s="6" t="s">
        <v>26</v>
      </c>
      <c r="Q1584" s="6" t="s">
        <v>27</v>
      </c>
      <c r="R1584" s="6">
        <v>0</v>
      </c>
      <c r="S1584" s="6" t="s">
        <v>28</v>
      </c>
      <c r="T1584" s="7">
        <f t="shared" si="120"/>
        <v>0.47834000000000004</v>
      </c>
      <c r="U1584" s="6">
        <f t="shared" si="121"/>
        <v>5</v>
      </c>
      <c r="V1584" s="5" t="str">
        <f t="shared" si="122"/>
        <v>GOOD</v>
      </c>
      <c r="W1584" s="6" t="str">
        <f t="shared" si="123"/>
        <v>55+</v>
      </c>
      <c r="X1584" s="6" t="str">
        <f t="shared" si="124"/>
        <v>Lower-Middle</v>
      </c>
    </row>
    <row r="1585" spans="1:24">
      <c r="A1585" s="6" t="s">
        <v>568</v>
      </c>
      <c r="B1585" s="6" t="s">
        <v>3471</v>
      </c>
      <c r="C1585" s="6" t="s">
        <v>57</v>
      </c>
      <c r="D1585" s="6" t="s">
        <v>79</v>
      </c>
      <c r="E1585" s="6" t="s">
        <v>80</v>
      </c>
      <c r="F1585" s="6">
        <v>71</v>
      </c>
      <c r="G1585" s="6" t="s">
        <v>24</v>
      </c>
      <c r="H1585" s="6" t="s">
        <v>3472</v>
      </c>
      <c r="I1585" s="6" t="s">
        <v>3895</v>
      </c>
      <c r="J1585" s="8">
        <v>45679</v>
      </c>
      <c r="K1585" s="8">
        <v>45303</v>
      </c>
      <c r="L1585" s="6">
        <v>58500.4</v>
      </c>
      <c r="M1585" s="6">
        <v>22400.9</v>
      </c>
      <c r="N1585" s="6">
        <v>740</v>
      </c>
      <c r="O1585" s="6">
        <v>106000</v>
      </c>
      <c r="P1585" s="6" t="s">
        <v>36</v>
      </c>
      <c r="Q1585" s="6" t="s">
        <v>27</v>
      </c>
      <c r="R1585" s="6">
        <v>0</v>
      </c>
      <c r="S1585" s="6" t="s">
        <v>28</v>
      </c>
      <c r="T1585" s="7">
        <f t="shared" si="120"/>
        <v>0.21132924528301889</v>
      </c>
      <c r="U1585" s="6">
        <f t="shared" si="121"/>
        <v>3</v>
      </c>
      <c r="V1585" s="5" t="str">
        <f t="shared" si="122"/>
        <v>GOOD</v>
      </c>
      <c r="W1585" s="6" t="str">
        <f t="shared" si="123"/>
        <v>55+</v>
      </c>
      <c r="X1585" s="6" t="str">
        <f t="shared" si="124"/>
        <v>Lower-Middle</v>
      </c>
    </row>
    <row r="1586" spans="1:24">
      <c r="A1586" s="6" t="s">
        <v>571</v>
      </c>
      <c r="B1586" s="6" t="s">
        <v>3473</v>
      </c>
      <c r="C1586" s="6" t="s">
        <v>21</v>
      </c>
      <c r="D1586" s="6" t="s">
        <v>63</v>
      </c>
      <c r="E1586" s="6" t="s">
        <v>3514</v>
      </c>
      <c r="F1586" s="6">
        <v>94</v>
      </c>
      <c r="G1586" s="6" t="s">
        <v>34</v>
      </c>
      <c r="H1586" s="6" t="s">
        <v>3474</v>
      </c>
      <c r="I1586" s="6" t="s">
        <v>4096</v>
      </c>
      <c r="J1586" s="8">
        <v>43852</v>
      </c>
      <c r="K1586" s="8">
        <v>45299</v>
      </c>
      <c r="L1586" s="6">
        <v>271600.90000000002</v>
      </c>
      <c r="M1586" s="6">
        <v>110000.6</v>
      </c>
      <c r="N1586" s="6">
        <v>830</v>
      </c>
      <c r="O1586" s="6">
        <v>318000</v>
      </c>
      <c r="P1586" s="6" t="s">
        <v>36</v>
      </c>
      <c r="Q1586" s="6" t="s">
        <v>27</v>
      </c>
      <c r="R1586" s="6">
        <v>0</v>
      </c>
      <c r="S1586" s="6" t="s">
        <v>28</v>
      </c>
      <c r="T1586" s="7">
        <f t="shared" si="120"/>
        <v>0.34591383647798746</v>
      </c>
      <c r="U1586" s="6">
        <f t="shared" si="121"/>
        <v>7</v>
      </c>
      <c r="V1586" s="5" t="str">
        <f t="shared" si="122"/>
        <v>EXCEPTIONAL</v>
      </c>
      <c r="W1586" s="6" t="str">
        <f t="shared" si="123"/>
        <v>55+</v>
      </c>
      <c r="X1586" s="6" t="str">
        <f t="shared" si="124"/>
        <v>High</v>
      </c>
    </row>
    <row r="1587" spans="1:24">
      <c r="A1587" s="6" t="s">
        <v>574</v>
      </c>
      <c r="B1587" s="6" t="s">
        <v>3475</v>
      </c>
      <c r="C1587" s="6" t="s">
        <v>39</v>
      </c>
      <c r="D1587" s="6" t="s">
        <v>68</v>
      </c>
      <c r="E1587" s="6" t="s">
        <v>179</v>
      </c>
      <c r="F1587" s="6">
        <v>86</v>
      </c>
      <c r="G1587" s="6" t="s">
        <v>24</v>
      </c>
      <c r="H1587" s="6" t="s">
        <v>3476</v>
      </c>
      <c r="I1587" s="6" t="s">
        <v>4425</v>
      </c>
      <c r="J1587" s="8">
        <v>44451</v>
      </c>
      <c r="K1587" s="8">
        <v>45300</v>
      </c>
      <c r="L1587" s="6">
        <v>160500.25</v>
      </c>
      <c r="M1587" s="6">
        <v>112000.4</v>
      </c>
      <c r="N1587" s="6">
        <v>655</v>
      </c>
      <c r="O1587" s="6">
        <v>208000</v>
      </c>
      <c r="P1587" s="6" t="s">
        <v>76</v>
      </c>
      <c r="Q1587" s="6" t="s">
        <v>27</v>
      </c>
      <c r="R1587" s="6">
        <v>0</v>
      </c>
      <c r="S1587" s="6" t="s">
        <v>28</v>
      </c>
      <c r="T1587" s="7">
        <f t="shared" si="120"/>
        <v>0.53846346153846147</v>
      </c>
      <c r="U1587" s="6">
        <f t="shared" si="121"/>
        <v>6</v>
      </c>
      <c r="V1587" s="5" t="str">
        <f t="shared" si="122"/>
        <v>FAIR</v>
      </c>
      <c r="W1587" s="6" t="str">
        <f t="shared" si="123"/>
        <v>55+</v>
      </c>
      <c r="X1587" s="6" t="str">
        <f t="shared" si="124"/>
        <v>High</v>
      </c>
    </row>
    <row r="1588" spans="1:24">
      <c r="A1588" s="6" t="s">
        <v>577</v>
      </c>
      <c r="B1588" s="6" t="s">
        <v>3477</v>
      </c>
      <c r="C1588" s="6" t="s">
        <v>46</v>
      </c>
      <c r="D1588" s="6" t="s">
        <v>85</v>
      </c>
      <c r="E1588" s="6" t="s">
        <v>86</v>
      </c>
      <c r="F1588" s="6">
        <v>75</v>
      </c>
      <c r="G1588" s="6" t="s">
        <v>34</v>
      </c>
      <c r="H1588" s="6" t="s">
        <v>3478</v>
      </c>
      <c r="I1588" s="6" t="s">
        <v>3968</v>
      </c>
      <c r="J1588" s="8">
        <v>45344</v>
      </c>
      <c r="K1588" s="8">
        <v>45302</v>
      </c>
      <c r="L1588" s="6">
        <v>123000.6</v>
      </c>
      <c r="M1588" s="6">
        <v>74300.75</v>
      </c>
      <c r="N1588" s="6">
        <v>760</v>
      </c>
      <c r="O1588" s="6">
        <v>177000</v>
      </c>
      <c r="P1588" s="6" t="s">
        <v>26</v>
      </c>
      <c r="Q1588" s="6" t="s">
        <v>27</v>
      </c>
      <c r="R1588" s="6">
        <v>0</v>
      </c>
      <c r="S1588" s="6" t="s">
        <v>28</v>
      </c>
      <c r="T1588" s="7">
        <f t="shared" si="120"/>
        <v>0.41977824858757062</v>
      </c>
      <c r="U1588" s="6">
        <f t="shared" si="121"/>
        <v>4</v>
      </c>
      <c r="V1588" s="5" t="str">
        <f t="shared" si="122"/>
        <v>VERY GOOD</v>
      </c>
      <c r="W1588" s="6" t="str">
        <f t="shared" si="123"/>
        <v>55+</v>
      </c>
      <c r="X1588" s="6" t="str">
        <f t="shared" si="124"/>
        <v>Upper-Middle</v>
      </c>
    </row>
    <row r="1589" spans="1:24">
      <c r="A1589" s="6" t="s">
        <v>458</v>
      </c>
      <c r="B1589" s="6" t="s">
        <v>3479</v>
      </c>
      <c r="C1589" s="6" t="s">
        <v>31</v>
      </c>
      <c r="D1589" s="6" t="s">
        <v>460</v>
      </c>
      <c r="E1589" s="6" t="s">
        <v>663</v>
      </c>
      <c r="F1589" s="6">
        <v>66</v>
      </c>
      <c r="G1589" s="6" t="s">
        <v>24</v>
      </c>
      <c r="H1589" s="6" t="s">
        <v>3480</v>
      </c>
      <c r="I1589" s="6" t="s">
        <v>4426</v>
      </c>
      <c r="J1589" s="8">
        <v>45724</v>
      </c>
      <c r="K1589" s="8">
        <v>45306</v>
      </c>
      <c r="L1589" s="6">
        <v>27400.25</v>
      </c>
      <c r="M1589" s="6">
        <v>16300.8</v>
      </c>
      <c r="N1589" s="6">
        <v>695</v>
      </c>
      <c r="O1589" s="6">
        <v>77000</v>
      </c>
      <c r="P1589" s="6" t="s">
        <v>26</v>
      </c>
      <c r="Q1589" s="6" t="s">
        <v>43</v>
      </c>
      <c r="R1589" s="6">
        <v>0</v>
      </c>
      <c r="S1589" s="6" t="s">
        <v>28</v>
      </c>
      <c r="T1589" s="7">
        <f t="shared" si="120"/>
        <v>0.2116987012987013</v>
      </c>
      <c r="U1589" s="6">
        <f t="shared" si="121"/>
        <v>0</v>
      </c>
      <c r="V1589" s="5" t="str">
        <f t="shared" si="122"/>
        <v>GOOD</v>
      </c>
      <c r="W1589" s="6" t="str">
        <f t="shared" si="123"/>
        <v>55+</v>
      </c>
      <c r="X1589" s="6" t="str">
        <f t="shared" si="124"/>
        <v>Lower-Middle</v>
      </c>
    </row>
    <row r="1590" spans="1:24">
      <c r="A1590" s="6" t="s">
        <v>582</v>
      </c>
      <c r="B1590" s="6" t="s">
        <v>3481</v>
      </c>
      <c r="C1590" s="6" t="s">
        <v>57</v>
      </c>
      <c r="D1590" s="6" t="s">
        <v>22</v>
      </c>
      <c r="E1590" s="6" t="s">
        <v>53</v>
      </c>
      <c r="F1590" s="6">
        <v>69</v>
      </c>
      <c r="G1590" s="6" t="s">
        <v>34</v>
      </c>
      <c r="H1590" s="6" t="s">
        <v>3482</v>
      </c>
      <c r="I1590" s="6" t="s">
        <v>4008</v>
      </c>
      <c r="J1590" s="8">
        <v>45618</v>
      </c>
      <c r="K1590" s="8">
        <v>45303</v>
      </c>
      <c r="L1590" s="6">
        <v>57400.9</v>
      </c>
      <c r="M1590" s="6">
        <v>22000.25</v>
      </c>
      <c r="N1590" s="6">
        <v>755</v>
      </c>
      <c r="O1590" s="6">
        <v>99000</v>
      </c>
      <c r="P1590" s="6" t="s">
        <v>36</v>
      </c>
      <c r="Q1590" s="6" t="s">
        <v>27</v>
      </c>
      <c r="R1590" s="6">
        <v>0</v>
      </c>
      <c r="S1590" s="6" t="s">
        <v>28</v>
      </c>
      <c r="T1590" s="7">
        <f t="shared" si="120"/>
        <v>0.22222474747474746</v>
      </c>
      <c r="U1590" s="6">
        <f t="shared" si="121"/>
        <v>3</v>
      </c>
      <c r="V1590" s="5" t="str">
        <f t="shared" si="122"/>
        <v>VERY GOOD</v>
      </c>
      <c r="W1590" s="6" t="str">
        <f t="shared" si="123"/>
        <v>55+</v>
      </c>
      <c r="X1590" s="6" t="str">
        <f t="shared" si="124"/>
        <v>Lower-Middle</v>
      </c>
    </row>
    <row r="1591" spans="1:24">
      <c r="A1591" s="6" t="s">
        <v>55</v>
      </c>
      <c r="B1591" s="6" t="s">
        <v>3483</v>
      </c>
      <c r="C1591" s="6" t="s">
        <v>39</v>
      </c>
      <c r="D1591" s="6" t="s">
        <v>58</v>
      </c>
      <c r="E1591" s="6" t="s">
        <v>122</v>
      </c>
      <c r="F1591" s="6">
        <v>87</v>
      </c>
      <c r="G1591" s="6" t="s">
        <v>24</v>
      </c>
      <c r="H1591" s="6" t="s">
        <v>3484</v>
      </c>
      <c r="I1591" s="6" t="s">
        <v>3617</v>
      </c>
      <c r="J1591" s="8">
        <v>44369</v>
      </c>
      <c r="K1591" s="8">
        <v>45300</v>
      </c>
      <c r="L1591" s="6">
        <v>193400.4</v>
      </c>
      <c r="M1591" s="6">
        <v>125000.75</v>
      </c>
      <c r="N1591" s="6">
        <v>685</v>
      </c>
      <c r="O1591" s="6">
        <v>233000</v>
      </c>
      <c r="P1591" s="6" t="s">
        <v>76</v>
      </c>
      <c r="Q1591" s="6" t="s">
        <v>27</v>
      </c>
      <c r="R1591" s="6">
        <v>0</v>
      </c>
      <c r="S1591" s="6" t="s">
        <v>28</v>
      </c>
      <c r="T1591" s="7">
        <f t="shared" si="120"/>
        <v>0.53648390557939918</v>
      </c>
      <c r="U1591" s="6">
        <f t="shared" si="121"/>
        <v>6</v>
      </c>
      <c r="V1591" s="5" t="str">
        <f t="shared" si="122"/>
        <v>GOOD</v>
      </c>
      <c r="W1591" s="6" t="str">
        <f t="shared" si="123"/>
        <v>55+</v>
      </c>
      <c r="X1591" s="6" t="str">
        <f t="shared" si="124"/>
        <v>High</v>
      </c>
    </row>
    <row r="1592" spans="1:24">
      <c r="A1592" s="6" t="s">
        <v>469</v>
      </c>
      <c r="B1592" s="6" t="s">
        <v>3485</v>
      </c>
      <c r="C1592" s="6" t="s">
        <v>52</v>
      </c>
      <c r="D1592" s="6" t="s">
        <v>471</v>
      </c>
      <c r="E1592" s="6" t="s">
        <v>472</v>
      </c>
      <c r="F1592" s="6">
        <v>78</v>
      </c>
      <c r="G1592" s="6" t="s">
        <v>34</v>
      </c>
      <c r="H1592" s="6" t="s">
        <v>3486</v>
      </c>
      <c r="I1592" s="6" t="s">
        <v>4427</v>
      </c>
      <c r="J1592" s="8">
        <v>45007</v>
      </c>
      <c r="K1592" s="8">
        <v>45301</v>
      </c>
      <c r="L1592" s="6">
        <v>87400.8</v>
      </c>
      <c r="M1592" s="6">
        <v>60500.6</v>
      </c>
      <c r="N1592" s="6">
        <v>715</v>
      </c>
      <c r="O1592" s="6">
        <v>132000</v>
      </c>
      <c r="P1592" s="6" t="s">
        <v>26</v>
      </c>
      <c r="Q1592" s="6" t="s">
        <v>27</v>
      </c>
      <c r="R1592" s="6">
        <v>0</v>
      </c>
      <c r="S1592" s="6" t="s">
        <v>28</v>
      </c>
      <c r="T1592" s="7">
        <f t="shared" si="120"/>
        <v>0.45833787878787879</v>
      </c>
      <c r="U1592" s="6">
        <f t="shared" si="121"/>
        <v>5</v>
      </c>
      <c r="V1592" s="5" t="str">
        <f t="shared" si="122"/>
        <v>GOOD</v>
      </c>
      <c r="W1592" s="6" t="str">
        <f t="shared" si="123"/>
        <v>55+</v>
      </c>
      <c r="X1592" s="6" t="str">
        <f t="shared" si="124"/>
        <v>Upper-Middle</v>
      </c>
    </row>
    <row r="1593" spans="1:24">
      <c r="A1593" s="6" t="s">
        <v>474</v>
      </c>
      <c r="B1593" s="6" t="s">
        <v>3487</v>
      </c>
      <c r="C1593" s="6" t="s">
        <v>46</v>
      </c>
      <c r="D1593" s="6" t="s">
        <v>345</v>
      </c>
      <c r="E1593" s="6" t="s">
        <v>476</v>
      </c>
      <c r="F1593" s="6">
        <v>81</v>
      </c>
      <c r="G1593" s="6" t="s">
        <v>24</v>
      </c>
      <c r="H1593" s="6" t="s">
        <v>3488</v>
      </c>
      <c r="I1593" s="6" t="s">
        <v>3902</v>
      </c>
      <c r="J1593" s="8">
        <v>44917</v>
      </c>
      <c r="K1593" s="8">
        <v>45302</v>
      </c>
      <c r="L1593" s="6">
        <v>115200.25</v>
      </c>
      <c r="M1593" s="6">
        <v>70500.399999999994</v>
      </c>
      <c r="N1593" s="6">
        <v>680</v>
      </c>
      <c r="O1593" s="6">
        <v>161000</v>
      </c>
      <c r="P1593" s="6" t="s">
        <v>26</v>
      </c>
      <c r="Q1593" s="6" t="s">
        <v>27</v>
      </c>
      <c r="R1593" s="6">
        <v>0</v>
      </c>
      <c r="S1593" s="6" t="s">
        <v>28</v>
      </c>
      <c r="T1593" s="7">
        <f t="shared" si="120"/>
        <v>0.43789068322981362</v>
      </c>
      <c r="U1593" s="6">
        <f t="shared" si="121"/>
        <v>4</v>
      </c>
      <c r="V1593" s="5" t="str">
        <f t="shared" si="122"/>
        <v>GOOD</v>
      </c>
      <c r="W1593" s="6" t="str">
        <f t="shared" si="123"/>
        <v>55+</v>
      </c>
      <c r="X1593" s="6" t="str">
        <f t="shared" si="124"/>
        <v>Upper-Middle</v>
      </c>
    </row>
    <row r="1594" spans="1:24">
      <c r="A1594" s="6" t="s">
        <v>592</v>
      </c>
      <c r="B1594" s="6" t="s">
        <v>3489</v>
      </c>
      <c r="C1594" s="6" t="s">
        <v>84</v>
      </c>
      <c r="D1594" s="6" t="s">
        <v>32</v>
      </c>
      <c r="E1594" s="6" t="s">
        <v>90</v>
      </c>
      <c r="F1594" s="6">
        <v>61</v>
      </c>
      <c r="G1594" s="6" t="s">
        <v>34</v>
      </c>
      <c r="H1594" s="6" t="s">
        <v>3490</v>
      </c>
      <c r="I1594" s="6" t="s">
        <v>3721</v>
      </c>
      <c r="J1594" s="8">
        <v>45738</v>
      </c>
      <c r="K1594" s="8">
        <v>45304</v>
      </c>
      <c r="L1594" s="6">
        <v>5750.4</v>
      </c>
      <c r="M1594" s="6">
        <v>16800.75</v>
      </c>
      <c r="N1594" s="6">
        <v>610</v>
      </c>
      <c r="O1594" s="6">
        <v>57000</v>
      </c>
      <c r="P1594" s="6" t="s">
        <v>76</v>
      </c>
      <c r="Q1594" s="6" t="s">
        <v>43</v>
      </c>
      <c r="R1594" s="6">
        <v>0</v>
      </c>
      <c r="S1594" s="6" t="s">
        <v>28</v>
      </c>
      <c r="T1594" s="7">
        <f t="shared" si="120"/>
        <v>0.29475000000000001</v>
      </c>
      <c r="U1594" s="6">
        <f t="shared" si="121"/>
        <v>2</v>
      </c>
      <c r="V1594" s="5" t="str">
        <f t="shared" si="122"/>
        <v>FAIR</v>
      </c>
      <c r="W1594" s="6" t="str">
        <f t="shared" si="123"/>
        <v>55+</v>
      </c>
      <c r="X1594" s="6" t="str">
        <f t="shared" si="124"/>
        <v>Low</v>
      </c>
    </row>
    <row r="1595" spans="1:24">
      <c r="A1595" s="6" t="s">
        <v>595</v>
      </c>
      <c r="B1595" s="6" t="s">
        <v>3491</v>
      </c>
      <c r="C1595" s="6" t="s">
        <v>21</v>
      </c>
      <c r="D1595" s="6" t="s">
        <v>209</v>
      </c>
      <c r="E1595" s="6" t="s">
        <v>210</v>
      </c>
      <c r="F1595" s="6">
        <v>93</v>
      </c>
      <c r="G1595" s="6" t="s">
        <v>24</v>
      </c>
      <c r="H1595" s="6" t="s">
        <v>3492</v>
      </c>
      <c r="I1595" s="6" t="s">
        <v>4100</v>
      </c>
      <c r="J1595" s="8">
        <v>44065</v>
      </c>
      <c r="K1595" s="8">
        <v>45299</v>
      </c>
      <c r="L1595" s="6">
        <v>291400.8</v>
      </c>
      <c r="M1595" s="6">
        <v>116000.25</v>
      </c>
      <c r="N1595" s="6">
        <v>825</v>
      </c>
      <c r="O1595" s="6">
        <v>313000</v>
      </c>
      <c r="P1595" s="6" t="s">
        <v>36</v>
      </c>
      <c r="Q1595" s="6" t="s">
        <v>27</v>
      </c>
      <c r="R1595" s="6">
        <v>0</v>
      </c>
      <c r="S1595" s="6" t="s">
        <v>28</v>
      </c>
      <c r="T1595" s="7">
        <f t="shared" si="120"/>
        <v>0.37060782747603832</v>
      </c>
      <c r="U1595" s="6">
        <f t="shared" si="121"/>
        <v>7</v>
      </c>
      <c r="V1595" s="5" t="str">
        <f t="shared" si="122"/>
        <v>EXCEPTIONAL</v>
      </c>
      <c r="W1595" s="6" t="str">
        <f t="shared" si="123"/>
        <v>55+</v>
      </c>
      <c r="X1595" s="6" t="str">
        <f t="shared" si="124"/>
        <v>High</v>
      </c>
    </row>
    <row r="1596" spans="1:24">
      <c r="A1596" s="6" t="s">
        <v>226</v>
      </c>
      <c r="B1596" s="6" t="s">
        <v>3493</v>
      </c>
      <c r="C1596" s="6" t="s">
        <v>57</v>
      </c>
      <c r="D1596" s="6" t="s">
        <v>228</v>
      </c>
      <c r="E1596" s="6" t="s">
        <v>229</v>
      </c>
      <c r="F1596" s="6">
        <v>68</v>
      </c>
      <c r="G1596" s="6" t="s">
        <v>34</v>
      </c>
      <c r="H1596" s="6" t="s">
        <v>3494</v>
      </c>
      <c r="I1596" s="6" t="s">
        <v>4428</v>
      </c>
      <c r="J1596" s="8">
        <v>45799</v>
      </c>
      <c r="K1596" s="8">
        <v>45305</v>
      </c>
      <c r="L1596" s="6">
        <v>54100.75</v>
      </c>
      <c r="M1596" s="6">
        <v>20400.400000000001</v>
      </c>
      <c r="N1596" s="6">
        <v>725</v>
      </c>
      <c r="O1596" s="6">
        <v>89000</v>
      </c>
      <c r="P1596" s="6" t="s">
        <v>36</v>
      </c>
      <c r="Q1596" s="6" t="s">
        <v>27</v>
      </c>
      <c r="R1596" s="6">
        <v>0</v>
      </c>
      <c r="S1596" s="6" t="s">
        <v>28</v>
      </c>
      <c r="T1596" s="7">
        <f t="shared" si="120"/>
        <v>0.22921797752808989</v>
      </c>
      <c r="U1596" s="6">
        <f t="shared" si="121"/>
        <v>1</v>
      </c>
      <c r="V1596" s="5" t="str">
        <f t="shared" si="122"/>
        <v>GOOD</v>
      </c>
      <c r="W1596" s="6" t="str">
        <f t="shared" si="123"/>
        <v>55+</v>
      </c>
      <c r="X1596" s="6" t="str">
        <f t="shared" si="124"/>
        <v>Lower-Middle</v>
      </c>
    </row>
    <row r="1597" spans="1:24">
      <c r="A1597" s="6" t="s">
        <v>488</v>
      </c>
      <c r="B1597" s="6" t="s">
        <v>3495</v>
      </c>
      <c r="C1597" s="6" t="s">
        <v>39</v>
      </c>
      <c r="D1597" s="6" t="s">
        <v>304</v>
      </c>
      <c r="E1597" s="6" t="s">
        <v>304</v>
      </c>
      <c r="F1597" s="6">
        <v>85</v>
      </c>
      <c r="G1597" s="6" t="s">
        <v>24</v>
      </c>
      <c r="H1597" s="6" t="s">
        <v>3496</v>
      </c>
      <c r="I1597" s="6" t="s">
        <v>4429</v>
      </c>
      <c r="J1597" s="8">
        <v>44542</v>
      </c>
      <c r="K1597" s="8">
        <v>45300</v>
      </c>
      <c r="L1597" s="6">
        <v>171600.6</v>
      </c>
      <c r="M1597" s="6">
        <v>116000.9</v>
      </c>
      <c r="N1597" s="6">
        <v>675</v>
      </c>
      <c r="O1597" s="6">
        <v>213000</v>
      </c>
      <c r="P1597" s="6" t="s">
        <v>76</v>
      </c>
      <c r="Q1597" s="6" t="s">
        <v>27</v>
      </c>
      <c r="R1597" s="6">
        <v>0</v>
      </c>
      <c r="S1597" s="6" t="s">
        <v>28</v>
      </c>
      <c r="T1597" s="7">
        <f t="shared" si="120"/>
        <v>0.54460516431924877</v>
      </c>
      <c r="U1597" s="6">
        <f t="shared" si="121"/>
        <v>6</v>
      </c>
      <c r="V1597" s="5" t="str">
        <f t="shared" si="122"/>
        <v>GOOD</v>
      </c>
      <c r="W1597" s="6" t="str">
        <f t="shared" si="123"/>
        <v>55+</v>
      </c>
      <c r="X1597" s="6" t="str">
        <f t="shared" si="124"/>
        <v>High</v>
      </c>
    </row>
    <row r="1598" spans="1:24">
      <c r="A1598" s="6" t="s">
        <v>491</v>
      </c>
      <c r="B1598" s="6" t="s">
        <v>3497</v>
      </c>
      <c r="C1598" s="6" t="s">
        <v>52</v>
      </c>
      <c r="D1598" s="6" t="s">
        <v>493</v>
      </c>
      <c r="E1598" s="6" t="s">
        <v>494</v>
      </c>
      <c r="F1598" s="6">
        <v>76</v>
      </c>
      <c r="G1598" s="6" t="s">
        <v>34</v>
      </c>
      <c r="H1598" s="6" t="s">
        <v>3498</v>
      </c>
      <c r="I1598" s="6" t="s">
        <v>4430</v>
      </c>
      <c r="J1598" s="8">
        <v>45313</v>
      </c>
      <c r="K1598" s="8">
        <v>45302</v>
      </c>
      <c r="L1598" s="6">
        <v>81600.399999999994</v>
      </c>
      <c r="M1598" s="6">
        <v>56300.25</v>
      </c>
      <c r="N1598" s="6">
        <v>705</v>
      </c>
      <c r="O1598" s="6">
        <v>121000</v>
      </c>
      <c r="P1598" s="6" t="s">
        <v>26</v>
      </c>
      <c r="Q1598" s="6" t="s">
        <v>27</v>
      </c>
      <c r="R1598" s="6">
        <v>0</v>
      </c>
      <c r="S1598" s="6" t="s">
        <v>28</v>
      </c>
      <c r="T1598" s="7">
        <f t="shared" si="120"/>
        <v>0.46529132231404957</v>
      </c>
      <c r="U1598" s="6">
        <f t="shared" si="121"/>
        <v>4</v>
      </c>
      <c r="V1598" s="5" t="str">
        <f t="shared" si="122"/>
        <v>GOOD</v>
      </c>
      <c r="W1598" s="6" t="str">
        <f t="shared" si="123"/>
        <v>55+</v>
      </c>
      <c r="X1598" s="6" t="str">
        <f t="shared" si="124"/>
        <v>Lower-Middle</v>
      </c>
    </row>
    <row r="1599" spans="1:24">
      <c r="A1599" s="6" t="s">
        <v>496</v>
      </c>
      <c r="B1599" s="6" t="s">
        <v>3499</v>
      </c>
      <c r="C1599" s="6" t="s">
        <v>46</v>
      </c>
      <c r="D1599" s="6" t="s">
        <v>321</v>
      </c>
      <c r="E1599" s="6" t="s">
        <v>322</v>
      </c>
      <c r="F1599" s="6">
        <v>79</v>
      </c>
      <c r="G1599" s="6" t="s">
        <v>24</v>
      </c>
      <c r="H1599" s="6" t="s">
        <v>3500</v>
      </c>
      <c r="I1599" s="6" t="s">
        <v>4431</v>
      </c>
      <c r="J1599" s="8">
        <v>44795</v>
      </c>
      <c r="K1599" s="8">
        <v>45301</v>
      </c>
      <c r="L1599" s="6">
        <v>126100.75</v>
      </c>
      <c r="M1599" s="6">
        <v>77400.800000000003</v>
      </c>
      <c r="N1599" s="6">
        <v>730</v>
      </c>
      <c r="O1599" s="6">
        <v>187000</v>
      </c>
      <c r="P1599" s="6" t="s">
        <v>26</v>
      </c>
      <c r="Q1599" s="6" t="s">
        <v>27</v>
      </c>
      <c r="R1599" s="6">
        <v>0</v>
      </c>
      <c r="S1599" s="6" t="s">
        <v>28</v>
      </c>
      <c r="T1599" s="7">
        <f t="shared" si="120"/>
        <v>0.41390802139037436</v>
      </c>
      <c r="U1599" s="6">
        <f t="shared" si="121"/>
        <v>5</v>
      </c>
      <c r="V1599" s="5" t="str">
        <f t="shared" si="122"/>
        <v>GOOD</v>
      </c>
      <c r="W1599" s="6" t="str">
        <f t="shared" si="123"/>
        <v>55+</v>
      </c>
      <c r="X1599" s="6" t="str">
        <f t="shared" si="124"/>
        <v>Upper-Middle</v>
      </c>
    </row>
    <row r="1600" spans="1:24">
      <c r="A1600" s="6" t="s">
        <v>324</v>
      </c>
      <c r="B1600" s="6" t="s">
        <v>3501</v>
      </c>
      <c r="C1600" s="6" t="s">
        <v>31</v>
      </c>
      <c r="D1600" s="6" t="s">
        <v>313</v>
      </c>
      <c r="E1600" s="6" t="s">
        <v>501</v>
      </c>
      <c r="F1600" s="6">
        <v>64</v>
      </c>
      <c r="G1600" s="6" t="s">
        <v>34</v>
      </c>
      <c r="H1600" s="6" t="s">
        <v>3502</v>
      </c>
      <c r="I1600" s="6" t="s">
        <v>4432</v>
      </c>
      <c r="J1600" s="8"/>
      <c r="K1600" s="8"/>
      <c r="L1600" s="6"/>
      <c r="M1600" s="6"/>
      <c r="N1600" s="6"/>
      <c r="O1600" s="6"/>
      <c r="P1600" s="6" t="s">
        <v>4432</v>
      </c>
      <c r="Q1600" s="6" t="s">
        <v>4432</v>
      </c>
      <c r="S1600" s="6" t="s">
        <v>4432</v>
      </c>
      <c r="T1600" s="7" t="str">
        <f t="shared" si="120"/>
        <v/>
      </c>
      <c r="U1600" s="6">
        <f t="shared" si="121"/>
        <v>45306</v>
      </c>
      <c r="V1600" s="5" t="str">
        <f t="shared" si="122"/>
        <v>FAIR</v>
      </c>
      <c r="W1600" s="6" t="str">
        <f t="shared" si="123"/>
        <v>55+</v>
      </c>
      <c r="X1600" s="6" t="str">
        <f t="shared" si="124"/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D5DA-568C-4DC3-9D0A-8B10FBAFC40B}">
  <dimension ref="A1:P53"/>
  <sheetViews>
    <sheetView topLeftCell="G1" workbookViewId="0">
      <selection activeCell="F33" sqref="F33"/>
    </sheetView>
  </sheetViews>
  <sheetFormatPr defaultRowHeight="15"/>
  <cols>
    <col min="1" max="1" width="16.42578125" customWidth="1"/>
    <col min="2" max="2" width="18.7109375" customWidth="1"/>
    <col min="3" max="3" width="9.140625" bestFit="1" customWidth="1"/>
    <col min="4" max="4" width="16.42578125" customWidth="1"/>
    <col min="5" max="5" width="18.7109375" customWidth="1"/>
    <col min="6" max="6" width="7.7109375" bestFit="1" customWidth="1"/>
    <col min="7" max="7" width="16.42578125" customWidth="1"/>
    <col min="8" max="8" width="21" bestFit="1" customWidth="1"/>
    <col min="9" max="9" width="8" customWidth="1"/>
    <col min="10" max="10" width="21.28515625" customWidth="1"/>
    <col min="11" max="11" width="24.28515625" customWidth="1"/>
    <col min="12" max="12" width="21.5703125" customWidth="1"/>
    <col min="13" max="13" width="22.42578125" customWidth="1"/>
    <col min="14" max="14" width="11.7109375" customWidth="1"/>
    <col min="15" max="15" width="11.7109375" bestFit="1" customWidth="1"/>
    <col min="16" max="17" width="12.5703125" bestFit="1" customWidth="1"/>
    <col min="18" max="18" width="10.42578125" bestFit="1" customWidth="1"/>
    <col min="19" max="28" width="12.5703125" bestFit="1" customWidth="1"/>
    <col min="29" max="29" width="7.140625" bestFit="1" customWidth="1"/>
    <col min="30" max="42" width="12.5703125" bestFit="1" customWidth="1"/>
    <col min="43" max="43" width="7.140625" bestFit="1" customWidth="1"/>
    <col min="44" max="67" width="12.5703125" bestFit="1" customWidth="1"/>
    <col min="68" max="68" width="7.140625" bestFit="1" customWidth="1"/>
    <col min="69" max="74" width="12.5703125" bestFit="1" customWidth="1"/>
    <col min="75" max="76" width="8.28515625" bestFit="1" customWidth="1"/>
    <col min="77" max="85" width="12.5703125" bestFit="1" customWidth="1"/>
    <col min="86" max="86" width="11.42578125" bestFit="1" customWidth="1"/>
    <col min="87" max="89" width="12.5703125" bestFit="1" customWidth="1"/>
    <col min="90" max="90" width="8.28515625" bestFit="1" customWidth="1"/>
    <col min="91" max="102" width="12.5703125" bestFit="1" customWidth="1"/>
    <col min="103" max="103" width="11.42578125" bestFit="1" customWidth="1"/>
    <col min="104" max="106" width="12.5703125" bestFit="1" customWidth="1"/>
    <col min="107" max="107" width="11.42578125" bestFit="1" customWidth="1"/>
    <col min="108" max="108" width="8.28515625" bestFit="1" customWidth="1"/>
    <col min="109" max="112" width="12.5703125" bestFit="1" customWidth="1"/>
    <col min="113" max="113" width="11.42578125" bestFit="1" customWidth="1"/>
    <col min="114" max="122" width="12.5703125" bestFit="1" customWidth="1"/>
    <col min="123" max="123" width="9.28515625" bestFit="1" customWidth="1"/>
    <col min="124" max="124" width="12.5703125" bestFit="1" customWidth="1"/>
    <col min="125" max="125" width="9.28515625" bestFit="1" customWidth="1"/>
    <col min="126" max="131" width="12.5703125" bestFit="1" customWidth="1"/>
    <col min="132" max="132" width="11.42578125" bestFit="1" customWidth="1"/>
    <col min="133" max="133" width="10.42578125" bestFit="1" customWidth="1"/>
    <col min="134" max="134" width="12.5703125" bestFit="1" customWidth="1"/>
    <col min="135" max="135" width="11.42578125" bestFit="1" customWidth="1"/>
    <col min="136" max="141" width="12.5703125" bestFit="1" customWidth="1"/>
    <col min="142" max="142" width="10.42578125" bestFit="1" customWidth="1"/>
    <col min="143" max="150" width="12.5703125" bestFit="1" customWidth="1"/>
    <col min="151" max="151" width="11.42578125" bestFit="1" customWidth="1"/>
    <col min="152" max="153" width="12.5703125" bestFit="1" customWidth="1"/>
    <col min="154" max="154" width="9.28515625" bestFit="1" customWidth="1"/>
    <col min="155" max="163" width="12.5703125" bestFit="1" customWidth="1"/>
    <col min="164" max="164" width="8.28515625" bestFit="1" customWidth="1"/>
    <col min="165" max="173" width="12.5703125" bestFit="1" customWidth="1"/>
    <col min="174" max="174" width="9.28515625" bestFit="1" customWidth="1"/>
    <col min="175" max="177" width="12.5703125" bestFit="1" customWidth="1"/>
    <col min="178" max="178" width="11.42578125" bestFit="1" customWidth="1"/>
    <col min="179" max="183" width="12.5703125" bestFit="1" customWidth="1"/>
    <col min="184" max="184" width="9.28515625" bestFit="1" customWidth="1"/>
    <col min="185" max="186" width="12.5703125" bestFit="1" customWidth="1"/>
    <col min="187" max="187" width="11.42578125" bestFit="1" customWidth="1"/>
    <col min="188" max="189" width="12.5703125" bestFit="1" customWidth="1"/>
    <col min="190" max="190" width="11.42578125" bestFit="1" customWidth="1"/>
    <col min="191" max="191" width="12.5703125" bestFit="1" customWidth="1"/>
    <col min="192" max="192" width="10.42578125" bestFit="1" customWidth="1"/>
    <col min="193" max="195" width="12.5703125" bestFit="1" customWidth="1"/>
    <col min="196" max="196" width="9.28515625" bestFit="1" customWidth="1"/>
    <col min="197" max="209" width="12.5703125" bestFit="1" customWidth="1"/>
    <col min="210" max="210" width="8.28515625" bestFit="1" customWidth="1"/>
    <col min="211" max="215" width="12.5703125" bestFit="1" customWidth="1"/>
    <col min="216" max="216" width="11.42578125" bestFit="1" customWidth="1"/>
    <col min="217" max="217" width="12.5703125" bestFit="1" customWidth="1"/>
    <col min="218" max="218" width="11.42578125" bestFit="1" customWidth="1"/>
    <col min="219" max="225" width="12.5703125" bestFit="1" customWidth="1"/>
    <col min="226" max="226" width="9.28515625" bestFit="1" customWidth="1"/>
    <col min="227" max="233" width="12.5703125" bestFit="1" customWidth="1"/>
    <col min="234" max="234" width="11.42578125" bestFit="1" customWidth="1"/>
    <col min="235" max="240" width="12.5703125" bestFit="1" customWidth="1"/>
    <col min="241" max="241" width="8.28515625" bestFit="1" customWidth="1"/>
    <col min="242" max="251" width="12.5703125" bestFit="1" customWidth="1"/>
    <col min="252" max="252" width="10.42578125" bestFit="1" customWidth="1"/>
    <col min="253" max="254" width="12.5703125" bestFit="1" customWidth="1"/>
    <col min="255" max="255" width="8.28515625" bestFit="1" customWidth="1"/>
    <col min="256" max="263" width="12.5703125" bestFit="1" customWidth="1"/>
    <col min="264" max="264" width="11.42578125" bestFit="1" customWidth="1"/>
    <col min="265" max="269" width="12.5703125" bestFit="1" customWidth="1"/>
    <col min="270" max="270" width="11.42578125" bestFit="1" customWidth="1"/>
    <col min="271" max="274" width="12.5703125" bestFit="1" customWidth="1"/>
    <col min="275" max="275" width="7.140625" bestFit="1" customWidth="1"/>
    <col min="276" max="278" width="12.5703125" bestFit="1" customWidth="1"/>
    <col min="279" max="280" width="11.42578125" bestFit="1" customWidth="1"/>
    <col min="281" max="290" width="12.5703125" bestFit="1" customWidth="1"/>
    <col min="291" max="291" width="9.28515625" bestFit="1" customWidth="1"/>
    <col min="292" max="296" width="12.5703125" bestFit="1" customWidth="1"/>
    <col min="297" max="297" width="9.28515625" bestFit="1" customWidth="1"/>
    <col min="298" max="300" width="12.5703125" bestFit="1" customWidth="1"/>
    <col min="301" max="301" width="8.28515625" bestFit="1" customWidth="1"/>
    <col min="302" max="309" width="12.5703125" bestFit="1" customWidth="1"/>
    <col min="310" max="310" width="9.28515625" bestFit="1" customWidth="1"/>
    <col min="311" max="314" width="12.5703125" bestFit="1" customWidth="1"/>
    <col min="315" max="316" width="11.42578125" bestFit="1" customWidth="1"/>
    <col min="317" max="319" width="12.5703125" bestFit="1" customWidth="1"/>
    <col min="320" max="320" width="11.42578125" bestFit="1" customWidth="1"/>
    <col min="321" max="325" width="12.5703125" bestFit="1" customWidth="1"/>
    <col min="326" max="326" width="10.42578125" bestFit="1" customWidth="1"/>
    <col min="327" max="327" width="12.5703125" bestFit="1" customWidth="1"/>
    <col min="328" max="328" width="7.140625" bestFit="1" customWidth="1"/>
    <col min="329" max="329" width="12.5703125" bestFit="1" customWidth="1"/>
    <col min="330" max="330" width="11.42578125" bestFit="1" customWidth="1"/>
    <col min="331" max="338" width="12.5703125" bestFit="1" customWidth="1"/>
    <col min="339" max="339" width="10.42578125" bestFit="1" customWidth="1"/>
    <col min="340" max="351" width="12.5703125" bestFit="1" customWidth="1"/>
    <col min="352" max="352" width="9.28515625" bestFit="1" customWidth="1"/>
    <col min="353" max="353" width="8.28515625" bestFit="1" customWidth="1"/>
    <col min="354" max="358" width="12.5703125" bestFit="1" customWidth="1"/>
    <col min="359" max="359" width="11.42578125" bestFit="1" customWidth="1"/>
    <col min="360" max="363" width="12.5703125" bestFit="1" customWidth="1"/>
    <col min="364" max="365" width="8.28515625" bestFit="1" customWidth="1"/>
    <col min="366" max="369" width="12.5703125" bestFit="1" customWidth="1"/>
    <col min="370" max="370" width="10.42578125" bestFit="1" customWidth="1"/>
    <col min="371" max="371" width="12.5703125" bestFit="1" customWidth="1"/>
    <col min="372" max="372" width="11.42578125" bestFit="1" customWidth="1"/>
    <col min="373" max="380" width="12.5703125" bestFit="1" customWidth="1"/>
    <col min="381" max="381" width="11.42578125" bestFit="1" customWidth="1"/>
    <col min="382" max="382" width="12.5703125" bestFit="1" customWidth="1"/>
    <col min="383" max="383" width="11.42578125" bestFit="1" customWidth="1"/>
    <col min="384" max="388" width="12.5703125" bestFit="1" customWidth="1"/>
    <col min="389" max="389" width="8.28515625" bestFit="1" customWidth="1"/>
    <col min="390" max="390" width="12.5703125" bestFit="1" customWidth="1"/>
    <col min="391" max="391" width="7.140625" bestFit="1" customWidth="1"/>
    <col min="392" max="393" width="12.5703125" bestFit="1" customWidth="1"/>
    <col min="394" max="394" width="11.42578125" bestFit="1" customWidth="1"/>
    <col min="395" max="397" width="12.5703125" bestFit="1" customWidth="1"/>
    <col min="398" max="399" width="11.42578125" bestFit="1" customWidth="1"/>
    <col min="400" max="400" width="12.5703125" bestFit="1" customWidth="1"/>
    <col min="401" max="401" width="9.28515625" bestFit="1" customWidth="1"/>
    <col min="402" max="402" width="11.42578125" bestFit="1" customWidth="1"/>
    <col min="403" max="405" width="12.5703125" bestFit="1" customWidth="1"/>
    <col min="406" max="406" width="9.28515625" bestFit="1" customWidth="1"/>
    <col min="407" max="407" width="8.28515625" bestFit="1" customWidth="1"/>
    <col min="408" max="422" width="12.5703125" bestFit="1" customWidth="1"/>
    <col min="423" max="423" width="7.140625" bestFit="1" customWidth="1"/>
    <col min="424" max="424" width="11.42578125" bestFit="1" customWidth="1"/>
    <col min="425" max="438" width="12.5703125" bestFit="1" customWidth="1"/>
    <col min="439" max="439" width="8.28515625" bestFit="1" customWidth="1"/>
    <col min="440" max="442" width="12.5703125" bestFit="1" customWidth="1"/>
    <col min="443" max="443" width="7.140625" bestFit="1" customWidth="1"/>
    <col min="444" max="447" width="12.5703125" bestFit="1" customWidth="1"/>
    <col min="448" max="448" width="11.42578125" bestFit="1" customWidth="1"/>
    <col min="449" max="455" width="12.5703125" bestFit="1" customWidth="1"/>
    <col min="456" max="456" width="9.28515625" bestFit="1" customWidth="1"/>
    <col min="457" max="460" width="12.5703125" bestFit="1" customWidth="1"/>
    <col min="461" max="461" width="10.42578125" bestFit="1" customWidth="1"/>
    <col min="462" max="481" width="12.5703125" bestFit="1" customWidth="1"/>
    <col min="482" max="482" width="11.42578125" bestFit="1" customWidth="1"/>
    <col min="483" max="483" width="12.5703125" bestFit="1" customWidth="1"/>
    <col min="484" max="484" width="11.42578125" bestFit="1" customWidth="1"/>
    <col min="485" max="501" width="12.5703125" bestFit="1" customWidth="1"/>
    <col min="502" max="502" width="11.42578125" bestFit="1" customWidth="1"/>
    <col min="503" max="503" width="12.5703125" bestFit="1" customWidth="1"/>
    <col min="504" max="504" width="5.140625" bestFit="1" customWidth="1"/>
    <col min="505" max="507" width="12.5703125" bestFit="1" customWidth="1"/>
    <col min="508" max="508" width="11.42578125" bestFit="1" customWidth="1"/>
    <col min="509" max="515" width="12.5703125" bestFit="1" customWidth="1"/>
    <col min="516" max="516" width="9.28515625" bestFit="1" customWidth="1"/>
    <col min="517" max="517" width="8.28515625" bestFit="1" customWidth="1"/>
    <col min="518" max="518" width="12.5703125" bestFit="1" customWidth="1"/>
    <col min="519" max="519" width="11.42578125" bestFit="1" customWidth="1"/>
    <col min="520" max="520" width="12.5703125" bestFit="1" customWidth="1"/>
    <col min="521" max="521" width="10.42578125" bestFit="1" customWidth="1"/>
    <col min="522" max="526" width="12.5703125" bestFit="1" customWidth="1"/>
    <col min="527" max="527" width="10.42578125" bestFit="1" customWidth="1"/>
    <col min="528" max="532" width="12.5703125" bestFit="1" customWidth="1"/>
    <col min="533" max="533" width="11.42578125" bestFit="1" customWidth="1"/>
    <col min="534" max="538" width="12.5703125" bestFit="1" customWidth="1"/>
    <col min="539" max="539" width="9.28515625" bestFit="1" customWidth="1"/>
    <col min="540" max="543" width="12.5703125" bestFit="1" customWidth="1"/>
    <col min="544" max="544" width="11.42578125" bestFit="1" customWidth="1"/>
    <col min="545" max="550" width="12.5703125" bestFit="1" customWidth="1"/>
    <col min="551" max="551" width="11.42578125" bestFit="1" customWidth="1"/>
    <col min="552" max="552" width="12.5703125" bestFit="1" customWidth="1"/>
    <col min="553" max="553" width="9.28515625" bestFit="1" customWidth="1"/>
    <col min="554" max="554" width="12.5703125" bestFit="1" customWidth="1"/>
    <col min="555" max="555" width="7.140625" bestFit="1" customWidth="1"/>
    <col min="556" max="564" width="12.5703125" bestFit="1" customWidth="1"/>
    <col min="565" max="565" width="11.42578125" bestFit="1" customWidth="1"/>
    <col min="566" max="574" width="12.5703125" bestFit="1" customWidth="1"/>
    <col min="575" max="575" width="9.28515625" bestFit="1" customWidth="1"/>
    <col min="576" max="590" width="12.5703125" bestFit="1" customWidth="1"/>
    <col min="591" max="591" width="8.28515625" bestFit="1" customWidth="1"/>
    <col min="592" max="599" width="12.5703125" bestFit="1" customWidth="1"/>
    <col min="600" max="600" width="9.28515625" bestFit="1" customWidth="1"/>
    <col min="601" max="616" width="12.5703125" bestFit="1" customWidth="1"/>
    <col min="617" max="617" width="11.42578125" bestFit="1" customWidth="1"/>
    <col min="618" max="619" width="12.5703125" bestFit="1" customWidth="1"/>
    <col min="620" max="620" width="8.28515625" bestFit="1" customWidth="1"/>
    <col min="621" max="621" width="11.42578125" bestFit="1" customWidth="1"/>
    <col min="622" max="623" width="12.5703125" bestFit="1" customWidth="1"/>
    <col min="624" max="624" width="9.28515625" bestFit="1" customWidth="1"/>
    <col min="625" max="627" width="12.5703125" bestFit="1" customWidth="1"/>
    <col min="628" max="628" width="11.42578125" bestFit="1" customWidth="1"/>
    <col min="629" max="630" width="12.5703125" bestFit="1" customWidth="1"/>
    <col min="631" max="631" width="11.42578125" bestFit="1" customWidth="1"/>
    <col min="632" max="646" width="12.5703125" bestFit="1" customWidth="1"/>
    <col min="647" max="647" width="11.42578125" bestFit="1" customWidth="1"/>
    <col min="648" max="667" width="12.5703125" bestFit="1" customWidth="1"/>
    <col min="668" max="668" width="11.42578125" bestFit="1" customWidth="1"/>
    <col min="669" max="671" width="12.5703125" bestFit="1" customWidth="1"/>
    <col min="672" max="672" width="8.28515625" bestFit="1" customWidth="1"/>
    <col min="673" max="673" width="11.42578125" bestFit="1" customWidth="1"/>
    <col min="674" max="674" width="12.5703125" bestFit="1" customWidth="1"/>
    <col min="675" max="675" width="11.42578125" bestFit="1" customWidth="1"/>
    <col min="676" max="685" width="12.5703125" bestFit="1" customWidth="1"/>
    <col min="686" max="686" width="8.28515625" bestFit="1" customWidth="1"/>
    <col min="687" max="689" width="12.5703125" bestFit="1" customWidth="1"/>
    <col min="690" max="690" width="9.28515625" bestFit="1" customWidth="1"/>
    <col min="691" max="691" width="12.5703125" bestFit="1" customWidth="1"/>
    <col min="692" max="692" width="10.42578125" bestFit="1" customWidth="1"/>
    <col min="693" max="693" width="12.5703125" bestFit="1" customWidth="1"/>
    <col min="694" max="694" width="11.42578125" bestFit="1" customWidth="1"/>
    <col min="695" max="697" width="12.5703125" bestFit="1" customWidth="1"/>
    <col min="698" max="698" width="9.28515625" bestFit="1" customWidth="1"/>
    <col min="699" max="726" width="12.5703125" bestFit="1" customWidth="1"/>
    <col min="727" max="727" width="9.28515625" bestFit="1" customWidth="1"/>
    <col min="728" max="732" width="12.5703125" bestFit="1" customWidth="1"/>
    <col min="733" max="733" width="9.28515625" bestFit="1" customWidth="1"/>
    <col min="734" max="734" width="11.42578125" bestFit="1" customWidth="1"/>
    <col min="735" max="735" width="8.28515625" bestFit="1" customWidth="1"/>
    <col min="736" max="747" width="12.5703125" bestFit="1" customWidth="1"/>
    <col min="748" max="748" width="9.28515625" bestFit="1" customWidth="1"/>
    <col min="749" max="749" width="11.42578125" bestFit="1" customWidth="1"/>
    <col min="750" max="750" width="12.5703125" bestFit="1" customWidth="1"/>
    <col min="751" max="751" width="7.140625" bestFit="1" customWidth="1"/>
    <col min="752" max="775" width="12.5703125" bestFit="1" customWidth="1"/>
    <col min="776" max="776" width="11.42578125" bestFit="1" customWidth="1"/>
    <col min="777" max="802" width="12.5703125" bestFit="1" customWidth="1"/>
    <col min="803" max="804" width="11.42578125" bestFit="1" customWidth="1"/>
    <col min="805" max="812" width="12.5703125" bestFit="1" customWidth="1"/>
    <col min="813" max="813" width="9.28515625" bestFit="1" customWidth="1"/>
    <col min="814" max="817" width="12.5703125" bestFit="1" customWidth="1"/>
    <col min="818" max="818" width="9.28515625" bestFit="1" customWidth="1"/>
    <col min="819" max="822" width="12.5703125" bestFit="1" customWidth="1"/>
    <col min="823" max="823" width="11.42578125" bestFit="1" customWidth="1"/>
    <col min="824" max="832" width="12.5703125" bestFit="1" customWidth="1"/>
    <col min="833" max="834" width="11.42578125" bestFit="1" customWidth="1"/>
    <col min="835" max="835" width="12.5703125" bestFit="1" customWidth="1"/>
    <col min="836" max="836" width="9.28515625" bestFit="1" customWidth="1"/>
    <col min="837" max="837" width="10.42578125" bestFit="1" customWidth="1"/>
    <col min="838" max="851" width="12.5703125" bestFit="1" customWidth="1"/>
    <col min="852" max="852" width="11.42578125" bestFit="1" customWidth="1"/>
    <col min="853" max="854" width="12.5703125" bestFit="1" customWidth="1"/>
    <col min="855" max="855" width="11.42578125" bestFit="1" customWidth="1"/>
    <col min="856" max="856" width="12.5703125" bestFit="1" customWidth="1"/>
    <col min="857" max="857" width="11.42578125" bestFit="1" customWidth="1"/>
    <col min="858" max="858" width="10.42578125" bestFit="1" customWidth="1"/>
    <col min="859" max="870" width="12.5703125" bestFit="1" customWidth="1"/>
    <col min="871" max="871" width="11.42578125" bestFit="1" customWidth="1"/>
    <col min="872" max="874" width="12.5703125" bestFit="1" customWidth="1"/>
    <col min="875" max="875" width="11.42578125" bestFit="1" customWidth="1"/>
    <col min="876" max="886" width="12.5703125" bestFit="1" customWidth="1"/>
    <col min="887" max="887" width="11.42578125" bestFit="1" customWidth="1"/>
    <col min="888" max="888" width="12.5703125" bestFit="1" customWidth="1"/>
    <col min="889" max="889" width="9.28515625" bestFit="1" customWidth="1"/>
    <col min="890" max="895" width="12.5703125" bestFit="1" customWidth="1"/>
    <col min="896" max="896" width="11.42578125" bestFit="1" customWidth="1"/>
    <col min="897" max="901" width="12.5703125" bestFit="1" customWidth="1"/>
    <col min="902" max="902" width="11.42578125" bestFit="1" customWidth="1"/>
    <col min="903" max="907" width="12.5703125" bestFit="1" customWidth="1"/>
    <col min="908" max="908" width="9.28515625" bestFit="1" customWidth="1"/>
    <col min="909" max="918" width="12.5703125" bestFit="1" customWidth="1"/>
    <col min="919" max="919" width="7.140625" bestFit="1" customWidth="1"/>
    <col min="920" max="927" width="12.5703125" bestFit="1" customWidth="1"/>
    <col min="928" max="928" width="11.42578125" bestFit="1" customWidth="1"/>
    <col min="929" max="932" width="12.5703125" bestFit="1" customWidth="1"/>
    <col min="933" max="933" width="11.42578125" bestFit="1" customWidth="1"/>
    <col min="934" max="944" width="12.5703125" bestFit="1" customWidth="1"/>
    <col min="945" max="945" width="11.42578125" bestFit="1" customWidth="1"/>
    <col min="946" max="950" width="12.5703125" bestFit="1" customWidth="1"/>
    <col min="951" max="951" width="11.42578125" bestFit="1" customWidth="1"/>
    <col min="952" max="960" width="12.5703125" bestFit="1" customWidth="1"/>
    <col min="961" max="961" width="9.28515625" bestFit="1" customWidth="1"/>
    <col min="962" max="963" width="12.5703125" bestFit="1" customWidth="1"/>
    <col min="964" max="964" width="11.42578125" bestFit="1" customWidth="1"/>
    <col min="965" max="968" width="12.5703125" bestFit="1" customWidth="1"/>
    <col min="969" max="969" width="11.42578125" bestFit="1" customWidth="1"/>
    <col min="970" max="970" width="9.28515625" bestFit="1" customWidth="1"/>
    <col min="971" max="971" width="12.5703125" bestFit="1" customWidth="1"/>
    <col min="972" max="972" width="11.42578125" bestFit="1" customWidth="1"/>
    <col min="973" max="974" width="12.5703125" bestFit="1" customWidth="1"/>
    <col min="975" max="975" width="11.42578125" bestFit="1" customWidth="1"/>
    <col min="976" max="978" width="12.5703125" bestFit="1" customWidth="1"/>
    <col min="979" max="979" width="11.42578125" bestFit="1" customWidth="1"/>
    <col min="980" max="989" width="12.5703125" bestFit="1" customWidth="1"/>
    <col min="990" max="990" width="9.28515625" bestFit="1" customWidth="1"/>
    <col min="991" max="1014" width="12.5703125" bestFit="1" customWidth="1"/>
    <col min="1015" max="1015" width="10.42578125" bestFit="1" customWidth="1"/>
    <col min="1016" max="1019" width="12.5703125" bestFit="1" customWidth="1"/>
    <col min="1020" max="1020" width="9.28515625" bestFit="1" customWidth="1"/>
    <col min="1021" max="1023" width="12.5703125" bestFit="1" customWidth="1"/>
    <col min="1024" max="1024" width="11.42578125" bestFit="1" customWidth="1"/>
    <col min="1025" max="1045" width="12.5703125" bestFit="1" customWidth="1"/>
    <col min="1046" max="1046" width="11.42578125" bestFit="1" customWidth="1"/>
    <col min="1047" max="1048" width="12.5703125" bestFit="1" customWidth="1"/>
    <col min="1049" max="1049" width="11.42578125" bestFit="1" customWidth="1"/>
    <col min="1050" max="1054" width="12.5703125" bestFit="1" customWidth="1"/>
    <col min="1055" max="1055" width="8.28515625" bestFit="1" customWidth="1"/>
    <col min="1056" max="1057" width="12.5703125" bestFit="1" customWidth="1"/>
    <col min="1058" max="1058" width="10.42578125" bestFit="1" customWidth="1"/>
    <col min="1059" max="1065" width="12.5703125" bestFit="1" customWidth="1"/>
    <col min="1066" max="1066" width="9.28515625" bestFit="1" customWidth="1"/>
    <col min="1067" max="1070" width="12.5703125" bestFit="1" customWidth="1"/>
    <col min="1071" max="1071" width="7.140625" bestFit="1" customWidth="1"/>
    <col min="1072" max="1087" width="12.5703125" bestFit="1" customWidth="1"/>
    <col min="1088" max="1088" width="11.42578125" bestFit="1" customWidth="1"/>
    <col min="1089" max="1090" width="12.5703125" bestFit="1" customWidth="1"/>
    <col min="1091" max="1091" width="11.42578125" bestFit="1" customWidth="1"/>
    <col min="1092" max="1092" width="9.28515625" bestFit="1" customWidth="1"/>
    <col min="1093" max="1103" width="12.5703125" bestFit="1" customWidth="1"/>
    <col min="1104" max="1104" width="11.42578125" bestFit="1" customWidth="1"/>
    <col min="1105" max="1122" width="12.5703125" bestFit="1" customWidth="1"/>
    <col min="1123" max="1123" width="11.42578125" bestFit="1" customWidth="1"/>
    <col min="1124" max="1124" width="12.5703125" bestFit="1" customWidth="1"/>
    <col min="1125" max="1125" width="8.28515625" bestFit="1" customWidth="1"/>
    <col min="1126" max="1150" width="12.5703125" bestFit="1" customWidth="1"/>
    <col min="1151" max="1151" width="11.42578125" bestFit="1" customWidth="1"/>
    <col min="1152" max="1152" width="12.5703125" bestFit="1" customWidth="1"/>
    <col min="1153" max="1153" width="11.42578125" bestFit="1" customWidth="1"/>
    <col min="1154" max="1155" width="12.5703125" bestFit="1" customWidth="1"/>
    <col min="1156" max="1156" width="11.42578125" bestFit="1" customWidth="1"/>
    <col min="1157" max="1170" width="12.5703125" bestFit="1" customWidth="1"/>
    <col min="1171" max="1172" width="11.42578125" bestFit="1" customWidth="1"/>
    <col min="1173" max="1173" width="12.5703125" bestFit="1" customWidth="1"/>
    <col min="1174" max="1174" width="8.28515625" bestFit="1" customWidth="1"/>
    <col min="1175" max="1179" width="12.5703125" bestFit="1" customWidth="1"/>
    <col min="1180" max="1180" width="11.42578125" bestFit="1" customWidth="1"/>
    <col min="1181" max="1188" width="12.5703125" bestFit="1" customWidth="1"/>
    <col min="1189" max="1189" width="8.28515625" bestFit="1" customWidth="1"/>
    <col min="1190" max="1192" width="12.5703125" bestFit="1" customWidth="1"/>
    <col min="1193" max="1193" width="10.42578125" bestFit="1" customWidth="1"/>
    <col min="1194" max="1195" width="12.5703125" bestFit="1" customWidth="1"/>
    <col min="1196" max="1196" width="11.42578125" bestFit="1" customWidth="1"/>
    <col min="1197" max="1204" width="12.5703125" bestFit="1" customWidth="1"/>
    <col min="1205" max="1205" width="11.42578125" bestFit="1" customWidth="1"/>
    <col min="1206" max="1213" width="12.5703125" bestFit="1" customWidth="1"/>
    <col min="1214" max="1214" width="10.42578125" bestFit="1" customWidth="1"/>
    <col min="1215" max="1215" width="12.5703125" bestFit="1" customWidth="1"/>
    <col min="1216" max="1216" width="10.42578125" bestFit="1" customWidth="1"/>
    <col min="1217" max="1226" width="12.5703125" bestFit="1" customWidth="1"/>
    <col min="1227" max="1227" width="8.28515625" bestFit="1" customWidth="1"/>
    <col min="1228" max="1228" width="12.5703125" bestFit="1" customWidth="1"/>
    <col min="1229" max="1229" width="10.42578125" bestFit="1" customWidth="1"/>
    <col min="1230" max="1230" width="12.5703125" bestFit="1" customWidth="1"/>
    <col min="1231" max="1231" width="11.42578125" bestFit="1" customWidth="1"/>
    <col min="1232" max="1235" width="12.5703125" bestFit="1" customWidth="1"/>
    <col min="1236" max="1236" width="11.42578125" bestFit="1" customWidth="1"/>
    <col min="1237" max="1241" width="12.5703125" bestFit="1" customWidth="1"/>
    <col min="1242" max="1242" width="8.28515625" bestFit="1" customWidth="1"/>
    <col min="1243" max="1249" width="12.5703125" bestFit="1" customWidth="1"/>
    <col min="1250" max="1250" width="8.28515625" bestFit="1" customWidth="1"/>
    <col min="1251" max="1251" width="11.42578125" bestFit="1" customWidth="1"/>
    <col min="1252" max="1264" width="12.5703125" bestFit="1" customWidth="1"/>
    <col min="1265" max="1265" width="11.42578125" bestFit="1" customWidth="1"/>
    <col min="1266" max="1267" width="12.5703125" bestFit="1" customWidth="1"/>
    <col min="1268" max="1268" width="9.28515625" bestFit="1" customWidth="1"/>
    <col min="1269" max="1272" width="12.5703125" bestFit="1" customWidth="1"/>
    <col min="1273" max="1273" width="11.42578125" bestFit="1" customWidth="1"/>
    <col min="1274" max="1279" width="12.5703125" bestFit="1" customWidth="1"/>
    <col min="1280" max="1280" width="10.42578125" bestFit="1" customWidth="1"/>
    <col min="1281" max="1294" width="12.5703125" bestFit="1" customWidth="1"/>
    <col min="1295" max="1295" width="11.42578125" bestFit="1" customWidth="1"/>
    <col min="1296" max="1299" width="12.5703125" bestFit="1" customWidth="1"/>
    <col min="1300" max="1300" width="11.42578125" bestFit="1" customWidth="1"/>
    <col min="1301" max="1312" width="12.5703125" bestFit="1" customWidth="1"/>
    <col min="1313" max="1313" width="10.42578125" bestFit="1" customWidth="1"/>
    <col min="1314" max="1316" width="12.5703125" bestFit="1" customWidth="1"/>
    <col min="1317" max="1317" width="11.42578125" bestFit="1" customWidth="1"/>
    <col min="1318" max="1323" width="12.5703125" bestFit="1" customWidth="1"/>
    <col min="1324" max="1324" width="7.140625" bestFit="1" customWidth="1"/>
    <col min="1325" max="1325" width="9.28515625" bestFit="1" customWidth="1"/>
    <col min="1326" max="1332" width="12.5703125" bestFit="1" customWidth="1"/>
    <col min="1333" max="1333" width="11.42578125" bestFit="1" customWidth="1"/>
    <col min="1334" max="1334" width="10.42578125" bestFit="1" customWidth="1"/>
    <col min="1335" max="1339" width="12.5703125" bestFit="1" customWidth="1"/>
    <col min="1340" max="1340" width="11.42578125" bestFit="1" customWidth="1"/>
    <col min="1341" max="1341" width="12.5703125" bestFit="1" customWidth="1"/>
    <col min="1342" max="1342" width="11.42578125" bestFit="1" customWidth="1"/>
    <col min="1343" max="1344" width="12.5703125" bestFit="1" customWidth="1"/>
    <col min="1345" max="1345" width="11.42578125" bestFit="1" customWidth="1"/>
    <col min="1346" max="1346" width="12.5703125" bestFit="1" customWidth="1"/>
    <col min="1347" max="1348" width="11.42578125" bestFit="1" customWidth="1"/>
    <col min="1349" max="1354" width="12.5703125" bestFit="1" customWidth="1"/>
    <col min="1355" max="1355" width="11.42578125" bestFit="1" customWidth="1"/>
    <col min="1356" max="1356" width="12.5703125" bestFit="1" customWidth="1"/>
    <col min="1357" max="1357" width="10.42578125" bestFit="1" customWidth="1"/>
    <col min="1358" max="1363" width="12.5703125" bestFit="1" customWidth="1"/>
    <col min="1364" max="1364" width="11.42578125" bestFit="1" customWidth="1"/>
    <col min="1365" max="1370" width="12.5703125" bestFit="1" customWidth="1"/>
    <col min="1371" max="1371" width="11.42578125" bestFit="1" customWidth="1"/>
    <col min="1372" max="1382" width="12.5703125" bestFit="1" customWidth="1"/>
    <col min="1383" max="1383" width="7.140625" bestFit="1" customWidth="1"/>
    <col min="1384" max="1386" width="12.5703125" bestFit="1" customWidth="1"/>
    <col min="1387" max="1387" width="8.28515625" bestFit="1" customWidth="1"/>
    <col min="1388" max="1403" width="12.5703125" bestFit="1" customWidth="1"/>
    <col min="1404" max="1404" width="11.42578125" bestFit="1" customWidth="1"/>
    <col min="1405" max="1405" width="12.5703125" bestFit="1" customWidth="1"/>
    <col min="1406" max="1406" width="8.28515625" bestFit="1" customWidth="1"/>
    <col min="1407" max="1407" width="9.28515625" bestFit="1" customWidth="1"/>
    <col min="1408" max="1409" width="11.42578125" bestFit="1" customWidth="1"/>
    <col min="1410" max="1417" width="12.5703125" bestFit="1" customWidth="1"/>
    <col min="1418" max="1418" width="11.42578125" bestFit="1" customWidth="1"/>
    <col min="1419" max="1422" width="12.5703125" bestFit="1" customWidth="1"/>
    <col min="1423" max="1423" width="11.42578125" bestFit="1" customWidth="1"/>
    <col min="1424" max="1425" width="12.5703125" bestFit="1" customWidth="1"/>
    <col min="1426" max="1426" width="8.28515625" bestFit="1" customWidth="1"/>
    <col min="1427" max="1446" width="12.5703125" bestFit="1" customWidth="1"/>
    <col min="1447" max="1447" width="11.42578125" bestFit="1" customWidth="1"/>
    <col min="1448" max="1449" width="12.5703125" bestFit="1" customWidth="1"/>
    <col min="1450" max="1450" width="11.42578125" bestFit="1" customWidth="1"/>
    <col min="1451" max="1455" width="12.5703125" bestFit="1" customWidth="1"/>
    <col min="1456" max="1456" width="9.28515625" bestFit="1" customWidth="1"/>
    <col min="1457" max="1481" width="12.5703125" bestFit="1" customWidth="1"/>
    <col min="1482" max="1483" width="11.42578125" bestFit="1" customWidth="1"/>
    <col min="1484" max="1486" width="12.5703125" bestFit="1" customWidth="1"/>
    <col min="1487" max="1487" width="9.28515625" bestFit="1" customWidth="1"/>
    <col min="1488" max="1489" width="12.5703125" bestFit="1" customWidth="1"/>
    <col min="1490" max="1490" width="9.28515625" bestFit="1" customWidth="1"/>
    <col min="1491" max="1505" width="12.5703125" bestFit="1" customWidth="1"/>
    <col min="1506" max="1506" width="11.42578125" bestFit="1" customWidth="1"/>
    <col min="1507" max="1510" width="12.5703125" bestFit="1" customWidth="1"/>
    <col min="1511" max="1511" width="10.42578125" bestFit="1" customWidth="1"/>
    <col min="1512" max="1512" width="12.5703125" bestFit="1" customWidth="1"/>
    <col min="1513" max="1513" width="11.42578125" bestFit="1" customWidth="1"/>
    <col min="1514" max="1516" width="12.5703125" bestFit="1" customWidth="1"/>
    <col min="1517" max="1518" width="8.28515625" bestFit="1" customWidth="1"/>
    <col min="1519" max="1519" width="12.5703125" bestFit="1" customWidth="1"/>
    <col min="1520" max="1520" width="11.42578125" bestFit="1" customWidth="1"/>
    <col min="1521" max="1526" width="12.5703125" bestFit="1" customWidth="1"/>
    <col min="1527" max="1527" width="9.28515625" bestFit="1" customWidth="1"/>
    <col min="1528" max="1534" width="12.5703125" bestFit="1" customWidth="1"/>
    <col min="1535" max="1535" width="11.42578125" bestFit="1" customWidth="1"/>
    <col min="1536" max="1537" width="12.5703125" bestFit="1" customWidth="1"/>
    <col min="1538" max="1538" width="11.42578125" bestFit="1" customWidth="1"/>
    <col min="1539" max="1550" width="12.5703125" bestFit="1" customWidth="1"/>
    <col min="1551" max="1551" width="7.140625" bestFit="1" customWidth="1"/>
    <col min="1552" max="1555" width="12.5703125" bestFit="1" customWidth="1"/>
    <col min="1556" max="1556" width="11.42578125" bestFit="1" customWidth="1"/>
    <col min="1557" max="1562" width="12.5703125" bestFit="1" customWidth="1"/>
    <col min="1563" max="1563" width="11.42578125" bestFit="1" customWidth="1"/>
    <col min="1564" max="1592" width="12.5703125" bestFit="1" customWidth="1"/>
    <col min="1594" max="1594" width="11.7109375" bestFit="1" customWidth="1"/>
  </cols>
  <sheetData>
    <row r="1" spans="1:14">
      <c r="D1" t="s">
        <v>4433</v>
      </c>
      <c r="G1" t="s">
        <v>4434</v>
      </c>
      <c r="J1" t="s">
        <v>4435</v>
      </c>
    </row>
    <row r="2" spans="1:14">
      <c r="A2" s="3" t="s">
        <v>3</v>
      </c>
      <c r="B2" t="s">
        <v>4436</v>
      </c>
      <c r="D2" s="3" t="s">
        <v>2</v>
      </c>
      <c r="E2" t="s">
        <v>4437</v>
      </c>
      <c r="G2" s="3" t="s">
        <v>15</v>
      </c>
      <c r="H2" t="s">
        <v>4438</v>
      </c>
      <c r="J2" s="3" t="s">
        <v>4436</v>
      </c>
      <c r="K2" s="3" t="s">
        <v>15</v>
      </c>
    </row>
    <row r="3" spans="1:14">
      <c r="A3" t="s">
        <v>63</v>
      </c>
      <c r="B3">
        <v>45</v>
      </c>
      <c r="D3" t="s">
        <v>39</v>
      </c>
      <c r="E3">
        <v>179411.91490963832</v>
      </c>
      <c r="G3" t="s">
        <v>76</v>
      </c>
      <c r="H3" s="4">
        <v>0.45638133413767956</v>
      </c>
      <c r="J3" s="3" t="s">
        <v>16</v>
      </c>
      <c r="K3" t="s">
        <v>76</v>
      </c>
      <c r="L3" t="s">
        <v>36</v>
      </c>
      <c r="M3" t="s">
        <v>26</v>
      </c>
      <c r="N3" t="s">
        <v>4439</v>
      </c>
    </row>
    <row r="4" spans="1:14">
      <c r="A4" t="s">
        <v>85</v>
      </c>
      <c r="B4">
        <v>44</v>
      </c>
      <c r="D4" t="s">
        <v>57</v>
      </c>
      <c r="E4">
        <v>33615.001785714303</v>
      </c>
      <c r="G4" t="s">
        <v>36</v>
      </c>
      <c r="H4" s="4">
        <v>0.22404098490062549</v>
      </c>
      <c r="J4" t="s">
        <v>43</v>
      </c>
      <c r="K4">
        <v>127</v>
      </c>
      <c r="M4">
        <v>126</v>
      </c>
      <c r="N4">
        <v>253</v>
      </c>
    </row>
    <row r="5" spans="1:14">
      <c r="A5" t="s">
        <v>58</v>
      </c>
      <c r="B5">
        <v>123</v>
      </c>
      <c r="D5" t="s">
        <v>31</v>
      </c>
      <c r="E5">
        <v>18689.922647058804</v>
      </c>
      <c r="G5" t="s">
        <v>26</v>
      </c>
      <c r="H5" s="4">
        <v>0.2971802722284636</v>
      </c>
      <c r="J5" t="s">
        <v>27</v>
      </c>
      <c r="K5">
        <v>331</v>
      </c>
      <c r="L5">
        <v>470</v>
      </c>
      <c r="M5">
        <v>544</v>
      </c>
      <c r="N5">
        <v>1345</v>
      </c>
    </row>
    <row r="6" spans="1:14">
      <c r="A6" t="s">
        <v>73</v>
      </c>
      <c r="B6">
        <v>44</v>
      </c>
      <c r="D6" t="s">
        <v>46</v>
      </c>
      <c r="E6">
        <v>93282.368384879694</v>
      </c>
      <c r="G6" t="s">
        <v>4439</v>
      </c>
      <c r="H6" s="4">
        <v>0.32129705652779833</v>
      </c>
      <c r="J6" t="s">
        <v>4439</v>
      </c>
      <c r="K6">
        <v>458</v>
      </c>
      <c r="L6">
        <v>470</v>
      </c>
      <c r="M6">
        <v>670</v>
      </c>
      <c r="N6">
        <v>1598</v>
      </c>
    </row>
    <row r="7" spans="1:14">
      <c r="A7" t="s">
        <v>40</v>
      </c>
      <c r="B7">
        <v>47</v>
      </c>
      <c r="D7" t="s">
        <v>21</v>
      </c>
      <c r="E7">
        <v>287354.48794117611</v>
      </c>
    </row>
    <row r="8" spans="1:14">
      <c r="A8" t="s">
        <v>32</v>
      </c>
      <c r="B8">
        <v>167</v>
      </c>
      <c r="D8" t="s">
        <v>52</v>
      </c>
      <c r="E8">
        <v>63502.545507812538</v>
      </c>
    </row>
    <row r="9" spans="1:14">
      <c r="A9" t="s">
        <v>209</v>
      </c>
      <c r="B9">
        <v>80</v>
      </c>
      <c r="D9" t="s">
        <v>84</v>
      </c>
      <c r="E9">
        <v>3733.0027559055115</v>
      </c>
      <c r="G9" t="s">
        <v>4440</v>
      </c>
    </row>
    <row r="10" spans="1:14">
      <c r="A10" t="s">
        <v>68</v>
      </c>
      <c r="B10">
        <v>125</v>
      </c>
      <c r="D10" t="s">
        <v>4439</v>
      </c>
      <c r="E10">
        <v>102590.23667083985</v>
      </c>
      <c r="G10" s="3" t="s">
        <v>15</v>
      </c>
      <c r="H10" t="s">
        <v>4436</v>
      </c>
    </row>
    <row r="11" spans="1:14">
      <c r="A11" t="s">
        <v>313</v>
      </c>
      <c r="B11">
        <v>81</v>
      </c>
      <c r="G11" t="s">
        <v>76</v>
      </c>
      <c r="H11">
        <v>458</v>
      </c>
      <c r="J11" s="3" t="s">
        <v>3507</v>
      </c>
      <c r="K11" t="s">
        <v>4437</v>
      </c>
      <c r="L11" t="s">
        <v>4441</v>
      </c>
      <c r="M11" t="s">
        <v>4442</v>
      </c>
    </row>
    <row r="12" spans="1:14">
      <c r="A12" t="s">
        <v>47</v>
      </c>
      <c r="B12">
        <v>45</v>
      </c>
      <c r="G12" t="s">
        <v>36</v>
      </c>
      <c r="H12">
        <v>470</v>
      </c>
      <c r="J12" t="s">
        <v>76</v>
      </c>
      <c r="K12">
        <v>231739.50276381886</v>
      </c>
      <c r="L12">
        <v>101834.7266331657</v>
      </c>
      <c r="M12">
        <v>734.4974874371859</v>
      </c>
    </row>
    <row r="13" spans="1:14">
      <c r="A13" t="s">
        <v>22</v>
      </c>
      <c r="B13">
        <v>87</v>
      </c>
      <c r="D13" s="3" t="s">
        <v>2</v>
      </c>
      <c r="E13" t="s">
        <v>4441</v>
      </c>
      <c r="G13" t="s">
        <v>26</v>
      </c>
      <c r="H13">
        <v>670</v>
      </c>
      <c r="J13" t="s">
        <v>36</v>
      </c>
      <c r="K13">
        <v>14363.478428927698</v>
      </c>
      <c r="L13">
        <v>10418.521820448866</v>
      </c>
      <c r="M13">
        <v>683.0174563591022</v>
      </c>
    </row>
    <row r="14" spans="1:14">
      <c r="A14" t="s">
        <v>4439</v>
      </c>
      <c r="B14">
        <v>888</v>
      </c>
      <c r="D14" t="s">
        <v>39</v>
      </c>
      <c r="E14">
        <v>99184.318222891568</v>
      </c>
      <c r="G14" t="s">
        <v>4439</v>
      </c>
      <c r="H14">
        <v>1598</v>
      </c>
      <c r="J14" t="s">
        <v>4443</v>
      </c>
      <c r="K14">
        <v>54201.747110552795</v>
      </c>
      <c r="L14">
        <v>27113.679773869433</v>
      </c>
      <c r="M14">
        <v>718.55527638190949</v>
      </c>
    </row>
    <row r="15" spans="1:14">
      <c r="D15" t="s">
        <v>57</v>
      </c>
      <c r="E15">
        <v>13252.650793650768</v>
      </c>
      <c r="J15" t="s">
        <v>4444</v>
      </c>
      <c r="K15">
        <v>110660.41371571049</v>
      </c>
      <c r="L15">
        <v>59627.493890274338</v>
      </c>
      <c r="M15">
        <v>709.25187032418955</v>
      </c>
    </row>
    <row r="16" spans="1:14">
      <c r="D16" t="s">
        <v>31</v>
      </c>
      <c r="E16">
        <v>10006.425000000001</v>
      </c>
      <c r="J16" t="s">
        <v>4439</v>
      </c>
      <c r="K16">
        <v>102590.23667083963</v>
      </c>
      <c r="L16">
        <v>49693.315425531473</v>
      </c>
      <c r="M16">
        <v>711.27346683354187</v>
      </c>
    </row>
    <row r="17" spans="1:16">
      <c r="A17" s="3" t="s">
        <v>15</v>
      </c>
      <c r="B17" t="s">
        <v>4436</v>
      </c>
      <c r="D17" t="s">
        <v>46</v>
      </c>
      <c r="E17">
        <v>48785.469587628941</v>
      </c>
    </row>
    <row r="18" spans="1:16">
      <c r="A18" t="s">
        <v>76</v>
      </c>
      <c r="B18">
        <v>458</v>
      </c>
      <c r="D18" t="s">
        <v>21</v>
      </c>
      <c r="E18">
        <v>94744.638235294173</v>
      </c>
      <c r="G18" s="3" t="s">
        <v>3</v>
      </c>
      <c r="H18" t="s">
        <v>4445</v>
      </c>
      <c r="J18" t="s">
        <v>4435</v>
      </c>
      <c r="P18" t="s">
        <v>4446</v>
      </c>
    </row>
    <row r="19" spans="1:16">
      <c r="A19" t="s">
        <v>36</v>
      </c>
      <c r="B19">
        <v>470</v>
      </c>
      <c r="D19" t="s">
        <v>52</v>
      </c>
      <c r="E19">
        <v>37116.937500000015</v>
      </c>
      <c r="G19" t="s">
        <v>63</v>
      </c>
      <c r="H19">
        <v>11042139.000000007</v>
      </c>
      <c r="J19" s="3" t="s">
        <v>4436</v>
      </c>
      <c r="K19" s="3" t="s">
        <v>15</v>
      </c>
      <c r="P19" t="s">
        <v>4447</v>
      </c>
    </row>
    <row r="20" spans="1:16">
      <c r="A20" t="s">
        <v>26</v>
      </c>
      <c r="B20">
        <v>670</v>
      </c>
      <c r="D20" t="s">
        <v>84</v>
      </c>
      <c r="E20">
        <v>12872.97637795276</v>
      </c>
      <c r="G20" t="s">
        <v>58</v>
      </c>
      <c r="H20">
        <v>21757479.100000009</v>
      </c>
      <c r="J20" s="3" t="s">
        <v>3505</v>
      </c>
      <c r="K20" t="s">
        <v>76</v>
      </c>
      <c r="L20" t="s">
        <v>36</v>
      </c>
      <c r="M20" t="s">
        <v>26</v>
      </c>
      <c r="N20" t="s">
        <v>4439</v>
      </c>
    </row>
    <row r="21" spans="1:16">
      <c r="A21" t="s">
        <v>4439</v>
      </c>
      <c r="B21">
        <v>1598</v>
      </c>
      <c r="D21" t="s">
        <v>4439</v>
      </c>
      <c r="E21">
        <v>49693.315425531313</v>
      </c>
      <c r="G21" t="s">
        <v>40</v>
      </c>
      <c r="H21">
        <v>8917685.7499999963</v>
      </c>
      <c r="J21" t="s">
        <v>4448</v>
      </c>
      <c r="L21">
        <v>166</v>
      </c>
      <c r="N21">
        <v>166</v>
      </c>
    </row>
    <row r="22" spans="1:16">
      <c r="G22" t="s">
        <v>195</v>
      </c>
      <c r="H22">
        <v>5950817.7500000028</v>
      </c>
      <c r="J22" t="s">
        <v>4449</v>
      </c>
      <c r="K22">
        <v>293</v>
      </c>
      <c r="M22">
        <v>44</v>
      </c>
      <c r="N22">
        <v>337</v>
      </c>
    </row>
    <row r="23" spans="1:16">
      <c r="G23" t="s">
        <v>32</v>
      </c>
      <c r="H23">
        <v>14215927.950000033</v>
      </c>
      <c r="J23" t="s">
        <v>4450</v>
      </c>
      <c r="K23">
        <v>165</v>
      </c>
      <c r="L23">
        <v>174</v>
      </c>
      <c r="M23">
        <v>545</v>
      </c>
      <c r="N23">
        <v>884</v>
      </c>
    </row>
    <row r="24" spans="1:16">
      <c r="A24" s="9" t="s">
        <v>2</v>
      </c>
      <c r="B24" s="4" t="s">
        <v>4438</v>
      </c>
      <c r="D24" s="3" t="s">
        <v>3506</v>
      </c>
      <c r="E24" t="s">
        <v>4437</v>
      </c>
      <c r="G24" t="s">
        <v>209</v>
      </c>
      <c r="H24">
        <v>14809867.400000019</v>
      </c>
      <c r="J24" t="s">
        <v>4451</v>
      </c>
      <c r="L24">
        <v>130</v>
      </c>
      <c r="M24">
        <v>81</v>
      </c>
      <c r="N24">
        <v>211</v>
      </c>
    </row>
    <row r="25" spans="1:16">
      <c r="A25" s="4" t="s">
        <v>39</v>
      </c>
      <c r="B25" s="4">
        <v>0.4876198534504263</v>
      </c>
      <c r="D25" t="s">
        <v>4452</v>
      </c>
      <c r="E25">
        <v>2567.8868421052639</v>
      </c>
      <c r="G25" t="s">
        <v>68</v>
      </c>
      <c r="H25">
        <v>16693353.65</v>
      </c>
      <c r="J25" t="s">
        <v>4439</v>
      </c>
      <c r="K25">
        <v>458</v>
      </c>
      <c r="L25">
        <v>470</v>
      </c>
      <c r="M25">
        <v>670</v>
      </c>
      <c r="N25">
        <v>1598</v>
      </c>
    </row>
    <row r="26" spans="1:16">
      <c r="A26" s="4" t="s">
        <v>57</v>
      </c>
      <c r="B26" s="4">
        <v>0.16692349555536393</v>
      </c>
      <c r="D26" t="s">
        <v>4453</v>
      </c>
      <c r="E26">
        <v>12329.842276422754</v>
      </c>
      <c r="G26" t="s">
        <v>313</v>
      </c>
      <c r="H26">
        <v>8461095.650000006</v>
      </c>
    </row>
    <row r="27" spans="1:16">
      <c r="A27" s="4" t="s">
        <v>31</v>
      </c>
      <c r="B27" s="4">
        <v>0.17341972885271303</v>
      </c>
      <c r="D27" t="s">
        <v>4454</v>
      </c>
      <c r="E27">
        <v>38903.229149797698</v>
      </c>
      <c r="G27" t="s">
        <v>304</v>
      </c>
      <c r="H27">
        <v>6953924.9499999955</v>
      </c>
    </row>
    <row r="28" spans="1:16">
      <c r="A28" s="4" t="s">
        <v>46</v>
      </c>
      <c r="B28" s="4">
        <v>0.32561245779394937</v>
      </c>
      <c r="D28" t="s">
        <v>4455</v>
      </c>
      <c r="E28">
        <v>74722.193393393187</v>
      </c>
      <c r="G28" t="s">
        <v>47</v>
      </c>
      <c r="H28">
        <v>7267276.7999999952</v>
      </c>
      <c r="J28" t="s">
        <v>4440</v>
      </c>
    </row>
    <row r="29" spans="1:16">
      <c r="A29" s="4" t="s">
        <v>21</v>
      </c>
      <c r="B29" s="4">
        <v>0.31467581020564422</v>
      </c>
      <c r="D29" t="s">
        <v>4456</v>
      </c>
      <c r="E29">
        <v>145984.30336758026</v>
      </c>
      <c r="G29" t="s">
        <v>4439</v>
      </c>
      <c r="H29">
        <v>116069568.00000007</v>
      </c>
      <c r="J29" s="3" t="s">
        <v>16</v>
      </c>
      <c r="K29" t="s">
        <v>4436</v>
      </c>
    </row>
    <row r="30" spans="1:16">
      <c r="A30" s="4" t="s">
        <v>52</v>
      </c>
      <c r="B30" s="4">
        <v>0.3290658254236436</v>
      </c>
      <c r="D30" t="s">
        <v>4439</v>
      </c>
      <c r="E30">
        <v>102590.23667083912</v>
      </c>
      <c r="K30">
        <v>1</v>
      </c>
    </row>
    <row r="31" spans="1:16">
      <c r="A31" s="4" t="s">
        <v>84</v>
      </c>
      <c r="B31" s="4">
        <v>0.3740776845631143</v>
      </c>
      <c r="J31" t="s">
        <v>43</v>
      </c>
      <c r="K31">
        <v>253</v>
      </c>
    </row>
    <row r="32" spans="1:16">
      <c r="A32" s="4" t="s">
        <v>4439</v>
      </c>
      <c r="B32" s="4">
        <v>0.32129705652779783</v>
      </c>
      <c r="J32" t="s">
        <v>27</v>
      </c>
      <c r="K32">
        <v>1345</v>
      </c>
    </row>
    <row r="33" spans="4:11">
      <c r="D33" t="s">
        <v>4436</v>
      </c>
      <c r="J33" t="s">
        <v>4439</v>
      </c>
      <c r="K33">
        <v>1599</v>
      </c>
    </row>
    <row r="34" spans="4:11">
      <c r="D34">
        <v>1599</v>
      </c>
    </row>
    <row r="37" spans="4:11">
      <c r="D37" t="s">
        <v>4437</v>
      </c>
    </row>
    <row r="38" spans="4:11">
      <c r="D38" s="13">
        <v>102590.23667083925</v>
      </c>
    </row>
    <row r="41" spans="4:11">
      <c r="D41" t="s">
        <v>4442</v>
      </c>
    </row>
    <row r="42" spans="4:11">
      <c r="D42">
        <v>711.27346683354187</v>
      </c>
    </row>
    <row r="45" spans="4:11">
      <c r="D45" t="s">
        <v>4438</v>
      </c>
    </row>
    <row r="46" spans="4:11">
      <c r="D46" s="4">
        <v>0.32129705652779778</v>
      </c>
    </row>
    <row r="49" spans="4:5">
      <c r="D49" s="3" t="s">
        <v>15</v>
      </c>
      <c r="E49" t="s">
        <v>4436</v>
      </c>
    </row>
    <row r="50" spans="4:5">
      <c r="D50" t="s">
        <v>76</v>
      </c>
      <c r="E50" s="4">
        <v>0.28660826032540676</v>
      </c>
    </row>
    <row r="51" spans="4:5">
      <c r="D51" t="s">
        <v>36</v>
      </c>
      <c r="E51" s="4">
        <v>0.29411764705882354</v>
      </c>
    </row>
    <row r="52" spans="4:5">
      <c r="D52" t="s">
        <v>26</v>
      </c>
      <c r="E52" s="4">
        <v>0.4192740926157697</v>
      </c>
    </row>
    <row r="53" spans="4:5">
      <c r="D53" t="s">
        <v>4439</v>
      </c>
      <c r="E53" s="4">
        <v>1</v>
      </c>
    </row>
  </sheetData>
  <pageMargins left="0.7" right="0.7" top="0.75" bottom="0.75" header="0.3" footer="0.3"/>
  <drawing r:id="rId19"/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E795-F319-4E47-8FF1-B7EF6EDC083C}">
  <dimension ref="A1:AF6"/>
  <sheetViews>
    <sheetView showGridLines="0" tabSelected="1" workbookViewId="0">
      <selection activeCell="AJ2" sqref="AJ2"/>
    </sheetView>
  </sheetViews>
  <sheetFormatPr defaultRowHeight="15"/>
  <cols>
    <col min="1" max="10" width="9.140625" style="11"/>
    <col min="11" max="11" width="0" style="11" hidden="1" customWidth="1"/>
    <col min="12" max="16" width="9.140625" style="11"/>
    <col min="17" max="17" width="7.28515625" style="11" customWidth="1"/>
    <col min="18" max="18" width="6.28515625" style="11" customWidth="1"/>
    <col min="19" max="16384" width="9.140625" style="11"/>
  </cols>
  <sheetData>
    <row r="1" spans="1:32" ht="32.25" customHeight="1">
      <c r="A1" s="19" t="s">
        <v>4457</v>
      </c>
      <c r="B1" s="19"/>
      <c r="C1" s="19"/>
      <c r="D1" s="19"/>
      <c r="E1" s="19"/>
      <c r="F1" s="19"/>
      <c r="G1" s="19"/>
      <c r="H1" s="19"/>
      <c r="I1" s="19"/>
      <c r="J1" s="19"/>
      <c r="K1" s="10"/>
      <c r="N1" s="21" t="s">
        <v>4458</v>
      </c>
      <c r="O1" s="22"/>
      <c r="P1" s="22"/>
      <c r="R1" s="22" t="s">
        <v>4459</v>
      </c>
      <c r="S1" s="22"/>
      <c r="T1" s="22"/>
      <c r="V1" s="14" t="s">
        <v>4460</v>
      </c>
      <c r="W1" s="23"/>
      <c r="X1" s="23"/>
      <c r="Z1" s="14" t="s">
        <v>4461</v>
      </c>
      <c r="AA1" s="15"/>
      <c r="AB1" s="15"/>
      <c r="AD1" s="14" t="s">
        <v>4462</v>
      </c>
      <c r="AE1" s="15"/>
      <c r="AF1" s="15"/>
    </row>
    <row r="2" spans="1:32" ht="47.2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0"/>
      <c r="N2" s="17">
        <f>'Pivot tables'!D34</f>
        <v>1599</v>
      </c>
      <c r="O2" s="17"/>
      <c r="P2" s="17"/>
      <c r="R2" s="20">
        <f>'Pivot tables'!D38</f>
        <v>102590.23667083925</v>
      </c>
      <c r="S2" s="20"/>
      <c r="T2" s="20"/>
      <c r="V2" s="24">
        <f>'Pivot tables'!D42</f>
        <v>711.27346683354187</v>
      </c>
      <c r="W2" s="24"/>
      <c r="X2" s="24"/>
      <c r="Z2" s="18">
        <f>'Pivot tables'!D46</f>
        <v>0.32129705652779778</v>
      </c>
      <c r="AA2" s="17"/>
      <c r="AB2" s="17"/>
      <c r="AD2" s="18">
        <f>'Pivot tables'!E50</f>
        <v>0.28660826032540676</v>
      </c>
      <c r="AE2" s="17"/>
      <c r="AF2" s="17"/>
    </row>
    <row r="3" spans="1:32" ht="9" customHeight="1">
      <c r="A3" s="16" t="s">
        <v>4457</v>
      </c>
      <c r="B3" s="16"/>
      <c r="C3" s="16"/>
      <c r="D3" s="16"/>
      <c r="E3" s="16"/>
      <c r="F3" s="16"/>
      <c r="G3" s="16"/>
      <c r="H3" s="16"/>
      <c r="I3" s="16"/>
      <c r="J3" s="16"/>
      <c r="K3" s="10"/>
    </row>
    <row r="4" spans="1:32" ht="0.75" customHeight="1">
      <c r="A4" s="16" t="s">
        <v>4457</v>
      </c>
      <c r="B4" s="16"/>
      <c r="C4" s="16"/>
      <c r="D4" s="16"/>
      <c r="E4" s="16"/>
      <c r="F4" s="16"/>
      <c r="G4" s="16"/>
      <c r="H4" s="16"/>
      <c r="I4" s="16"/>
      <c r="J4" s="16"/>
      <c r="K4" s="10"/>
    </row>
    <row r="5" spans="1:32" ht="36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32">
      <c r="G6" s="12"/>
    </row>
  </sheetData>
  <mergeCells count="14">
    <mergeCell ref="AD1:AF1"/>
    <mergeCell ref="A3:J3"/>
    <mergeCell ref="A4:J4"/>
    <mergeCell ref="A5:J5"/>
    <mergeCell ref="N2:P2"/>
    <mergeCell ref="AD2:AF2"/>
    <mergeCell ref="Z1:AB1"/>
    <mergeCell ref="Z2:AB2"/>
    <mergeCell ref="A1:J2"/>
    <mergeCell ref="R2:T2"/>
    <mergeCell ref="N1:P1"/>
    <mergeCell ref="R1:T1"/>
    <mergeCell ref="V1:X1"/>
    <mergeCell ref="V2:X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738B07-61D2-4942-9254-9682DFF92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2026-09-02T08:43:30Z</dcterms:created>
  <dcterms:modified xsi:type="dcterms:W3CDTF">2026-09-10T16:32:12Z</dcterms:modified>
  <cp:category/>
  <cp:contentStatus/>
</cp:coreProperties>
</file>